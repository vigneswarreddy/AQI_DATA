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OneDrive - Amrita vishwa vidyapeetham\AMRITA\IEEE PAPER\AQI\Journal\"/>
    </mc:Choice>
  </mc:AlternateContent>
  <xr:revisionPtr revIDLastSave="0" documentId="13_ncr:1_{0B5F9786-FADB-49EA-9FC6-94414F9B6E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1" r:id="rId1"/>
  </sheets>
  <definedNames>
    <definedName name="_xlnm._FilterDatabase" localSheetId="0" hidden="1">ALL!$A$1:$V$1734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10" i="1" l="1"/>
  <c r="L2110" i="1"/>
  <c r="M2110" i="1"/>
  <c r="N2110" i="1"/>
  <c r="O2110" i="1"/>
  <c r="P2110" i="1"/>
  <c r="Q2110" i="1"/>
  <c r="R2110" i="1" s="1"/>
  <c r="S2110" i="1" s="1"/>
  <c r="K2111" i="1"/>
  <c r="L2111" i="1"/>
  <c r="M2111" i="1"/>
  <c r="N2111" i="1"/>
  <c r="O2111" i="1"/>
  <c r="P2111" i="1"/>
  <c r="Q2111" i="1"/>
  <c r="K2112" i="1"/>
  <c r="T2112" i="1" s="1"/>
  <c r="L2112" i="1"/>
  <c r="M2112" i="1"/>
  <c r="R2112" i="1" s="1"/>
  <c r="S2112" i="1" s="1"/>
  <c r="N2112" i="1"/>
  <c r="O2112" i="1"/>
  <c r="P2112" i="1"/>
  <c r="Q2112" i="1"/>
  <c r="K2113" i="1"/>
  <c r="R2113" i="1" s="1"/>
  <c r="S2113" i="1" s="1"/>
  <c r="L2113" i="1"/>
  <c r="M2113" i="1"/>
  <c r="N2113" i="1"/>
  <c r="O2113" i="1"/>
  <c r="P2113" i="1"/>
  <c r="Q2113" i="1"/>
  <c r="K2114" i="1"/>
  <c r="T2114" i="1" s="1"/>
  <c r="L2114" i="1"/>
  <c r="M2114" i="1"/>
  <c r="N2114" i="1"/>
  <c r="O2114" i="1"/>
  <c r="P2114" i="1"/>
  <c r="Q2114" i="1"/>
  <c r="R2114" i="1"/>
  <c r="S2114" i="1" s="1"/>
  <c r="K2115" i="1"/>
  <c r="R2115" i="1" s="1"/>
  <c r="S2115" i="1" s="1"/>
  <c r="L2115" i="1"/>
  <c r="M2115" i="1"/>
  <c r="N2115" i="1"/>
  <c r="O2115" i="1"/>
  <c r="P2115" i="1"/>
  <c r="Q2115" i="1"/>
  <c r="K2116" i="1"/>
  <c r="L2116" i="1"/>
  <c r="M2116" i="1"/>
  <c r="N2116" i="1"/>
  <c r="O2116" i="1"/>
  <c r="P2116" i="1"/>
  <c r="Q2116" i="1"/>
  <c r="K2117" i="1"/>
  <c r="L2117" i="1"/>
  <c r="T2117" i="1" s="1"/>
  <c r="M2117" i="1"/>
  <c r="N2117" i="1"/>
  <c r="O2117" i="1"/>
  <c r="P2117" i="1"/>
  <c r="Q2117" i="1"/>
  <c r="K2118" i="1"/>
  <c r="T2118" i="1" s="1"/>
  <c r="L2118" i="1"/>
  <c r="M2118" i="1"/>
  <c r="N2118" i="1"/>
  <c r="O2118" i="1"/>
  <c r="P2118" i="1"/>
  <c r="Q2118" i="1"/>
  <c r="R2118" i="1" s="1"/>
  <c r="S2118" i="1" s="1"/>
  <c r="K2119" i="1"/>
  <c r="R2119" i="1" s="1"/>
  <c r="S2119" i="1" s="1"/>
  <c r="L2119" i="1"/>
  <c r="M2119" i="1"/>
  <c r="N2119" i="1"/>
  <c r="O2119" i="1"/>
  <c r="P2119" i="1"/>
  <c r="Q2119" i="1"/>
  <c r="K2120" i="1"/>
  <c r="L2120" i="1"/>
  <c r="M2120" i="1"/>
  <c r="N2120" i="1"/>
  <c r="O2120" i="1"/>
  <c r="P2120" i="1"/>
  <c r="Q2120" i="1"/>
  <c r="K2121" i="1"/>
  <c r="R2121" i="1" s="1"/>
  <c r="S2121" i="1" s="1"/>
  <c r="L2121" i="1"/>
  <c r="M2121" i="1"/>
  <c r="N2121" i="1"/>
  <c r="O2121" i="1"/>
  <c r="P2121" i="1"/>
  <c r="Q2121" i="1"/>
  <c r="T2121" i="1"/>
  <c r="K2122" i="1"/>
  <c r="T2122" i="1" s="1"/>
  <c r="L2122" i="1"/>
  <c r="M2122" i="1"/>
  <c r="N2122" i="1"/>
  <c r="O2122" i="1"/>
  <c r="P2122" i="1"/>
  <c r="Q2122" i="1"/>
  <c r="R2122" i="1"/>
  <c r="S2122" i="1" s="1"/>
  <c r="K2123" i="1"/>
  <c r="R2123" i="1" s="1"/>
  <c r="S2123" i="1" s="1"/>
  <c r="L2123" i="1"/>
  <c r="M2123" i="1"/>
  <c r="N2123" i="1"/>
  <c r="O2123" i="1"/>
  <c r="P2123" i="1"/>
  <c r="Q2123" i="1"/>
  <c r="K2124" i="1"/>
  <c r="L2124" i="1"/>
  <c r="M2124" i="1"/>
  <c r="N2124" i="1"/>
  <c r="O2124" i="1"/>
  <c r="P2124" i="1"/>
  <c r="Q2124" i="1"/>
  <c r="K2125" i="1"/>
  <c r="L2125" i="1"/>
  <c r="T2125" i="1" s="1"/>
  <c r="M2125" i="1"/>
  <c r="N2125" i="1"/>
  <c r="O2125" i="1"/>
  <c r="P2125" i="1"/>
  <c r="Q2125" i="1"/>
  <c r="K2126" i="1"/>
  <c r="T2126" i="1" s="1"/>
  <c r="L2126" i="1"/>
  <c r="M2126" i="1"/>
  <c r="N2126" i="1"/>
  <c r="O2126" i="1"/>
  <c r="P2126" i="1"/>
  <c r="Q2126" i="1"/>
  <c r="R2126" i="1"/>
  <c r="S2126" i="1" s="1"/>
  <c r="K2127" i="1"/>
  <c r="R2127" i="1" s="1"/>
  <c r="S2127" i="1" s="1"/>
  <c r="L2127" i="1"/>
  <c r="M2127" i="1"/>
  <c r="N2127" i="1"/>
  <c r="O2127" i="1"/>
  <c r="P2127" i="1"/>
  <c r="Q2127" i="1"/>
  <c r="K2128" i="1"/>
  <c r="L2128" i="1"/>
  <c r="M2128" i="1"/>
  <c r="N2128" i="1"/>
  <c r="O2128" i="1"/>
  <c r="P2128" i="1"/>
  <c r="Q2128" i="1"/>
  <c r="K2129" i="1"/>
  <c r="L2129" i="1"/>
  <c r="T2129" i="1" s="1"/>
  <c r="M2129" i="1"/>
  <c r="N2129" i="1"/>
  <c r="O2129" i="1"/>
  <c r="P2129" i="1"/>
  <c r="Q2129" i="1"/>
  <c r="K2130" i="1"/>
  <c r="T2130" i="1" s="1"/>
  <c r="L2130" i="1"/>
  <c r="M2130" i="1"/>
  <c r="N2130" i="1"/>
  <c r="O2130" i="1"/>
  <c r="P2130" i="1"/>
  <c r="Q2130" i="1"/>
  <c r="R2130" i="1"/>
  <c r="S2130" i="1" s="1"/>
  <c r="K2131" i="1"/>
  <c r="L2131" i="1"/>
  <c r="M2131" i="1"/>
  <c r="N2131" i="1"/>
  <c r="O2131" i="1"/>
  <c r="P2131" i="1"/>
  <c r="Q2131" i="1"/>
  <c r="K2132" i="1"/>
  <c r="L2132" i="1"/>
  <c r="M2132" i="1"/>
  <c r="N2132" i="1"/>
  <c r="O2132" i="1"/>
  <c r="P2132" i="1"/>
  <c r="Q2132" i="1"/>
  <c r="K2133" i="1"/>
  <c r="L2133" i="1"/>
  <c r="T2133" i="1" s="1"/>
  <c r="M2133" i="1"/>
  <c r="N2133" i="1"/>
  <c r="O2133" i="1"/>
  <c r="P2133" i="1"/>
  <c r="Q2133" i="1"/>
  <c r="K2134" i="1"/>
  <c r="T2134" i="1" s="1"/>
  <c r="L2134" i="1"/>
  <c r="M2134" i="1"/>
  <c r="N2134" i="1"/>
  <c r="O2134" i="1"/>
  <c r="P2134" i="1"/>
  <c r="Q2134" i="1"/>
  <c r="R2134" i="1"/>
  <c r="S2134" i="1" s="1"/>
  <c r="K2135" i="1"/>
  <c r="L2135" i="1"/>
  <c r="M2135" i="1"/>
  <c r="N2135" i="1"/>
  <c r="O2135" i="1"/>
  <c r="P2135" i="1"/>
  <c r="Q2135" i="1"/>
  <c r="K2136" i="1"/>
  <c r="L2136" i="1"/>
  <c r="M2136" i="1"/>
  <c r="N2136" i="1"/>
  <c r="O2136" i="1"/>
  <c r="P2136" i="1"/>
  <c r="Q2136" i="1"/>
  <c r="K2137" i="1"/>
  <c r="L2137" i="1"/>
  <c r="T2137" i="1" s="1"/>
  <c r="M2137" i="1"/>
  <c r="N2137" i="1"/>
  <c r="O2137" i="1"/>
  <c r="P2137" i="1"/>
  <c r="Q2137" i="1"/>
  <c r="K2138" i="1"/>
  <c r="L2138" i="1"/>
  <c r="M2138" i="1"/>
  <c r="N2138" i="1"/>
  <c r="O2138" i="1"/>
  <c r="P2138" i="1"/>
  <c r="Q2138" i="1"/>
  <c r="R2138" i="1" s="1"/>
  <c r="S2138" i="1" s="1"/>
  <c r="K2139" i="1"/>
  <c r="L2139" i="1"/>
  <c r="M2139" i="1"/>
  <c r="N2139" i="1"/>
  <c r="O2139" i="1"/>
  <c r="P2139" i="1"/>
  <c r="Q2139" i="1"/>
  <c r="K2140" i="1"/>
  <c r="L2140" i="1"/>
  <c r="M2140" i="1"/>
  <c r="T2140" i="1" s="1"/>
  <c r="N2140" i="1"/>
  <c r="O2140" i="1"/>
  <c r="P2140" i="1"/>
  <c r="Q2140" i="1"/>
  <c r="K2141" i="1"/>
  <c r="R2141" i="1" s="1"/>
  <c r="L2141" i="1"/>
  <c r="M2141" i="1"/>
  <c r="N2141" i="1"/>
  <c r="O2141" i="1"/>
  <c r="P2141" i="1"/>
  <c r="Q2141" i="1"/>
  <c r="S2141" i="1"/>
  <c r="T2141" i="1"/>
  <c r="K2142" i="1"/>
  <c r="L2142" i="1"/>
  <c r="M2142" i="1"/>
  <c r="N2142" i="1"/>
  <c r="O2142" i="1"/>
  <c r="P2142" i="1"/>
  <c r="Q2142" i="1"/>
  <c r="R2142" i="1" s="1"/>
  <c r="S2142" i="1" s="1"/>
  <c r="K2143" i="1"/>
  <c r="L2143" i="1"/>
  <c r="M2143" i="1"/>
  <c r="N2143" i="1"/>
  <c r="O2143" i="1"/>
  <c r="P2143" i="1"/>
  <c r="Q2143" i="1"/>
  <c r="K2144" i="1"/>
  <c r="L2144" i="1"/>
  <c r="M2144" i="1"/>
  <c r="N2144" i="1"/>
  <c r="O2144" i="1"/>
  <c r="P2144" i="1"/>
  <c r="Q2144" i="1"/>
  <c r="K2145" i="1"/>
  <c r="R2145" i="1" s="1"/>
  <c r="S2145" i="1" s="1"/>
  <c r="L2145" i="1"/>
  <c r="M2145" i="1"/>
  <c r="N2145" i="1"/>
  <c r="O2145" i="1"/>
  <c r="P2145" i="1"/>
  <c r="Q2145" i="1"/>
  <c r="T2145" i="1"/>
  <c r="K2146" i="1"/>
  <c r="T2146" i="1" s="1"/>
  <c r="L2146" i="1"/>
  <c r="M2146" i="1"/>
  <c r="N2146" i="1"/>
  <c r="O2146" i="1"/>
  <c r="P2146" i="1"/>
  <c r="Q2146" i="1"/>
  <c r="R2146" i="1"/>
  <c r="S2146" i="1" s="1"/>
  <c r="K2147" i="1"/>
  <c r="R2147" i="1" s="1"/>
  <c r="S2147" i="1" s="1"/>
  <c r="L2147" i="1"/>
  <c r="M2147" i="1"/>
  <c r="N2147" i="1"/>
  <c r="O2147" i="1"/>
  <c r="P2147" i="1"/>
  <c r="Q2147" i="1"/>
  <c r="K2148" i="1"/>
  <c r="L2148" i="1"/>
  <c r="R2148" i="1" s="1"/>
  <c r="S2148" i="1" s="1"/>
  <c r="M2148" i="1"/>
  <c r="N2148" i="1"/>
  <c r="O2148" i="1"/>
  <c r="P2148" i="1"/>
  <c r="Q2148" i="1"/>
  <c r="K2149" i="1"/>
  <c r="L2149" i="1"/>
  <c r="T2149" i="1" s="1"/>
  <c r="M2149" i="1"/>
  <c r="N2149" i="1"/>
  <c r="O2149" i="1"/>
  <c r="P2149" i="1"/>
  <c r="Q2149" i="1"/>
  <c r="K2150" i="1"/>
  <c r="T2150" i="1" s="1"/>
  <c r="L2150" i="1"/>
  <c r="M2150" i="1"/>
  <c r="N2150" i="1"/>
  <c r="O2150" i="1"/>
  <c r="P2150" i="1"/>
  <c r="Q2150" i="1"/>
  <c r="R2150" i="1" s="1"/>
  <c r="S2150" i="1" s="1"/>
  <c r="K2151" i="1"/>
  <c r="R2151" i="1" s="1"/>
  <c r="S2151" i="1" s="1"/>
  <c r="L2151" i="1"/>
  <c r="M2151" i="1"/>
  <c r="N2151" i="1"/>
  <c r="O2151" i="1"/>
  <c r="P2151" i="1"/>
  <c r="Q2151" i="1"/>
  <c r="K2152" i="1"/>
  <c r="L2152" i="1"/>
  <c r="R2152" i="1" s="1"/>
  <c r="S2152" i="1" s="1"/>
  <c r="M2152" i="1"/>
  <c r="T2152" i="1" s="1"/>
  <c r="N2152" i="1"/>
  <c r="O2152" i="1"/>
  <c r="P2152" i="1"/>
  <c r="Q2152" i="1"/>
  <c r="K2153" i="1"/>
  <c r="R2153" i="1" s="1"/>
  <c r="S2153" i="1" s="1"/>
  <c r="L2153" i="1"/>
  <c r="M2153" i="1"/>
  <c r="N2153" i="1"/>
  <c r="O2153" i="1"/>
  <c r="P2153" i="1"/>
  <c r="Q2153" i="1"/>
  <c r="T2153" i="1"/>
  <c r="K2154" i="1"/>
  <c r="T2154" i="1" s="1"/>
  <c r="L2154" i="1"/>
  <c r="M2154" i="1"/>
  <c r="N2154" i="1"/>
  <c r="O2154" i="1"/>
  <c r="P2154" i="1"/>
  <c r="Q2154" i="1"/>
  <c r="R2154" i="1"/>
  <c r="S2154" i="1" s="1"/>
  <c r="K2155" i="1"/>
  <c r="R2155" i="1" s="1"/>
  <c r="S2155" i="1" s="1"/>
  <c r="L2155" i="1"/>
  <c r="M2155" i="1"/>
  <c r="N2155" i="1"/>
  <c r="O2155" i="1"/>
  <c r="P2155" i="1"/>
  <c r="Q2155" i="1"/>
  <c r="K2156" i="1"/>
  <c r="L2156" i="1"/>
  <c r="M2156" i="1"/>
  <c r="T2156" i="1" s="1"/>
  <c r="N2156" i="1"/>
  <c r="O2156" i="1"/>
  <c r="P2156" i="1"/>
  <c r="Q2156" i="1"/>
  <c r="K2157" i="1"/>
  <c r="L2157" i="1"/>
  <c r="T2157" i="1" s="1"/>
  <c r="M2157" i="1"/>
  <c r="N2157" i="1"/>
  <c r="O2157" i="1"/>
  <c r="P2157" i="1"/>
  <c r="Q2157" i="1"/>
  <c r="K2158" i="1"/>
  <c r="T2158" i="1" s="1"/>
  <c r="L2158" i="1"/>
  <c r="M2158" i="1"/>
  <c r="N2158" i="1"/>
  <c r="O2158" i="1"/>
  <c r="P2158" i="1"/>
  <c r="Q2158" i="1"/>
  <c r="R2158" i="1" s="1"/>
  <c r="S2158" i="1" s="1"/>
  <c r="K2159" i="1"/>
  <c r="R2159" i="1" s="1"/>
  <c r="S2159" i="1" s="1"/>
  <c r="L2159" i="1"/>
  <c r="M2159" i="1"/>
  <c r="N2159" i="1"/>
  <c r="O2159" i="1"/>
  <c r="P2159" i="1"/>
  <c r="Q2159" i="1"/>
  <c r="K2160" i="1"/>
  <c r="L2160" i="1"/>
  <c r="M2160" i="1"/>
  <c r="N2160" i="1"/>
  <c r="O2160" i="1"/>
  <c r="P2160" i="1"/>
  <c r="Q2160" i="1"/>
  <c r="K2161" i="1"/>
  <c r="R2161" i="1" s="1"/>
  <c r="S2161" i="1" s="1"/>
  <c r="L2161" i="1"/>
  <c r="M2161" i="1"/>
  <c r="N2161" i="1"/>
  <c r="O2161" i="1"/>
  <c r="P2161" i="1"/>
  <c r="Q2161" i="1"/>
  <c r="T2161" i="1"/>
  <c r="K2162" i="1"/>
  <c r="T2162" i="1" s="1"/>
  <c r="L2162" i="1"/>
  <c r="M2162" i="1"/>
  <c r="N2162" i="1"/>
  <c r="O2162" i="1"/>
  <c r="P2162" i="1"/>
  <c r="Q2162" i="1"/>
  <c r="R2162" i="1"/>
  <c r="S2162" i="1" s="1"/>
  <c r="K2163" i="1"/>
  <c r="L2163" i="1"/>
  <c r="M2163" i="1"/>
  <c r="N2163" i="1"/>
  <c r="O2163" i="1"/>
  <c r="P2163" i="1"/>
  <c r="Q2163" i="1"/>
  <c r="K2164" i="1"/>
  <c r="L2164" i="1"/>
  <c r="M2164" i="1"/>
  <c r="T2164" i="1" s="1"/>
  <c r="N2164" i="1"/>
  <c r="O2164" i="1"/>
  <c r="P2164" i="1"/>
  <c r="Q2164" i="1"/>
  <c r="K2165" i="1"/>
  <c r="L2165" i="1"/>
  <c r="T2165" i="1" s="1"/>
  <c r="M2165" i="1"/>
  <c r="N2165" i="1"/>
  <c r="O2165" i="1"/>
  <c r="P2165" i="1"/>
  <c r="Q2165" i="1"/>
  <c r="K2166" i="1"/>
  <c r="T2166" i="1" s="1"/>
  <c r="L2166" i="1"/>
  <c r="M2166" i="1"/>
  <c r="N2166" i="1"/>
  <c r="O2166" i="1"/>
  <c r="P2166" i="1"/>
  <c r="Q2166" i="1"/>
  <c r="R2166" i="1"/>
  <c r="S2166" i="1" s="1"/>
  <c r="K2167" i="1"/>
  <c r="L2167" i="1"/>
  <c r="M2167" i="1"/>
  <c r="N2167" i="1"/>
  <c r="O2167" i="1"/>
  <c r="P2167" i="1"/>
  <c r="Q2167" i="1"/>
  <c r="K2168" i="1"/>
  <c r="L2168" i="1"/>
  <c r="M2168" i="1"/>
  <c r="N2168" i="1"/>
  <c r="O2168" i="1"/>
  <c r="P2168" i="1"/>
  <c r="Q2168" i="1"/>
  <c r="K2169" i="1"/>
  <c r="L2169" i="1"/>
  <c r="T2169" i="1" s="1"/>
  <c r="M2169" i="1"/>
  <c r="N2169" i="1"/>
  <c r="O2169" i="1"/>
  <c r="P2169" i="1"/>
  <c r="Q2169" i="1"/>
  <c r="K2170" i="1"/>
  <c r="L2170" i="1"/>
  <c r="M2170" i="1"/>
  <c r="N2170" i="1"/>
  <c r="O2170" i="1"/>
  <c r="P2170" i="1"/>
  <c r="Q2170" i="1"/>
  <c r="R2170" i="1" s="1"/>
  <c r="S2170" i="1" s="1"/>
  <c r="K2171" i="1"/>
  <c r="L2171" i="1"/>
  <c r="M2171" i="1"/>
  <c r="N2171" i="1"/>
  <c r="O2171" i="1"/>
  <c r="P2171" i="1"/>
  <c r="Q2171" i="1"/>
  <c r="K2172" i="1"/>
  <c r="L2172" i="1"/>
  <c r="M2172" i="1"/>
  <c r="T2172" i="1" s="1"/>
  <c r="N2172" i="1"/>
  <c r="O2172" i="1"/>
  <c r="P2172" i="1"/>
  <c r="Q2172" i="1"/>
  <c r="K2173" i="1"/>
  <c r="R2173" i="1" s="1"/>
  <c r="L2173" i="1"/>
  <c r="M2173" i="1"/>
  <c r="N2173" i="1"/>
  <c r="O2173" i="1"/>
  <c r="P2173" i="1"/>
  <c r="Q2173" i="1"/>
  <c r="S2173" i="1"/>
  <c r="T2173" i="1"/>
  <c r="K2174" i="1"/>
  <c r="L2174" i="1"/>
  <c r="M2174" i="1"/>
  <c r="N2174" i="1"/>
  <c r="O2174" i="1"/>
  <c r="P2174" i="1"/>
  <c r="Q2174" i="1"/>
  <c r="R2174" i="1" s="1"/>
  <c r="S2174" i="1" s="1"/>
  <c r="K2175" i="1"/>
  <c r="L2175" i="1"/>
  <c r="M2175" i="1"/>
  <c r="N2175" i="1"/>
  <c r="O2175" i="1"/>
  <c r="P2175" i="1"/>
  <c r="Q2175" i="1"/>
  <c r="K2176" i="1"/>
  <c r="L2176" i="1"/>
  <c r="M2176" i="1"/>
  <c r="N2176" i="1"/>
  <c r="O2176" i="1"/>
  <c r="P2176" i="1"/>
  <c r="Q2176" i="1"/>
  <c r="K2177" i="1"/>
  <c r="R2177" i="1" s="1"/>
  <c r="S2177" i="1" s="1"/>
  <c r="L2177" i="1"/>
  <c r="M2177" i="1"/>
  <c r="N2177" i="1"/>
  <c r="O2177" i="1"/>
  <c r="P2177" i="1"/>
  <c r="Q2177" i="1"/>
  <c r="K2178" i="1"/>
  <c r="T2178" i="1" s="1"/>
  <c r="L2178" i="1"/>
  <c r="M2178" i="1"/>
  <c r="N2178" i="1"/>
  <c r="O2178" i="1"/>
  <c r="P2178" i="1"/>
  <c r="Q2178" i="1"/>
  <c r="R2178" i="1"/>
  <c r="S2178" i="1" s="1"/>
  <c r="K2179" i="1"/>
  <c r="R2179" i="1" s="1"/>
  <c r="S2179" i="1" s="1"/>
  <c r="L2179" i="1"/>
  <c r="M2179" i="1"/>
  <c r="N2179" i="1"/>
  <c r="O2179" i="1"/>
  <c r="P2179" i="1"/>
  <c r="Q2179" i="1"/>
  <c r="K2180" i="1"/>
  <c r="L2180" i="1"/>
  <c r="R2180" i="1" s="1"/>
  <c r="S2180" i="1" s="1"/>
  <c r="M2180" i="1"/>
  <c r="N2180" i="1"/>
  <c r="O2180" i="1"/>
  <c r="P2180" i="1"/>
  <c r="Q2180" i="1"/>
  <c r="K2181" i="1"/>
  <c r="L2181" i="1"/>
  <c r="T2181" i="1" s="1"/>
  <c r="M2181" i="1"/>
  <c r="N2181" i="1"/>
  <c r="O2181" i="1"/>
  <c r="P2181" i="1"/>
  <c r="Q2181" i="1"/>
  <c r="K2182" i="1"/>
  <c r="T2182" i="1" s="1"/>
  <c r="L2182" i="1"/>
  <c r="M2182" i="1"/>
  <c r="N2182" i="1"/>
  <c r="O2182" i="1"/>
  <c r="P2182" i="1"/>
  <c r="Q2182" i="1"/>
  <c r="R2182" i="1" s="1"/>
  <c r="S2182" i="1" s="1"/>
  <c r="K2183" i="1"/>
  <c r="R2183" i="1" s="1"/>
  <c r="S2183" i="1" s="1"/>
  <c r="L2183" i="1"/>
  <c r="M2183" i="1"/>
  <c r="N2183" i="1"/>
  <c r="O2183" i="1"/>
  <c r="P2183" i="1"/>
  <c r="Q2183" i="1"/>
  <c r="K2184" i="1"/>
  <c r="L2184" i="1"/>
  <c r="R2184" i="1" s="1"/>
  <c r="S2184" i="1" s="1"/>
  <c r="M2184" i="1"/>
  <c r="T2184" i="1" s="1"/>
  <c r="N2184" i="1"/>
  <c r="O2184" i="1"/>
  <c r="P2184" i="1"/>
  <c r="Q2184" i="1"/>
  <c r="K2185" i="1"/>
  <c r="R2185" i="1" s="1"/>
  <c r="S2185" i="1" s="1"/>
  <c r="L2185" i="1"/>
  <c r="M2185" i="1"/>
  <c r="N2185" i="1"/>
  <c r="O2185" i="1"/>
  <c r="P2185" i="1"/>
  <c r="Q2185" i="1"/>
  <c r="T2185" i="1"/>
  <c r="K2186" i="1"/>
  <c r="T2186" i="1" s="1"/>
  <c r="L2186" i="1"/>
  <c r="M2186" i="1"/>
  <c r="N2186" i="1"/>
  <c r="O2186" i="1"/>
  <c r="P2186" i="1"/>
  <c r="Q2186" i="1"/>
  <c r="R2186" i="1"/>
  <c r="S2186" i="1" s="1"/>
  <c r="K2187" i="1"/>
  <c r="R2187" i="1" s="1"/>
  <c r="S2187" i="1" s="1"/>
  <c r="L2187" i="1"/>
  <c r="M2187" i="1"/>
  <c r="N2187" i="1"/>
  <c r="O2187" i="1"/>
  <c r="P2187" i="1"/>
  <c r="Q2187" i="1"/>
  <c r="K2188" i="1"/>
  <c r="L2188" i="1"/>
  <c r="M2188" i="1"/>
  <c r="T2188" i="1" s="1"/>
  <c r="N2188" i="1"/>
  <c r="O2188" i="1"/>
  <c r="P2188" i="1"/>
  <c r="Q2188" i="1"/>
  <c r="K2189" i="1"/>
  <c r="L2189" i="1"/>
  <c r="T2189" i="1" s="1"/>
  <c r="M2189" i="1"/>
  <c r="N2189" i="1"/>
  <c r="O2189" i="1"/>
  <c r="P2189" i="1"/>
  <c r="Q2189" i="1"/>
  <c r="K2190" i="1"/>
  <c r="T2190" i="1" s="1"/>
  <c r="L2190" i="1"/>
  <c r="M2190" i="1"/>
  <c r="N2190" i="1"/>
  <c r="O2190" i="1"/>
  <c r="P2190" i="1"/>
  <c r="Q2190" i="1"/>
  <c r="R2190" i="1" s="1"/>
  <c r="S2190" i="1" s="1"/>
  <c r="K2191" i="1"/>
  <c r="R2191" i="1" s="1"/>
  <c r="S2191" i="1" s="1"/>
  <c r="L2191" i="1"/>
  <c r="M2191" i="1"/>
  <c r="N2191" i="1"/>
  <c r="O2191" i="1"/>
  <c r="P2191" i="1"/>
  <c r="Q2191" i="1"/>
  <c r="K2192" i="1"/>
  <c r="L2192" i="1"/>
  <c r="M2192" i="1"/>
  <c r="N2192" i="1"/>
  <c r="O2192" i="1"/>
  <c r="P2192" i="1"/>
  <c r="Q2192" i="1"/>
  <c r="K2193" i="1"/>
  <c r="R2193" i="1" s="1"/>
  <c r="S2193" i="1" s="1"/>
  <c r="L2193" i="1"/>
  <c r="M2193" i="1"/>
  <c r="N2193" i="1"/>
  <c r="O2193" i="1"/>
  <c r="P2193" i="1"/>
  <c r="Q2193" i="1"/>
  <c r="T2193" i="1"/>
  <c r="K2194" i="1"/>
  <c r="T2194" i="1" s="1"/>
  <c r="L2194" i="1"/>
  <c r="M2194" i="1"/>
  <c r="N2194" i="1"/>
  <c r="O2194" i="1"/>
  <c r="P2194" i="1"/>
  <c r="Q2194" i="1"/>
  <c r="R2194" i="1"/>
  <c r="S2194" i="1" s="1"/>
  <c r="K2195" i="1"/>
  <c r="L2195" i="1"/>
  <c r="M2195" i="1"/>
  <c r="N2195" i="1"/>
  <c r="O2195" i="1"/>
  <c r="P2195" i="1"/>
  <c r="Q2195" i="1"/>
  <c r="K2196" i="1"/>
  <c r="L2196" i="1"/>
  <c r="M2196" i="1"/>
  <c r="T2196" i="1" s="1"/>
  <c r="N2196" i="1"/>
  <c r="O2196" i="1"/>
  <c r="P2196" i="1"/>
  <c r="Q2196" i="1"/>
  <c r="K2197" i="1"/>
  <c r="L2197" i="1"/>
  <c r="T2197" i="1" s="1"/>
  <c r="M2197" i="1"/>
  <c r="N2197" i="1"/>
  <c r="O2197" i="1"/>
  <c r="P2197" i="1"/>
  <c r="Q2197" i="1"/>
  <c r="K2198" i="1"/>
  <c r="T2198" i="1" s="1"/>
  <c r="L2198" i="1"/>
  <c r="M2198" i="1"/>
  <c r="N2198" i="1"/>
  <c r="O2198" i="1"/>
  <c r="P2198" i="1"/>
  <c r="Q2198" i="1"/>
  <c r="R2198" i="1"/>
  <c r="S2198" i="1" s="1"/>
  <c r="K2199" i="1"/>
  <c r="L2199" i="1"/>
  <c r="M2199" i="1"/>
  <c r="N2199" i="1"/>
  <c r="O2199" i="1"/>
  <c r="P2199" i="1"/>
  <c r="Q2199" i="1"/>
  <c r="K2200" i="1"/>
  <c r="L2200" i="1"/>
  <c r="M2200" i="1"/>
  <c r="N2200" i="1"/>
  <c r="O2200" i="1"/>
  <c r="P2200" i="1"/>
  <c r="Q2200" i="1"/>
  <c r="K2201" i="1"/>
  <c r="L2201" i="1"/>
  <c r="T2201" i="1" s="1"/>
  <c r="M2201" i="1"/>
  <c r="N2201" i="1"/>
  <c r="O2201" i="1"/>
  <c r="P2201" i="1"/>
  <c r="Q2201" i="1"/>
  <c r="K2202" i="1"/>
  <c r="L2202" i="1"/>
  <c r="M2202" i="1"/>
  <c r="N2202" i="1"/>
  <c r="O2202" i="1"/>
  <c r="P2202" i="1"/>
  <c r="Q2202" i="1"/>
  <c r="R2202" i="1" s="1"/>
  <c r="S2202" i="1" s="1"/>
  <c r="K2203" i="1"/>
  <c r="L2203" i="1"/>
  <c r="M2203" i="1"/>
  <c r="N2203" i="1"/>
  <c r="O2203" i="1"/>
  <c r="P2203" i="1"/>
  <c r="Q2203" i="1"/>
  <c r="K2204" i="1"/>
  <c r="L2204" i="1"/>
  <c r="M2204" i="1"/>
  <c r="T2204" i="1" s="1"/>
  <c r="N2204" i="1"/>
  <c r="O2204" i="1"/>
  <c r="P2204" i="1"/>
  <c r="Q2204" i="1"/>
  <c r="K2205" i="1"/>
  <c r="R2205" i="1" s="1"/>
  <c r="L2205" i="1"/>
  <c r="M2205" i="1"/>
  <c r="N2205" i="1"/>
  <c r="O2205" i="1"/>
  <c r="P2205" i="1"/>
  <c r="Q2205" i="1"/>
  <c r="S2205" i="1"/>
  <c r="T2205" i="1"/>
  <c r="K2206" i="1"/>
  <c r="L2206" i="1"/>
  <c r="M2206" i="1"/>
  <c r="N2206" i="1"/>
  <c r="O2206" i="1"/>
  <c r="P2206" i="1"/>
  <c r="Q2206" i="1"/>
  <c r="R2206" i="1" s="1"/>
  <c r="S2206" i="1" s="1"/>
  <c r="K2207" i="1"/>
  <c r="L2207" i="1"/>
  <c r="M2207" i="1"/>
  <c r="N2207" i="1"/>
  <c r="O2207" i="1"/>
  <c r="P2207" i="1"/>
  <c r="Q2207" i="1"/>
  <c r="K2208" i="1"/>
  <c r="L2208" i="1"/>
  <c r="M2208" i="1"/>
  <c r="N2208" i="1"/>
  <c r="O2208" i="1"/>
  <c r="P2208" i="1"/>
  <c r="Q2208" i="1"/>
  <c r="K2209" i="1"/>
  <c r="R2209" i="1" s="1"/>
  <c r="S2209" i="1" s="1"/>
  <c r="L2209" i="1"/>
  <c r="M2209" i="1"/>
  <c r="N2209" i="1"/>
  <c r="O2209" i="1"/>
  <c r="P2209" i="1"/>
  <c r="Q2209" i="1"/>
  <c r="K2210" i="1"/>
  <c r="T2210" i="1" s="1"/>
  <c r="L2210" i="1"/>
  <c r="M2210" i="1"/>
  <c r="N2210" i="1"/>
  <c r="O2210" i="1"/>
  <c r="P2210" i="1"/>
  <c r="Q2210" i="1"/>
  <c r="R2210" i="1"/>
  <c r="S2210" i="1" s="1"/>
  <c r="K2211" i="1"/>
  <c r="R2211" i="1" s="1"/>
  <c r="S2211" i="1" s="1"/>
  <c r="L2211" i="1"/>
  <c r="M2211" i="1"/>
  <c r="N2211" i="1"/>
  <c r="O2211" i="1"/>
  <c r="P2211" i="1"/>
  <c r="Q2211" i="1"/>
  <c r="K2212" i="1"/>
  <c r="L2212" i="1"/>
  <c r="R2212" i="1" s="1"/>
  <c r="S2212" i="1" s="1"/>
  <c r="M2212" i="1"/>
  <c r="N2212" i="1"/>
  <c r="O2212" i="1"/>
  <c r="P2212" i="1"/>
  <c r="Q2212" i="1"/>
  <c r="K2213" i="1"/>
  <c r="L2213" i="1"/>
  <c r="T2213" i="1" s="1"/>
  <c r="M2213" i="1"/>
  <c r="N2213" i="1"/>
  <c r="O2213" i="1"/>
  <c r="P2213" i="1"/>
  <c r="Q2213" i="1"/>
  <c r="K2214" i="1"/>
  <c r="T2214" i="1" s="1"/>
  <c r="L2214" i="1"/>
  <c r="M2214" i="1"/>
  <c r="N2214" i="1"/>
  <c r="O2214" i="1"/>
  <c r="P2214" i="1"/>
  <c r="Q2214" i="1"/>
  <c r="R2214" i="1" s="1"/>
  <c r="S2214" i="1" s="1"/>
  <c r="K2215" i="1"/>
  <c r="R2215" i="1" s="1"/>
  <c r="S2215" i="1" s="1"/>
  <c r="L2215" i="1"/>
  <c r="M2215" i="1"/>
  <c r="N2215" i="1"/>
  <c r="O2215" i="1"/>
  <c r="P2215" i="1"/>
  <c r="Q2215" i="1"/>
  <c r="K2216" i="1"/>
  <c r="L2216" i="1"/>
  <c r="R2216" i="1" s="1"/>
  <c r="S2216" i="1" s="1"/>
  <c r="M2216" i="1"/>
  <c r="T2216" i="1" s="1"/>
  <c r="N2216" i="1"/>
  <c r="O2216" i="1"/>
  <c r="P2216" i="1"/>
  <c r="Q2216" i="1"/>
  <c r="K2217" i="1"/>
  <c r="R2217" i="1" s="1"/>
  <c r="S2217" i="1" s="1"/>
  <c r="L2217" i="1"/>
  <c r="M2217" i="1"/>
  <c r="N2217" i="1"/>
  <c r="O2217" i="1"/>
  <c r="P2217" i="1"/>
  <c r="Q2217" i="1"/>
  <c r="T2217" i="1"/>
  <c r="K2218" i="1"/>
  <c r="T2218" i="1" s="1"/>
  <c r="L2218" i="1"/>
  <c r="M2218" i="1"/>
  <c r="N2218" i="1"/>
  <c r="O2218" i="1"/>
  <c r="P2218" i="1"/>
  <c r="Q2218" i="1"/>
  <c r="R2218" i="1"/>
  <c r="S2218" i="1" s="1"/>
  <c r="K2219" i="1"/>
  <c r="R2219" i="1" s="1"/>
  <c r="S2219" i="1" s="1"/>
  <c r="L2219" i="1"/>
  <c r="M2219" i="1"/>
  <c r="N2219" i="1"/>
  <c r="O2219" i="1"/>
  <c r="P2219" i="1"/>
  <c r="Q2219" i="1"/>
  <c r="K2220" i="1"/>
  <c r="L2220" i="1"/>
  <c r="R2220" i="1" s="1"/>
  <c r="S2220" i="1" s="1"/>
  <c r="M2220" i="1"/>
  <c r="T2220" i="1" s="1"/>
  <c r="N2220" i="1"/>
  <c r="O2220" i="1"/>
  <c r="P2220" i="1"/>
  <c r="Q2220" i="1"/>
  <c r="K2221" i="1"/>
  <c r="L2221" i="1"/>
  <c r="M2221" i="1"/>
  <c r="T2221" i="1" s="1"/>
  <c r="N2221" i="1"/>
  <c r="O2221" i="1"/>
  <c r="P2221" i="1"/>
  <c r="Q2221" i="1"/>
  <c r="K2222" i="1"/>
  <c r="T2222" i="1" s="1"/>
  <c r="L2222" i="1"/>
  <c r="M2222" i="1"/>
  <c r="N2222" i="1"/>
  <c r="O2222" i="1"/>
  <c r="P2222" i="1"/>
  <c r="Q2222" i="1"/>
  <c r="R2222" i="1"/>
  <c r="S2222" i="1" s="1"/>
  <c r="K2223" i="1"/>
  <c r="R2223" i="1" s="1"/>
  <c r="S2223" i="1" s="1"/>
  <c r="L2223" i="1"/>
  <c r="M2223" i="1"/>
  <c r="N2223" i="1"/>
  <c r="O2223" i="1"/>
  <c r="P2223" i="1"/>
  <c r="Q2223" i="1"/>
  <c r="K2224" i="1"/>
  <c r="L2224" i="1"/>
  <c r="R2224" i="1" s="1"/>
  <c r="S2224" i="1" s="1"/>
  <c r="M2224" i="1"/>
  <c r="T2224" i="1" s="1"/>
  <c r="N2224" i="1"/>
  <c r="O2224" i="1"/>
  <c r="P2224" i="1"/>
  <c r="Q2224" i="1"/>
  <c r="K2225" i="1"/>
  <c r="L2225" i="1"/>
  <c r="M2225" i="1"/>
  <c r="T2225" i="1" s="1"/>
  <c r="N2225" i="1"/>
  <c r="O2225" i="1"/>
  <c r="P2225" i="1"/>
  <c r="Q2225" i="1"/>
  <c r="K2226" i="1"/>
  <c r="T2226" i="1" s="1"/>
  <c r="L2226" i="1"/>
  <c r="M2226" i="1"/>
  <c r="N2226" i="1"/>
  <c r="O2226" i="1"/>
  <c r="P2226" i="1"/>
  <c r="Q2226" i="1"/>
  <c r="R2226" i="1"/>
  <c r="S2226" i="1" s="1"/>
  <c r="K2227" i="1"/>
  <c r="R2227" i="1" s="1"/>
  <c r="S2227" i="1" s="1"/>
  <c r="L2227" i="1"/>
  <c r="M2227" i="1"/>
  <c r="N2227" i="1"/>
  <c r="O2227" i="1"/>
  <c r="P2227" i="1"/>
  <c r="Q2227" i="1"/>
  <c r="K2228" i="1"/>
  <c r="L2228" i="1"/>
  <c r="R2228" i="1" s="1"/>
  <c r="S2228" i="1" s="1"/>
  <c r="M2228" i="1"/>
  <c r="T2228" i="1" s="1"/>
  <c r="N2228" i="1"/>
  <c r="O2228" i="1"/>
  <c r="P2228" i="1"/>
  <c r="Q2228" i="1"/>
  <c r="K2229" i="1"/>
  <c r="L2229" i="1"/>
  <c r="M2229" i="1"/>
  <c r="T2229" i="1" s="1"/>
  <c r="N2229" i="1"/>
  <c r="O2229" i="1"/>
  <c r="P2229" i="1"/>
  <c r="Q2229" i="1"/>
  <c r="K2230" i="1"/>
  <c r="T2230" i="1" s="1"/>
  <c r="L2230" i="1"/>
  <c r="M2230" i="1"/>
  <c r="N2230" i="1"/>
  <c r="O2230" i="1"/>
  <c r="P2230" i="1"/>
  <c r="Q2230" i="1"/>
  <c r="R2230" i="1"/>
  <c r="S2230" i="1" s="1"/>
  <c r="K2231" i="1"/>
  <c r="R2231" i="1" s="1"/>
  <c r="S2231" i="1" s="1"/>
  <c r="L2231" i="1"/>
  <c r="M2231" i="1"/>
  <c r="N2231" i="1"/>
  <c r="O2231" i="1"/>
  <c r="P2231" i="1"/>
  <c r="Q2231" i="1"/>
  <c r="K2232" i="1"/>
  <c r="L2232" i="1"/>
  <c r="R2232" i="1" s="1"/>
  <c r="S2232" i="1" s="1"/>
  <c r="M2232" i="1"/>
  <c r="T2232" i="1" s="1"/>
  <c r="N2232" i="1"/>
  <c r="O2232" i="1"/>
  <c r="P2232" i="1"/>
  <c r="Q2232" i="1"/>
  <c r="K2233" i="1"/>
  <c r="L2233" i="1"/>
  <c r="M2233" i="1"/>
  <c r="T2233" i="1" s="1"/>
  <c r="N2233" i="1"/>
  <c r="O2233" i="1"/>
  <c r="P2233" i="1"/>
  <c r="Q2233" i="1"/>
  <c r="K2234" i="1"/>
  <c r="T2234" i="1" s="1"/>
  <c r="L2234" i="1"/>
  <c r="M2234" i="1"/>
  <c r="N2234" i="1"/>
  <c r="O2234" i="1"/>
  <c r="P2234" i="1"/>
  <c r="Q2234" i="1"/>
  <c r="R2234" i="1"/>
  <c r="S2234" i="1" s="1"/>
  <c r="K2235" i="1"/>
  <c r="R2235" i="1" s="1"/>
  <c r="S2235" i="1" s="1"/>
  <c r="L2235" i="1"/>
  <c r="M2235" i="1"/>
  <c r="N2235" i="1"/>
  <c r="O2235" i="1"/>
  <c r="P2235" i="1"/>
  <c r="Q2235" i="1"/>
  <c r="K2236" i="1"/>
  <c r="L2236" i="1"/>
  <c r="R2236" i="1" s="1"/>
  <c r="S2236" i="1" s="1"/>
  <c r="M2236" i="1"/>
  <c r="T2236" i="1" s="1"/>
  <c r="N2236" i="1"/>
  <c r="O2236" i="1"/>
  <c r="P2236" i="1"/>
  <c r="Q2236" i="1"/>
  <c r="K2237" i="1"/>
  <c r="L2237" i="1"/>
  <c r="M2237" i="1"/>
  <c r="T2237" i="1" s="1"/>
  <c r="N2237" i="1"/>
  <c r="O2237" i="1"/>
  <c r="P2237" i="1"/>
  <c r="Q2237" i="1"/>
  <c r="K2238" i="1"/>
  <c r="L2238" i="1"/>
  <c r="M2238" i="1"/>
  <c r="R2238" i="1" s="1"/>
  <c r="S2238" i="1" s="1"/>
  <c r="N2238" i="1"/>
  <c r="O2238" i="1"/>
  <c r="P2238" i="1"/>
  <c r="Q2238" i="1"/>
  <c r="K2239" i="1"/>
  <c r="L2239" i="1"/>
  <c r="M2239" i="1"/>
  <c r="N2239" i="1"/>
  <c r="O2239" i="1"/>
  <c r="P2239" i="1"/>
  <c r="Q2239" i="1"/>
  <c r="K2240" i="1"/>
  <c r="L2240" i="1"/>
  <c r="R2240" i="1" s="1"/>
  <c r="S2240" i="1" s="1"/>
  <c r="M2240" i="1"/>
  <c r="N2240" i="1"/>
  <c r="O2240" i="1"/>
  <c r="P2240" i="1"/>
  <c r="Q2240" i="1"/>
  <c r="K2241" i="1"/>
  <c r="L2241" i="1"/>
  <c r="T2241" i="1" s="1"/>
  <c r="M2241" i="1"/>
  <c r="N2241" i="1"/>
  <c r="O2241" i="1"/>
  <c r="P2241" i="1"/>
  <c r="Q2241" i="1"/>
  <c r="K2242" i="1"/>
  <c r="T2242" i="1" s="1"/>
  <c r="L2242" i="1"/>
  <c r="M2242" i="1"/>
  <c r="N2242" i="1"/>
  <c r="O2242" i="1"/>
  <c r="P2242" i="1"/>
  <c r="Q2242" i="1"/>
  <c r="K2243" i="1"/>
  <c r="L2243" i="1"/>
  <c r="M2243" i="1"/>
  <c r="N2243" i="1"/>
  <c r="O2243" i="1"/>
  <c r="P2243" i="1"/>
  <c r="Q2243" i="1"/>
  <c r="K2244" i="1"/>
  <c r="L2244" i="1"/>
  <c r="M2244" i="1"/>
  <c r="N2244" i="1"/>
  <c r="O2244" i="1"/>
  <c r="P2244" i="1"/>
  <c r="Q2244" i="1"/>
  <c r="K2245" i="1"/>
  <c r="R2245" i="1" s="1"/>
  <c r="S2245" i="1" s="1"/>
  <c r="L2245" i="1"/>
  <c r="M2245" i="1"/>
  <c r="N2245" i="1"/>
  <c r="O2245" i="1"/>
  <c r="P2245" i="1"/>
  <c r="Q2245" i="1"/>
  <c r="K2246" i="1"/>
  <c r="T2246" i="1" s="1"/>
  <c r="L2246" i="1"/>
  <c r="M2246" i="1"/>
  <c r="N2246" i="1"/>
  <c r="O2246" i="1"/>
  <c r="P2246" i="1"/>
  <c r="Q2246" i="1"/>
  <c r="R2246" i="1"/>
  <c r="S2246" i="1" s="1"/>
  <c r="K2247" i="1"/>
  <c r="L2247" i="1"/>
  <c r="M2247" i="1"/>
  <c r="N2247" i="1"/>
  <c r="O2247" i="1"/>
  <c r="P2247" i="1"/>
  <c r="Q2247" i="1"/>
  <c r="K2248" i="1"/>
  <c r="L2248" i="1"/>
  <c r="M2248" i="1"/>
  <c r="N2248" i="1"/>
  <c r="O2248" i="1"/>
  <c r="P2248" i="1"/>
  <c r="Q2248" i="1"/>
  <c r="K2249" i="1"/>
  <c r="T2249" i="1" s="1"/>
  <c r="L2249" i="1"/>
  <c r="M2249" i="1"/>
  <c r="N2249" i="1"/>
  <c r="O2249" i="1"/>
  <c r="P2249" i="1"/>
  <c r="Q2249" i="1"/>
  <c r="R2249" i="1"/>
  <c r="S2249" i="1" s="1"/>
  <c r="K2250" i="1"/>
  <c r="L2250" i="1"/>
  <c r="M2250" i="1"/>
  <c r="N2250" i="1"/>
  <c r="O2250" i="1"/>
  <c r="P2250" i="1"/>
  <c r="Q2250" i="1"/>
  <c r="K2251" i="1"/>
  <c r="L2251" i="1"/>
  <c r="M2251" i="1"/>
  <c r="N2251" i="1"/>
  <c r="O2251" i="1"/>
  <c r="P2251" i="1"/>
  <c r="Q2251" i="1"/>
  <c r="K2252" i="1"/>
  <c r="L2252" i="1"/>
  <c r="M2252" i="1"/>
  <c r="N2252" i="1"/>
  <c r="O2252" i="1"/>
  <c r="P2252" i="1"/>
  <c r="Q2252" i="1"/>
  <c r="K2253" i="1"/>
  <c r="R2253" i="1" s="1"/>
  <c r="S2253" i="1" s="1"/>
  <c r="L2253" i="1"/>
  <c r="M2253" i="1"/>
  <c r="N2253" i="1"/>
  <c r="O2253" i="1"/>
  <c r="P2253" i="1"/>
  <c r="Q2253" i="1"/>
  <c r="K2254" i="1"/>
  <c r="R2254" i="1" s="1"/>
  <c r="S2254" i="1" s="1"/>
  <c r="L2254" i="1"/>
  <c r="M2254" i="1"/>
  <c r="N2254" i="1"/>
  <c r="O2254" i="1"/>
  <c r="P2254" i="1"/>
  <c r="Q2254" i="1"/>
  <c r="K2255" i="1"/>
  <c r="T2255" i="1" s="1"/>
  <c r="L2255" i="1"/>
  <c r="M2255" i="1"/>
  <c r="N2255" i="1"/>
  <c r="O2255" i="1"/>
  <c r="P2255" i="1"/>
  <c r="Q2255" i="1"/>
  <c r="K2256" i="1"/>
  <c r="L2256" i="1"/>
  <c r="M2256" i="1"/>
  <c r="N2256" i="1"/>
  <c r="O2256" i="1"/>
  <c r="P2256" i="1"/>
  <c r="Q2256" i="1"/>
  <c r="T2256" i="1"/>
  <c r="K2257" i="1"/>
  <c r="T2257" i="1" s="1"/>
  <c r="L2257" i="1"/>
  <c r="M2257" i="1"/>
  <c r="N2257" i="1"/>
  <c r="O2257" i="1"/>
  <c r="P2257" i="1"/>
  <c r="Q2257" i="1"/>
  <c r="R2257" i="1"/>
  <c r="S2257" i="1" s="1"/>
  <c r="K2258" i="1"/>
  <c r="R2258" i="1" s="1"/>
  <c r="S2258" i="1" s="1"/>
  <c r="L2258" i="1"/>
  <c r="M2258" i="1"/>
  <c r="N2258" i="1"/>
  <c r="O2258" i="1"/>
  <c r="P2258" i="1"/>
  <c r="T2258" i="1" s="1"/>
  <c r="Q2258" i="1"/>
  <c r="K2259" i="1"/>
  <c r="L2259" i="1"/>
  <c r="M2259" i="1"/>
  <c r="N2259" i="1"/>
  <c r="R2259" i="1" s="1"/>
  <c r="S2259" i="1" s="1"/>
  <c r="O2259" i="1"/>
  <c r="P2259" i="1"/>
  <c r="Q2259" i="1"/>
  <c r="K2260" i="1"/>
  <c r="L2260" i="1"/>
  <c r="M2260" i="1"/>
  <c r="N2260" i="1"/>
  <c r="O2260" i="1"/>
  <c r="P2260" i="1"/>
  <c r="Q2260" i="1"/>
  <c r="K2261" i="1"/>
  <c r="R2261" i="1" s="1"/>
  <c r="S2261" i="1" s="1"/>
  <c r="L2261" i="1"/>
  <c r="M2261" i="1"/>
  <c r="N2261" i="1"/>
  <c r="O2261" i="1"/>
  <c r="P2261" i="1"/>
  <c r="Q2261" i="1"/>
  <c r="K2262" i="1"/>
  <c r="R2262" i="1" s="1"/>
  <c r="S2262" i="1" s="1"/>
  <c r="L2262" i="1"/>
  <c r="M2262" i="1"/>
  <c r="N2262" i="1"/>
  <c r="O2262" i="1"/>
  <c r="P2262" i="1"/>
  <c r="Q2262" i="1"/>
  <c r="K2263" i="1"/>
  <c r="L2263" i="1"/>
  <c r="M2263" i="1"/>
  <c r="N2263" i="1"/>
  <c r="O2263" i="1"/>
  <c r="P2263" i="1"/>
  <c r="Q2263" i="1"/>
  <c r="R2263" i="1" s="1"/>
  <c r="S2263" i="1" s="1"/>
  <c r="K2264" i="1"/>
  <c r="L2264" i="1"/>
  <c r="M2264" i="1"/>
  <c r="N2264" i="1"/>
  <c r="O2264" i="1"/>
  <c r="P2264" i="1"/>
  <c r="Q2264" i="1"/>
  <c r="K2265" i="1"/>
  <c r="R2265" i="1" s="1"/>
  <c r="S2265" i="1" s="1"/>
  <c r="L2265" i="1"/>
  <c r="M2265" i="1"/>
  <c r="N2265" i="1"/>
  <c r="T2265" i="1" s="1"/>
  <c r="O2265" i="1"/>
  <c r="P2265" i="1"/>
  <c r="Q2265" i="1"/>
  <c r="K2266" i="1"/>
  <c r="L2266" i="1"/>
  <c r="R2266" i="1" s="1"/>
  <c r="S2266" i="1" s="1"/>
  <c r="M2266" i="1"/>
  <c r="N2266" i="1"/>
  <c r="O2266" i="1"/>
  <c r="P2266" i="1"/>
  <c r="Q2266" i="1"/>
  <c r="T2266" i="1"/>
  <c r="K2267" i="1"/>
  <c r="T2267" i="1" s="1"/>
  <c r="L2267" i="1"/>
  <c r="M2267" i="1"/>
  <c r="N2267" i="1"/>
  <c r="O2267" i="1"/>
  <c r="P2267" i="1"/>
  <c r="Q2267" i="1"/>
  <c r="R2267" i="1"/>
  <c r="S2267" i="1" s="1"/>
  <c r="K2268" i="1"/>
  <c r="L2268" i="1"/>
  <c r="R2268" i="1" s="1"/>
  <c r="S2268" i="1" s="1"/>
  <c r="M2268" i="1"/>
  <c r="N2268" i="1"/>
  <c r="O2268" i="1"/>
  <c r="P2268" i="1"/>
  <c r="Q2268" i="1"/>
  <c r="K2269" i="1"/>
  <c r="R2269" i="1" s="1"/>
  <c r="S2269" i="1" s="1"/>
  <c r="L2269" i="1"/>
  <c r="M2269" i="1"/>
  <c r="N2269" i="1"/>
  <c r="O2269" i="1"/>
  <c r="P2269" i="1"/>
  <c r="Q2269" i="1"/>
  <c r="K2270" i="1"/>
  <c r="L2270" i="1"/>
  <c r="M2270" i="1"/>
  <c r="T2270" i="1" s="1"/>
  <c r="N2270" i="1"/>
  <c r="O2270" i="1"/>
  <c r="P2270" i="1"/>
  <c r="Q2270" i="1"/>
  <c r="R2270" i="1" s="1"/>
  <c r="S2270" i="1" s="1"/>
  <c r="K2271" i="1"/>
  <c r="L2271" i="1"/>
  <c r="M2271" i="1"/>
  <c r="N2271" i="1"/>
  <c r="O2271" i="1"/>
  <c r="P2271" i="1"/>
  <c r="Q2271" i="1"/>
  <c r="K2272" i="1"/>
  <c r="L2272" i="1"/>
  <c r="M2272" i="1"/>
  <c r="N2272" i="1"/>
  <c r="O2272" i="1"/>
  <c r="P2272" i="1"/>
  <c r="Q2272" i="1"/>
  <c r="K2273" i="1"/>
  <c r="L2273" i="1"/>
  <c r="R2273" i="1" s="1"/>
  <c r="S2273" i="1" s="1"/>
  <c r="M2273" i="1"/>
  <c r="N2273" i="1"/>
  <c r="T2273" i="1" s="1"/>
  <c r="O2273" i="1"/>
  <c r="P2273" i="1"/>
  <c r="Q2273" i="1"/>
  <c r="K2274" i="1"/>
  <c r="L2274" i="1"/>
  <c r="T2274" i="1" s="1"/>
  <c r="M2274" i="1"/>
  <c r="N2274" i="1"/>
  <c r="O2274" i="1"/>
  <c r="P2274" i="1"/>
  <c r="Q2274" i="1"/>
  <c r="K2275" i="1"/>
  <c r="T2275" i="1" s="1"/>
  <c r="L2275" i="1"/>
  <c r="M2275" i="1"/>
  <c r="N2275" i="1"/>
  <c r="O2275" i="1"/>
  <c r="P2275" i="1"/>
  <c r="Q2275" i="1"/>
  <c r="R2275" i="1"/>
  <c r="S2275" i="1" s="1"/>
  <c r="K2276" i="1"/>
  <c r="L2276" i="1"/>
  <c r="M2276" i="1"/>
  <c r="N2276" i="1"/>
  <c r="O2276" i="1"/>
  <c r="P2276" i="1"/>
  <c r="Q2276" i="1"/>
  <c r="T2276" i="1" s="1"/>
  <c r="K2277" i="1"/>
  <c r="L2277" i="1"/>
  <c r="M2277" i="1"/>
  <c r="T2277" i="1" s="1"/>
  <c r="N2277" i="1"/>
  <c r="O2277" i="1"/>
  <c r="P2277" i="1"/>
  <c r="Q2277" i="1"/>
  <c r="R2277" i="1"/>
  <c r="S2277" i="1" s="1"/>
  <c r="K2278" i="1"/>
  <c r="R2278" i="1" s="1"/>
  <c r="S2278" i="1" s="1"/>
  <c r="L2278" i="1"/>
  <c r="M2278" i="1"/>
  <c r="N2278" i="1"/>
  <c r="O2278" i="1"/>
  <c r="P2278" i="1"/>
  <c r="Q2278" i="1"/>
  <c r="K2279" i="1"/>
  <c r="L2279" i="1"/>
  <c r="M2279" i="1"/>
  <c r="N2279" i="1"/>
  <c r="O2279" i="1"/>
  <c r="P2279" i="1"/>
  <c r="Q2279" i="1"/>
  <c r="K2280" i="1"/>
  <c r="L2280" i="1"/>
  <c r="R2280" i="1" s="1"/>
  <c r="S2280" i="1" s="1"/>
  <c r="M2280" i="1"/>
  <c r="N2280" i="1"/>
  <c r="O2280" i="1"/>
  <c r="P2280" i="1"/>
  <c r="Q2280" i="1"/>
  <c r="K2281" i="1"/>
  <c r="R2281" i="1" s="1"/>
  <c r="S2281" i="1" s="1"/>
  <c r="L2281" i="1"/>
  <c r="M2281" i="1"/>
  <c r="N2281" i="1"/>
  <c r="O2281" i="1"/>
  <c r="P2281" i="1"/>
  <c r="Q2281" i="1"/>
  <c r="K2282" i="1"/>
  <c r="L2282" i="1"/>
  <c r="M2282" i="1"/>
  <c r="T2282" i="1" s="1"/>
  <c r="N2282" i="1"/>
  <c r="O2282" i="1"/>
  <c r="P2282" i="1"/>
  <c r="Q2282" i="1"/>
  <c r="R2282" i="1" s="1"/>
  <c r="S2282" i="1" s="1"/>
  <c r="K2283" i="1"/>
  <c r="R2283" i="1" s="1"/>
  <c r="S2283" i="1" s="1"/>
  <c r="L2283" i="1"/>
  <c r="M2283" i="1"/>
  <c r="N2283" i="1"/>
  <c r="O2283" i="1"/>
  <c r="P2283" i="1"/>
  <c r="Q2283" i="1"/>
  <c r="K2284" i="1"/>
  <c r="L2284" i="1"/>
  <c r="R2284" i="1" s="1"/>
  <c r="S2284" i="1" s="1"/>
  <c r="M2284" i="1"/>
  <c r="T2284" i="1" s="1"/>
  <c r="N2284" i="1"/>
  <c r="O2284" i="1"/>
  <c r="P2284" i="1"/>
  <c r="Q2284" i="1"/>
  <c r="K2285" i="1"/>
  <c r="L2285" i="1"/>
  <c r="T2285" i="1" s="1"/>
  <c r="M2285" i="1"/>
  <c r="N2285" i="1"/>
  <c r="O2285" i="1"/>
  <c r="P2285" i="1"/>
  <c r="Q2285" i="1"/>
  <c r="K2286" i="1"/>
  <c r="T2286" i="1" s="1"/>
  <c r="L2286" i="1"/>
  <c r="M2286" i="1"/>
  <c r="N2286" i="1"/>
  <c r="O2286" i="1"/>
  <c r="P2286" i="1"/>
  <c r="Q2286" i="1"/>
  <c r="R2286" i="1"/>
  <c r="S2286" i="1" s="1"/>
  <c r="K2287" i="1"/>
  <c r="R2287" i="1" s="1"/>
  <c r="S2287" i="1" s="1"/>
  <c r="L2287" i="1"/>
  <c r="M2287" i="1"/>
  <c r="N2287" i="1"/>
  <c r="T2287" i="1" s="1"/>
  <c r="O2287" i="1"/>
  <c r="P2287" i="1"/>
  <c r="Q2287" i="1"/>
  <c r="K2288" i="1"/>
  <c r="L2288" i="1"/>
  <c r="R2288" i="1" s="1"/>
  <c r="S2288" i="1" s="1"/>
  <c r="M2288" i="1"/>
  <c r="N2288" i="1"/>
  <c r="O2288" i="1"/>
  <c r="P2288" i="1"/>
  <c r="Q2288" i="1"/>
  <c r="K2289" i="1"/>
  <c r="R2289" i="1" s="1"/>
  <c r="S2289" i="1" s="1"/>
  <c r="L2289" i="1"/>
  <c r="M2289" i="1"/>
  <c r="N2289" i="1"/>
  <c r="O2289" i="1"/>
  <c r="P2289" i="1"/>
  <c r="Q2289" i="1"/>
  <c r="K2290" i="1"/>
  <c r="R2290" i="1" s="1"/>
  <c r="S2290" i="1" s="1"/>
  <c r="L2290" i="1"/>
  <c r="M2290" i="1"/>
  <c r="N2290" i="1"/>
  <c r="O2290" i="1"/>
  <c r="P2290" i="1"/>
  <c r="Q2290" i="1"/>
  <c r="K2291" i="1"/>
  <c r="L2291" i="1"/>
  <c r="M2291" i="1"/>
  <c r="N2291" i="1"/>
  <c r="T2291" i="1" s="1"/>
  <c r="O2291" i="1"/>
  <c r="P2291" i="1"/>
  <c r="Q2291" i="1"/>
  <c r="R2291" i="1" s="1"/>
  <c r="S2291" i="1" s="1"/>
  <c r="K2292" i="1"/>
  <c r="L2292" i="1"/>
  <c r="R2292" i="1" s="1"/>
  <c r="S2292" i="1" s="1"/>
  <c r="M2292" i="1"/>
  <c r="T2292" i="1" s="1"/>
  <c r="N2292" i="1"/>
  <c r="O2292" i="1"/>
  <c r="P2292" i="1"/>
  <c r="Q2292" i="1"/>
  <c r="K2293" i="1"/>
  <c r="L2293" i="1"/>
  <c r="R2293" i="1" s="1"/>
  <c r="S2293" i="1" s="1"/>
  <c r="M2293" i="1"/>
  <c r="N2293" i="1"/>
  <c r="T2293" i="1" s="1"/>
  <c r="O2293" i="1"/>
  <c r="P2293" i="1"/>
  <c r="Q2293" i="1"/>
  <c r="K2294" i="1"/>
  <c r="L2294" i="1"/>
  <c r="R2294" i="1" s="1"/>
  <c r="S2294" i="1" s="1"/>
  <c r="M2294" i="1"/>
  <c r="N2294" i="1"/>
  <c r="O2294" i="1"/>
  <c r="P2294" i="1"/>
  <c r="Q2294" i="1"/>
  <c r="T2294" i="1"/>
  <c r="K2295" i="1"/>
  <c r="T2295" i="1" s="1"/>
  <c r="L2295" i="1"/>
  <c r="M2295" i="1"/>
  <c r="N2295" i="1"/>
  <c r="O2295" i="1"/>
  <c r="P2295" i="1"/>
  <c r="Q2295" i="1"/>
  <c r="R2295" i="1"/>
  <c r="S2295" i="1" s="1"/>
  <c r="K2296" i="1"/>
  <c r="L2296" i="1"/>
  <c r="R2296" i="1" s="1"/>
  <c r="S2296" i="1" s="1"/>
  <c r="M2296" i="1"/>
  <c r="N2296" i="1"/>
  <c r="O2296" i="1"/>
  <c r="P2296" i="1"/>
  <c r="Q2296" i="1"/>
  <c r="K2297" i="1"/>
  <c r="R2297" i="1" s="1"/>
  <c r="S2297" i="1" s="1"/>
  <c r="L2297" i="1"/>
  <c r="M2297" i="1"/>
  <c r="N2297" i="1"/>
  <c r="O2297" i="1"/>
  <c r="P2297" i="1"/>
  <c r="Q2297" i="1"/>
  <c r="K2298" i="1"/>
  <c r="R2298" i="1" s="1"/>
  <c r="S2298" i="1" s="1"/>
  <c r="L2298" i="1"/>
  <c r="M2298" i="1"/>
  <c r="N2298" i="1"/>
  <c r="O2298" i="1"/>
  <c r="P2298" i="1"/>
  <c r="Q2298" i="1"/>
  <c r="K2299" i="1"/>
  <c r="R2299" i="1" s="1"/>
  <c r="S2299" i="1" s="1"/>
  <c r="L2299" i="1"/>
  <c r="M2299" i="1"/>
  <c r="N2299" i="1"/>
  <c r="O2299" i="1"/>
  <c r="P2299" i="1"/>
  <c r="Q2299" i="1"/>
  <c r="K2300" i="1"/>
  <c r="L2300" i="1"/>
  <c r="T2300" i="1" s="1"/>
  <c r="M2300" i="1"/>
  <c r="N2300" i="1"/>
  <c r="O2300" i="1"/>
  <c r="P2300" i="1"/>
  <c r="Q2300" i="1"/>
  <c r="R2300" i="1" s="1"/>
  <c r="S2300" i="1" s="1"/>
  <c r="K2301" i="1"/>
  <c r="R2301" i="1" s="1"/>
  <c r="S2301" i="1" s="1"/>
  <c r="L2301" i="1"/>
  <c r="M2301" i="1"/>
  <c r="N2301" i="1"/>
  <c r="T2301" i="1" s="1"/>
  <c r="O2301" i="1"/>
  <c r="P2301" i="1"/>
  <c r="Q2301" i="1"/>
  <c r="K2302" i="1"/>
  <c r="L2302" i="1"/>
  <c r="R2302" i="1" s="1"/>
  <c r="S2302" i="1" s="1"/>
  <c r="M2302" i="1"/>
  <c r="N2302" i="1"/>
  <c r="T2302" i="1" s="1"/>
  <c r="O2302" i="1"/>
  <c r="P2302" i="1"/>
  <c r="Q2302" i="1"/>
  <c r="K2303" i="1"/>
  <c r="L2303" i="1"/>
  <c r="R2303" i="1" s="1"/>
  <c r="S2303" i="1" s="1"/>
  <c r="M2303" i="1"/>
  <c r="N2303" i="1"/>
  <c r="O2303" i="1"/>
  <c r="P2303" i="1"/>
  <c r="Q2303" i="1"/>
  <c r="T2303" i="1"/>
  <c r="K2304" i="1"/>
  <c r="L2304" i="1"/>
  <c r="M2304" i="1"/>
  <c r="N2304" i="1"/>
  <c r="O2304" i="1"/>
  <c r="P2304" i="1"/>
  <c r="Q2304" i="1"/>
  <c r="R2304" i="1"/>
  <c r="S2304" i="1" s="1"/>
  <c r="T2304" i="1"/>
  <c r="K2305" i="1"/>
  <c r="L2305" i="1"/>
  <c r="M2305" i="1"/>
  <c r="T2305" i="1" s="1"/>
  <c r="N2305" i="1"/>
  <c r="O2305" i="1"/>
  <c r="P2305" i="1"/>
  <c r="Q2305" i="1"/>
  <c r="R2305" i="1"/>
  <c r="S2305" i="1" s="1"/>
  <c r="K2306" i="1"/>
  <c r="R2306" i="1" s="1"/>
  <c r="S2306" i="1" s="1"/>
  <c r="L2306" i="1"/>
  <c r="M2306" i="1"/>
  <c r="N2306" i="1"/>
  <c r="O2306" i="1"/>
  <c r="P2306" i="1"/>
  <c r="Q2306" i="1"/>
  <c r="K2307" i="1"/>
  <c r="R2307" i="1" s="1"/>
  <c r="S2307" i="1" s="1"/>
  <c r="L2307" i="1"/>
  <c r="M2307" i="1"/>
  <c r="N2307" i="1"/>
  <c r="O2307" i="1"/>
  <c r="P2307" i="1"/>
  <c r="Q2307" i="1"/>
  <c r="K2308" i="1"/>
  <c r="L2308" i="1"/>
  <c r="R2308" i="1" s="1"/>
  <c r="S2308" i="1" s="1"/>
  <c r="M2308" i="1"/>
  <c r="N2308" i="1"/>
  <c r="O2308" i="1"/>
  <c r="P2308" i="1"/>
  <c r="Q2308" i="1"/>
  <c r="T2308" i="1"/>
  <c r="K2309" i="1"/>
  <c r="T2309" i="1" s="1"/>
  <c r="L2309" i="1"/>
  <c r="M2309" i="1"/>
  <c r="N2309" i="1"/>
  <c r="O2309" i="1"/>
  <c r="P2309" i="1"/>
  <c r="Q2309" i="1"/>
  <c r="R2309" i="1"/>
  <c r="S2309" i="1" s="1"/>
  <c r="K2310" i="1"/>
  <c r="R2310" i="1" s="1"/>
  <c r="S2310" i="1" s="1"/>
  <c r="L2310" i="1"/>
  <c r="M2310" i="1"/>
  <c r="N2310" i="1"/>
  <c r="T2310" i="1" s="1"/>
  <c r="O2310" i="1"/>
  <c r="P2310" i="1"/>
  <c r="Q2310" i="1"/>
  <c r="K2311" i="1"/>
  <c r="L2311" i="1"/>
  <c r="R2311" i="1" s="1"/>
  <c r="S2311" i="1" s="1"/>
  <c r="M2311" i="1"/>
  <c r="N2311" i="1"/>
  <c r="T2311" i="1" s="1"/>
  <c r="O2311" i="1"/>
  <c r="P2311" i="1"/>
  <c r="Q2311" i="1"/>
  <c r="K2312" i="1"/>
  <c r="L2312" i="1"/>
  <c r="R2312" i="1" s="1"/>
  <c r="S2312" i="1" s="1"/>
  <c r="M2312" i="1"/>
  <c r="N2312" i="1"/>
  <c r="O2312" i="1"/>
  <c r="P2312" i="1"/>
  <c r="Q2312" i="1"/>
  <c r="K2313" i="1"/>
  <c r="R2313" i="1" s="1"/>
  <c r="S2313" i="1" s="1"/>
  <c r="L2313" i="1"/>
  <c r="M2313" i="1"/>
  <c r="N2313" i="1"/>
  <c r="O2313" i="1"/>
  <c r="P2313" i="1"/>
  <c r="Q2313" i="1"/>
  <c r="K2314" i="1"/>
  <c r="L2314" i="1"/>
  <c r="M2314" i="1"/>
  <c r="T2314" i="1" s="1"/>
  <c r="N2314" i="1"/>
  <c r="O2314" i="1"/>
  <c r="P2314" i="1"/>
  <c r="Q2314" i="1"/>
  <c r="R2314" i="1" s="1"/>
  <c r="S2314" i="1" s="1"/>
  <c r="K2315" i="1"/>
  <c r="R2315" i="1" s="1"/>
  <c r="S2315" i="1" s="1"/>
  <c r="L2315" i="1"/>
  <c r="M2315" i="1"/>
  <c r="N2315" i="1"/>
  <c r="O2315" i="1"/>
  <c r="P2315" i="1"/>
  <c r="Q2315" i="1"/>
  <c r="K2316" i="1"/>
  <c r="L2316" i="1"/>
  <c r="R2316" i="1" s="1"/>
  <c r="S2316" i="1" s="1"/>
  <c r="M2316" i="1"/>
  <c r="T2316" i="1" s="1"/>
  <c r="N2316" i="1"/>
  <c r="O2316" i="1"/>
  <c r="P2316" i="1"/>
  <c r="Q2316" i="1"/>
  <c r="K2317" i="1"/>
  <c r="L2317" i="1"/>
  <c r="R2317" i="1" s="1"/>
  <c r="S2317" i="1" s="1"/>
  <c r="M2317" i="1"/>
  <c r="N2317" i="1"/>
  <c r="O2317" i="1"/>
  <c r="P2317" i="1"/>
  <c r="Q2317" i="1"/>
  <c r="T2317" i="1"/>
  <c r="K2318" i="1"/>
  <c r="T2318" i="1" s="1"/>
  <c r="L2318" i="1"/>
  <c r="M2318" i="1"/>
  <c r="N2318" i="1"/>
  <c r="O2318" i="1"/>
  <c r="P2318" i="1"/>
  <c r="Q2318" i="1"/>
  <c r="R2318" i="1"/>
  <c r="S2318" i="1" s="1"/>
  <c r="K2319" i="1"/>
  <c r="R2319" i="1" s="1"/>
  <c r="S2319" i="1" s="1"/>
  <c r="L2319" i="1"/>
  <c r="M2319" i="1"/>
  <c r="N2319" i="1"/>
  <c r="T2319" i="1" s="1"/>
  <c r="O2319" i="1"/>
  <c r="P2319" i="1"/>
  <c r="Q2319" i="1"/>
  <c r="K2320" i="1"/>
  <c r="L2320" i="1"/>
  <c r="R2320" i="1" s="1"/>
  <c r="S2320" i="1" s="1"/>
  <c r="M2320" i="1"/>
  <c r="N2320" i="1"/>
  <c r="O2320" i="1"/>
  <c r="P2320" i="1"/>
  <c r="Q2320" i="1"/>
  <c r="K2321" i="1"/>
  <c r="R2321" i="1" s="1"/>
  <c r="S2321" i="1" s="1"/>
  <c r="L2321" i="1"/>
  <c r="M2321" i="1"/>
  <c r="N2321" i="1"/>
  <c r="O2321" i="1"/>
  <c r="P2321" i="1"/>
  <c r="Q2321" i="1"/>
  <c r="K2322" i="1"/>
  <c r="R2322" i="1" s="1"/>
  <c r="S2322" i="1" s="1"/>
  <c r="L2322" i="1"/>
  <c r="M2322" i="1"/>
  <c r="N2322" i="1"/>
  <c r="O2322" i="1"/>
  <c r="P2322" i="1"/>
  <c r="Q2322" i="1"/>
  <c r="K2323" i="1"/>
  <c r="L2323" i="1"/>
  <c r="M2323" i="1"/>
  <c r="N2323" i="1"/>
  <c r="O2323" i="1"/>
  <c r="T2323" i="1" s="1"/>
  <c r="P2323" i="1"/>
  <c r="Q2323" i="1"/>
  <c r="R2323" i="1" s="1"/>
  <c r="S2323" i="1" s="1"/>
  <c r="K2324" i="1"/>
  <c r="L2324" i="1"/>
  <c r="M2324" i="1"/>
  <c r="R2324" i="1" s="1"/>
  <c r="S2324" i="1" s="1"/>
  <c r="N2324" i="1"/>
  <c r="O2324" i="1"/>
  <c r="P2324" i="1"/>
  <c r="Q2324" i="1"/>
  <c r="K2325" i="1"/>
  <c r="L2325" i="1"/>
  <c r="R2325" i="1" s="1"/>
  <c r="S2325" i="1" s="1"/>
  <c r="M2325" i="1"/>
  <c r="N2325" i="1"/>
  <c r="T2325" i="1" s="1"/>
  <c r="O2325" i="1"/>
  <c r="P2325" i="1"/>
  <c r="Q2325" i="1"/>
  <c r="K2326" i="1"/>
  <c r="L2326" i="1"/>
  <c r="R2326" i="1" s="1"/>
  <c r="S2326" i="1" s="1"/>
  <c r="M2326" i="1"/>
  <c r="N2326" i="1"/>
  <c r="O2326" i="1"/>
  <c r="P2326" i="1"/>
  <c r="Q2326" i="1"/>
  <c r="T2326" i="1"/>
  <c r="K2327" i="1"/>
  <c r="T2327" i="1" s="1"/>
  <c r="L2327" i="1"/>
  <c r="M2327" i="1"/>
  <c r="N2327" i="1"/>
  <c r="O2327" i="1"/>
  <c r="P2327" i="1"/>
  <c r="Q2327" i="1"/>
  <c r="R2327" i="1"/>
  <c r="S2327" i="1" s="1"/>
  <c r="K2328" i="1"/>
  <c r="L2328" i="1"/>
  <c r="R2328" i="1" s="1"/>
  <c r="S2328" i="1" s="1"/>
  <c r="M2328" i="1"/>
  <c r="N2328" i="1"/>
  <c r="O2328" i="1"/>
  <c r="P2328" i="1"/>
  <c r="Q2328" i="1"/>
  <c r="K2329" i="1"/>
  <c r="R2329" i="1" s="1"/>
  <c r="S2329" i="1" s="1"/>
  <c r="L2329" i="1"/>
  <c r="M2329" i="1"/>
  <c r="N2329" i="1"/>
  <c r="O2329" i="1"/>
  <c r="P2329" i="1"/>
  <c r="Q2329" i="1"/>
  <c r="K2330" i="1"/>
  <c r="R2330" i="1" s="1"/>
  <c r="S2330" i="1" s="1"/>
  <c r="L2330" i="1"/>
  <c r="M2330" i="1"/>
  <c r="N2330" i="1"/>
  <c r="O2330" i="1"/>
  <c r="P2330" i="1"/>
  <c r="Q2330" i="1"/>
  <c r="K2331" i="1"/>
  <c r="R2331" i="1" s="1"/>
  <c r="S2331" i="1" s="1"/>
  <c r="L2331" i="1"/>
  <c r="M2331" i="1"/>
  <c r="N2331" i="1"/>
  <c r="O2331" i="1"/>
  <c r="P2331" i="1"/>
  <c r="Q2331" i="1"/>
  <c r="K2332" i="1"/>
  <c r="L2332" i="1"/>
  <c r="T2332" i="1" s="1"/>
  <c r="M2332" i="1"/>
  <c r="N2332" i="1"/>
  <c r="O2332" i="1"/>
  <c r="P2332" i="1"/>
  <c r="Q2332" i="1"/>
  <c r="R2332" i="1" s="1"/>
  <c r="S2332" i="1" s="1"/>
  <c r="K2333" i="1"/>
  <c r="R2333" i="1" s="1"/>
  <c r="S2333" i="1" s="1"/>
  <c r="L2333" i="1"/>
  <c r="M2333" i="1"/>
  <c r="N2333" i="1"/>
  <c r="T2333" i="1" s="1"/>
  <c r="O2333" i="1"/>
  <c r="P2333" i="1"/>
  <c r="Q2333" i="1"/>
  <c r="K2334" i="1"/>
  <c r="L2334" i="1"/>
  <c r="R2334" i="1" s="1"/>
  <c r="S2334" i="1" s="1"/>
  <c r="M2334" i="1"/>
  <c r="N2334" i="1"/>
  <c r="T2334" i="1" s="1"/>
  <c r="O2334" i="1"/>
  <c r="P2334" i="1"/>
  <c r="Q2334" i="1"/>
  <c r="K2335" i="1"/>
  <c r="L2335" i="1"/>
  <c r="T2335" i="1" s="1"/>
  <c r="M2335" i="1"/>
  <c r="N2335" i="1"/>
  <c r="O2335" i="1"/>
  <c r="P2335" i="1"/>
  <c r="Q2335" i="1"/>
  <c r="K2336" i="1"/>
  <c r="T2336" i="1" s="1"/>
  <c r="L2336" i="1"/>
  <c r="M2336" i="1"/>
  <c r="N2336" i="1"/>
  <c r="O2336" i="1"/>
  <c r="P2336" i="1"/>
  <c r="Q2336" i="1"/>
  <c r="R2336" i="1"/>
  <c r="S2336" i="1" s="1"/>
  <c r="K2337" i="1"/>
  <c r="R2337" i="1" s="1"/>
  <c r="S2337" i="1" s="1"/>
  <c r="L2337" i="1"/>
  <c r="M2337" i="1"/>
  <c r="N2337" i="1"/>
  <c r="T2337" i="1" s="1"/>
  <c r="O2337" i="1"/>
  <c r="P2337" i="1"/>
  <c r="Q2337" i="1"/>
  <c r="K2338" i="1"/>
  <c r="L2338" i="1"/>
  <c r="R2338" i="1" s="1"/>
  <c r="S2338" i="1" s="1"/>
  <c r="M2338" i="1"/>
  <c r="N2338" i="1"/>
  <c r="T2338" i="1" s="1"/>
  <c r="O2338" i="1"/>
  <c r="P2338" i="1"/>
  <c r="Q2338" i="1"/>
  <c r="K2339" i="1"/>
  <c r="L2339" i="1"/>
  <c r="T2339" i="1" s="1"/>
  <c r="M2339" i="1"/>
  <c r="N2339" i="1"/>
  <c r="O2339" i="1"/>
  <c r="P2339" i="1"/>
  <c r="Q2339" i="1"/>
  <c r="K2340" i="1"/>
  <c r="T2340" i="1" s="1"/>
  <c r="L2340" i="1"/>
  <c r="M2340" i="1"/>
  <c r="N2340" i="1"/>
  <c r="O2340" i="1"/>
  <c r="P2340" i="1"/>
  <c r="Q2340" i="1"/>
  <c r="R2340" i="1"/>
  <c r="S2340" i="1" s="1"/>
  <c r="K2341" i="1"/>
  <c r="R2341" i="1" s="1"/>
  <c r="S2341" i="1" s="1"/>
  <c r="L2341" i="1"/>
  <c r="M2341" i="1"/>
  <c r="N2341" i="1"/>
  <c r="T2341" i="1" s="1"/>
  <c r="O2341" i="1"/>
  <c r="P2341" i="1"/>
  <c r="Q2341" i="1"/>
  <c r="K2342" i="1"/>
  <c r="L2342" i="1"/>
  <c r="R2342" i="1" s="1"/>
  <c r="S2342" i="1" s="1"/>
  <c r="M2342" i="1"/>
  <c r="N2342" i="1"/>
  <c r="T2342" i="1" s="1"/>
  <c r="O2342" i="1"/>
  <c r="P2342" i="1"/>
  <c r="Q2342" i="1"/>
  <c r="K2343" i="1"/>
  <c r="L2343" i="1"/>
  <c r="T2343" i="1" s="1"/>
  <c r="M2343" i="1"/>
  <c r="N2343" i="1"/>
  <c r="O2343" i="1"/>
  <c r="P2343" i="1"/>
  <c r="Q2343" i="1"/>
  <c r="K2344" i="1"/>
  <c r="T2344" i="1" s="1"/>
  <c r="L2344" i="1"/>
  <c r="M2344" i="1"/>
  <c r="N2344" i="1"/>
  <c r="O2344" i="1"/>
  <c r="P2344" i="1"/>
  <c r="Q2344" i="1"/>
  <c r="R2344" i="1"/>
  <c r="S2344" i="1" s="1"/>
  <c r="K2345" i="1"/>
  <c r="R2345" i="1" s="1"/>
  <c r="S2345" i="1" s="1"/>
  <c r="L2345" i="1"/>
  <c r="M2345" i="1"/>
  <c r="N2345" i="1"/>
  <c r="T2345" i="1" s="1"/>
  <c r="O2345" i="1"/>
  <c r="P2345" i="1"/>
  <c r="Q2345" i="1"/>
  <c r="K2346" i="1"/>
  <c r="L2346" i="1"/>
  <c r="R2346" i="1" s="1"/>
  <c r="S2346" i="1" s="1"/>
  <c r="M2346" i="1"/>
  <c r="N2346" i="1"/>
  <c r="T2346" i="1" s="1"/>
  <c r="O2346" i="1"/>
  <c r="P2346" i="1"/>
  <c r="Q2346" i="1"/>
  <c r="K2347" i="1"/>
  <c r="L2347" i="1"/>
  <c r="T2347" i="1" s="1"/>
  <c r="M2347" i="1"/>
  <c r="N2347" i="1"/>
  <c r="O2347" i="1"/>
  <c r="P2347" i="1"/>
  <c r="Q2347" i="1"/>
  <c r="K2348" i="1"/>
  <c r="T2348" i="1" s="1"/>
  <c r="L2348" i="1"/>
  <c r="M2348" i="1"/>
  <c r="N2348" i="1"/>
  <c r="O2348" i="1"/>
  <c r="P2348" i="1"/>
  <c r="Q2348" i="1"/>
  <c r="R2348" i="1"/>
  <c r="S2348" i="1" s="1"/>
  <c r="K2100" i="1"/>
  <c r="R2100" i="1" s="1"/>
  <c r="S2100" i="1" s="1"/>
  <c r="L2100" i="1"/>
  <c r="T2100" i="1" s="1"/>
  <c r="M2100" i="1"/>
  <c r="N2100" i="1"/>
  <c r="O2100" i="1"/>
  <c r="P2100" i="1"/>
  <c r="Q2100" i="1"/>
  <c r="K2101" i="1"/>
  <c r="T2101" i="1" s="1"/>
  <c r="L2101" i="1"/>
  <c r="M2101" i="1"/>
  <c r="N2101" i="1"/>
  <c r="O2101" i="1"/>
  <c r="P2101" i="1"/>
  <c r="Q2101" i="1"/>
  <c r="R2101" i="1"/>
  <c r="S2101" i="1" s="1"/>
  <c r="K2102" i="1"/>
  <c r="L2102" i="1"/>
  <c r="M2102" i="1"/>
  <c r="N2102" i="1"/>
  <c r="O2102" i="1"/>
  <c r="R2102" i="1" s="1"/>
  <c r="S2102" i="1" s="1"/>
  <c r="P2102" i="1"/>
  <c r="Q2102" i="1"/>
  <c r="K2103" i="1"/>
  <c r="R2103" i="1" s="1"/>
  <c r="S2103" i="1" s="1"/>
  <c r="L2103" i="1"/>
  <c r="M2103" i="1"/>
  <c r="N2103" i="1"/>
  <c r="O2103" i="1"/>
  <c r="P2103" i="1"/>
  <c r="Q2103" i="1"/>
  <c r="K2104" i="1"/>
  <c r="R2104" i="1" s="1"/>
  <c r="S2104" i="1" s="1"/>
  <c r="L2104" i="1"/>
  <c r="T2104" i="1" s="1"/>
  <c r="M2104" i="1"/>
  <c r="N2104" i="1"/>
  <c r="O2104" i="1"/>
  <c r="P2104" i="1"/>
  <c r="Q2104" i="1"/>
  <c r="K2105" i="1"/>
  <c r="T2105" i="1" s="1"/>
  <c r="L2105" i="1"/>
  <c r="M2105" i="1"/>
  <c r="N2105" i="1"/>
  <c r="O2105" i="1"/>
  <c r="P2105" i="1"/>
  <c r="Q2105" i="1"/>
  <c r="R2105" i="1"/>
  <c r="S2105" i="1" s="1"/>
  <c r="K2106" i="1"/>
  <c r="L2106" i="1"/>
  <c r="M2106" i="1"/>
  <c r="R2106" i="1" s="1"/>
  <c r="S2106" i="1" s="1"/>
  <c r="N2106" i="1"/>
  <c r="O2106" i="1"/>
  <c r="P2106" i="1"/>
  <c r="Q2106" i="1"/>
  <c r="K2107" i="1"/>
  <c r="R2107" i="1" s="1"/>
  <c r="S2107" i="1" s="1"/>
  <c r="L2107" i="1"/>
  <c r="M2107" i="1"/>
  <c r="N2107" i="1"/>
  <c r="O2107" i="1"/>
  <c r="P2107" i="1"/>
  <c r="Q2107" i="1"/>
  <c r="K2108" i="1"/>
  <c r="R2108" i="1" s="1"/>
  <c r="S2108" i="1" s="1"/>
  <c r="L2108" i="1"/>
  <c r="T2108" i="1" s="1"/>
  <c r="M2108" i="1"/>
  <c r="N2108" i="1"/>
  <c r="O2108" i="1"/>
  <c r="P2108" i="1"/>
  <c r="Q2108" i="1"/>
  <c r="K2109" i="1"/>
  <c r="T2109" i="1" s="1"/>
  <c r="L2109" i="1"/>
  <c r="M2109" i="1"/>
  <c r="N2109" i="1"/>
  <c r="O2109" i="1"/>
  <c r="P2109" i="1"/>
  <c r="Q2109" i="1"/>
  <c r="R2109" i="1"/>
  <c r="S2109" i="1" s="1"/>
  <c r="Q2099" i="1"/>
  <c r="P2099" i="1"/>
  <c r="O2099" i="1"/>
  <c r="N2099" i="1"/>
  <c r="M2099" i="1"/>
  <c r="L2099" i="1"/>
  <c r="K2099" i="1"/>
  <c r="Q2098" i="1"/>
  <c r="R2098" i="1" s="1"/>
  <c r="S2098" i="1" s="1"/>
  <c r="P2098" i="1"/>
  <c r="O2098" i="1"/>
  <c r="N2098" i="1"/>
  <c r="M2098" i="1"/>
  <c r="L2098" i="1"/>
  <c r="K2098" i="1"/>
  <c r="T2098" i="1" s="1"/>
  <c r="Q2097" i="1"/>
  <c r="P2097" i="1"/>
  <c r="O2097" i="1"/>
  <c r="N2097" i="1"/>
  <c r="M2097" i="1"/>
  <c r="L2097" i="1"/>
  <c r="K2097" i="1"/>
  <c r="Q2096" i="1"/>
  <c r="P2096" i="1"/>
  <c r="O2096" i="1"/>
  <c r="N2096" i="1"/>
  <c r="M2096" i="1"/>
  <c r="L2096" i="1"/>
  <c r="K2096" i="1"/>
  <c r="Q2095" i="1"/>
  <c r="P2095" i="1"/>
  <c r="O2095" i="1"/>
  <c r="N2095" i="1"/>
  <c r="M2095" i="1"/>
  <c r="L2095" i="1"/>
  <c r="T2095" i="1" s="1"/>
  <c r="K2095" i="1"/>
  <c r="Q2094" i="1"/>
  <c r="R2094" i="1" s="1"/>
  <c r="S2094" i="1" s="1"/>
  <c r="P2094" i="1"/>
  <c r="O2094" i="1"/>
  <c r="N2094" i="1"/>
  <c r="M2094" i="1"/>
  <c r="L2094" i="1"/>
  <c r="K2094" i="1"/>
  <c r="T2094" i="1" s="1"/>
  <c r="Q2093" i="1"/>
  <c r="P2093" i="1"/>
  <c r="O2093" i="1"/>
  <c r="N2093" i="1"/>
  <c r="M2093" i="1"/>
  <c r="L2093" i="1"/>
  <c r="K2093" i="1"/>
  <c r="Q2092" i="1"/>
  <c r="P2092" i="1"/>
  <c r="O2092" i="1"/>
  <c r="N2092" i="1"/>
  <c r="M2092" i="1"/>
  <c r="L2092" i="1"/>
  <c r="T2092" i="1" s="1"/>
  <c r="K2092" i="1"/>
  <c r="Q2091" i="1"/>
  <c r="P2091" i="1"/>
  <c r="O2091" i="1"/>
  <c r="N2091" i="1"/>
  <c r="M2091" i="1"/>
  <c r="L2091" i="1"/>
  <c r="T2091" i="1" s="1"/>
  <c r="K2091" i="1"/>
  <c r="R2091" i="1" s="1"/>
  <c r="S2091" i="1" s="1"/>
  <c r="Q2090" i="1"/>
  <c r="R2090" i="1" s="1"/>
  <c r="S2090" i="1" s="1"/>
  <c r="P2090" i="1"/>
  <c r="O2090" i="1"/>
  <c r="N2090" i="1"/>
  <c r="M2090" i="1"/>
  <c r="L2090" i="1"/>
  <c r="K2090" i="1"/>
  <c r="Q2089" i="1"/>
  <c r="P2089" i="1"/>
  <c r="O2089" i="1"/>
  <c r="N2089" i="1"/>
  <c r="M2089" i="1"/>
  <c r="L2089" i="1"/>
  <c r="K2089" i="1"/>
  <c r="Q2088" i="1"/>
  <c r="P2088" i="1"/>
  <c r="O2088" i="1"/>
  <c r="N2088" i="1"/>
  <c r="M2088" i="1"/>
  <c r="L2088" i="1"/>
  <c r="T2088" i="1" s="1"/>
  <c r="K2088" i="1"/>
  <c r="Q2087" i="1"/>
  <c r="P2087" i="1"/>
  <c r="O2087" i="1"/>
  <c r="N2087" i="1"/>
  <c r="M2087" i="1"/>
  <c r="L2087" i="1"/>
  <c r="K2087" i="1"/>
  <c r="R2086" i="1"/>
  <c r="S2086" i="1" s="1"/>
  <c r="Q2086" i="1"/>
  <c r="P2086" i="1"/>
  <c r="O2086" i="1"/>
  <c r="N2086" i="1"/>
  <c r="M2086" i="1"/>
  <c r="L2086" i="1"/>
  <c r="K2086" i="1"/>
  <c r="T2086" i="1" s="1"/>
  <c r="Q2085" i="1"/>
  <c r="P2085" i="1"/>
  <c r="O2085" i="1"/>
  <c r="N2085" i="1"/>
  <c r="M2085" i="1"/>
  <c r="L2085" i="1"/>
  <c r="K2085" i="1"/>
  <c r="R2085" i="1" s="1"/>
  <c r="S2085" i="1" s="1"/>
  <c r="Q2084" i="1"/>
  <c r="P2084" i="1"/>
  <c r="O2084" i="1"/>
  <c r="N2084" i="1"/>
  <c r="M2084" i="1"/>
  <c r="L2084" i="1"/>
  <c r="K2084" i="1"/>
  <c r="Q2083" i="1"/>
  <c r="P2083" i="1"/>
  <c r="O2083" i="1"/>
  <c r="N2083" i="1"/>
  <c r="M2083" i="1"/>
  <c r="L2083" i="1"/>
  <c r="T2083" i="1" s="1"/>
  <c r="K2083" i="1"/>
  <c r="Q2082" i="1"/>
  <c r="R2082" i="1" s="1"/>
  <c r="S2082" i="1" s="1"/>
  <c r="P2082" i="1"/>
  <c r="O2082" i="1"/>
  <c r="N2082" i="1"/>
  <c r="M2082" i="1"/>
  <c r="L2082" i="1"/>
  <c r="K2082" i="1"/>
  <c r="S2081" i="1"/>
  <c r="Q2081" i="1"/>
  <c r="P2081" i="1"/>
  <c r="O2081" i="1"/>
  <c r="N2081" i="1"/>
  <c r="M2081" i="1"/>
  <c r="L2081" i="1"/>
  <c r="K2081" i="1"/>
  <c r="R2081" i="1" s="1"/>
  <c r="Q2080" i="1"/>
  <c r="P2080" i="1"/>
  <c r="O2080" i="1"/>
  <c r="N2080" i="1"/>
  <c r="M2080" i="1"/>
  <c r="L2080" i="1"/>
  <c r="K2080" i="1"/>
  <c r="Q2079" i="1"/>
  <c r="P2079" i="1"/>
  <c r="O2079" i="1"/>
  <c r="N2079" i="1"/>
  <c r="M2079" i="1"/>
  <c r="L2079" i="1"/>
  <c r="T2079" i="1" s="1"/>
  <c r="K2079" i="1"/>
  <c r="R2079" i="1" s="1"/>
  <c r="S2079" i="1" s="1"/>
  <c r="Q2078" i="1"/>
  <c r="R2078" i="1" s="1"/>
  <c r="S2078" i="1" s="1"/>
  <c r="P2078" i="1"/>
  <c r="O2078" i="1"/>
  <c r="N2078" i="1"/>
  <c r="M2078" i="1"/>
  <c r="L2078" i="1"/>
  <c r="K2078" i="1"/>
  <c r="T2078" i="1" s="1"/>
  <c r="Q2077" i="1"/>
  <c r="P2077" i="1"/>
  <c r="O2077" i="1"/>
  <c r="N2077" i="1"/>
  <c r="M2077" i="1"/>
  <c r="L2077" i="1"/>
  <c r="K2077" i="1"/>
  <c r="Q2076" i="1"/>
  <c r="P2076" i="1"/>
  <c r="O2076" i="1"/>
  <c r="N2076" i="1"/>
  <c r="M2076" i="1"/>
  <c r="L2076" i="1"/>
  <c r="T2076" i="1" s="1"/>
  <c r="K2076" i="1"/>
  <c r="Q2075" i="1"/>
  <c r="P2075" i="1"/>
  <c r="O2075" i="1"/>
  <c r="N2075" i="1"/>
  <c r="M2075" i="1"/>
  <c r="L2075" i="1"/>
  <c r="K2075" i="1"/>
  <c r="R2075" i="1" s="1"/>
  <c r="S2075" i="1" s="1"/>
  <c r="R2074" i="1"/>
  <c r="S2074" i="1" s="1"/>
  <c r="Q2074" i="1"/>
  <c r="P2074" i="1"/>
  <c r="O2074" i="1"/>
  <c r="N2074" i="1"/>
  <c r="M2074" i="1"/>
  <c r="L2074" i="1"/>
  <c r="K2074" i="1"/>
  <c r="T2074" i="1" s="1"/>
  <c r="Q2073" i="1"/>
  <c r="P2073" i="1"/>
  <c r="O2073" i="1"/>
  <c r="N2073" i="1"/>
  <c r="M2073" i="1"/>
  <c r="L2073" i="1"/>
  <c r="K2073" i="1"/>
  <c r="Q2072" i="1"/>
  <c r="P2072" i="1"/>
  <c r="O2072" i="1"/>
  <c r="N2072" i="1"/>
  <c r="M2072" i="1"/>
  <c r="L2072" i="1"/>
  <c r="T2072" i="1" s="1"/>
  <c r="K2072" i="1"/>
  <c r="Q2071" i="1"/>
  <c r="P2071" i="1"/>
  <c r="O2071" i="1"/>
  <c r="N2071" i="1"/>
  <c r="M2071" i="1"/>
  <c r="L2071" i="1"/>
  <c r="T2071" i="1" s="1"/>
  <c r="K2071" i="1"/>
  <c r="Q2070" i="1"/>
  <c r="R2070" i="1" s="1"/>
  <c r="S2070" i="1" s="1"/>
  <c r="P2070" i="1"/>
  <c r="O2070" i="1"/>
  <c r="N2070" i="1"/>
  <c r="M2070" i="1"/>
  <c r="L2070" i="1"/>
  <c r="K2070" i="1"/>
  <c r="Q2069" i="1"/>
  <c r="P2069" i="1"/>
  <c r="O2069" i="1"/>
  <c r="N2069" i="1"/>
  <c r="M2069" i="1"/>
  <c r="L2069" i="1"/>
  <c r="K2069" i="1"/>
  <c r="R2069" i="1" s="1"/>
  <c r="S2069" i="1" s="1"/>
  <c r="Q2068" i="1"/>
  <c r="P2068" i="1"/>
  <c r="O2068" i="1"/>
  <c r="N2068" i="1"/>
  <c r="M2068" i="1"/>
  <c r="L2068" i="1"/>
  <c r="K2068" i="1"/>
  <c r="Q2067" i="1"/>
  <c r="P2067" i="1"/>
  <c r="O2067" i="1"/>
  <c r="N2067" i="1"/>
  <c r="M2067" i="1"/>
  <c r="L2067" i="1"/>
  <c r="K2067" i="1"/>
  <c r="Q2066" i="1"/>
  <c r="R2066" i="1" s="1"/>
  <c r="S2066" i="1" s="1"/>
  <c r="P2066" i="1"/>
  <c r="O2066" i="1"/>
  <c r="N2066" i="1"/>
  <c r="M2066" i="1"/>
  <c r="L2066" i="1"/>
  <c r="K2066" i="1"/>
  <c r="S2065" i="1"/>
  <c r="Q2065" i="1"/>
  <c r="P2065" i="1"/>
  <c r="O2065" i="1"/>
  <c r="N2065" i="1"/>
  <c r="M2065" i="1"/>
  <c r="L2065" i="1"/>
  <c r="K2065" i="1"/>
  <c r="R2065" i="1" s="1"/>
  <c r="Q2064" i="1"/>
  <c r="P2064" i="1"/>
  <c r="O2064" i="1"/>
  <c r="N2064" i="1"/>
  <c r="M2064" i="1"/>
  <c r="L2064" i="1"/>
  <c r="K2064" i="1"/>
  <c r="Q2063" i="1"/>
  <c r="P2063" i="1"/>
  <c r="O2063" i="1"/>
  <c r="N2063" i="1"/>
  <c r="M2063" i="1"/>
  <c r="L2063" i="1"/>
  <c r="K2063" i="1"/>
  <c r="Q2062" i="1"/>
  <c r="R2062" i="1" s="1"/>
  <c r="S2062" i="1" s="1"/>
  <c r="P2062" i="1"/>
  <c r="O2062" i="1"/>
  <c r="N2062" i="1"/>
  <c r="M2062" i="1"/>
  <c r="L2062" i="1"/>
  <c r="K2062" i="1"/>
  <c r="S2061" i="1"/>
  <c r="Q2061" i="1"/>
  <c r="P2061" i="1"/>
  <c r="O2061" i="1"/>
  <c r="N2061" i="1"/>
  <c r="M2061" i="1"/>
  <c r="L2061" i="1"/>
  <c r="K2061" i="1"/>
  <c r="R2061" i="1" s="1"/>
  <c r="Q2060" i="1"/>
  <c r="P2060" i="1"/>
  <c r="O2060" i="1"/>
  <c r="N2060" i="1"/>
  <c r="M2060" i="1"/>
  <c r="L2060" i="1"/>
  <c r="T2060" i="1" s="1"/>
  <c r="K2060" i="1"/>
  <c r="Q2059" i="1"/>
  <c r="P2059" i="1"/>
  <c r="O2059" i="1"/>
  <c r="N2059" i="1"/>
  <c r="M2059" i="1"/>
  <c r="L2059" i="1"/>
  <c r="K2059" i="1"/>
  <c r="Q2058" i="1"/>
  <c r="R2058" i="1" s="1"/>
  <c r="S2058" i="1" s="1"/>
  <c r="P2058" i="1"/>
  <c r="O2058" i="1"/>
  <c r="N2058" i="1"/>
  <c r="M2058" i="1"/>
  <c r="L2058" i="1"/>
  <c r="K2058" i="1"/>
  <c r="T2058" i="1" s="1"/>
  <c r="Q2057" i="1"/>
  <c r="P2057" i="1"/>
  <c r="O2057" i="1"/>
  <c r="N2057" i="1"/>
  <c r="M2057" i="1"/>
  <c r="L2057" i="1"/>
  <c r="K2057" i="1"/>
  <c r="Q2056" i="1"/>
  <c r="P2056" i="1"/>
  <c r="O2056" i="1"/>
  <c r="N2056" i="1"/>
  <c r="M2056" i="1"/>
  <c r="L2056" i="1"/>
  <c r="K2056" i="1"/>
  <c r="Q2055" i="1"/>
  <c r="P2055" i="1"/>
  <c r="O2055" i="1"/>
  <c r="N2055" i="1"/>
  <c r="M2055" i="1"/>
  <c r="L2055" i="1"/>
  <c r="K2055" i="1"/>
  <c r="R2054" i="1"/>
  <c r="S2054" i="1" s="1"/>
  <c r="Q2054" i="1"/>
  <c r="P2054" i="1"/>
  <c r="O2054" i="1"/>
  <c r="N2054" i="1"/>
  <c r="M2054" i="1"/>
  <c r="L2054" i="1"/>
  <c r="K2054" i="1"/>
  <c r="Q2053" i="1"/>
  <c r="P2053" i="1"/>
  <c r="O2053" i="1"/>
  <c r="N2053" i="1"/>
  <c r="M2053" i="1"/>
  <c r="L2053" i="1"/>
  <c r="K2053" i="1"/>
  <c r="R2053" i="1" s="1"/>
  <c r="S2053" i="1" s="1"/>
  <c r="Q2052" i="1"/>
  <c r="P2052" i="1"/>
  <c r="O2052" i="1"/>
  <c r="N2052" i="1"/>
  <c r="M2052" i="1"/>
  <c r="L2052" i="1"/>
  <c r="K2052" i="1"/>
  <c r="Q2051" i="1"/>
  <c r="P2051" i="1"/>
  <c r="O2051" i="1"/>
  <c r="N2051" i="1"/>
  <c r="M2051" i="1"/>
  <c r="L2051" i="1"/>
  <c r="T2051" i="1" s="1"/>
  <c r="K2051" i="1"/>
  <c r="Q2050" i="1"/>
  <c r="R2050" i="1" s="1"/>
  <c r="S2050" i="1" s="1"/>
  <c r="P2050" i="1"/>
  <c r="O2050" i="1"/>
  <c r="N2050" i="1"/>
  <c r="M2050" i="1"/>
  <c r="L2050" i="1"/>
  <c r="T2050" i="1" s="1"/>
  <c r="K2050" i="1"/>
  <c r="S2049" i="1"/>
  <c r="Q2049" i="1"/>
  <c r="P2049" i="1"/>
  <c r="O2049" i="1"/>
  <c r="N2049" i="1"/>
  <c r="M2049" i="1"/>
  <c r="L2049" i="1"/>
  <c r="K2049" i="1"/>
  <c r="R2049" i="1" s="1"/>
  <c r="Q2048" i="1"/>
  <c r="P2048" i="1"/>
  <c r="O2048" i="1"/>
  <c r="N2048" i="1"/>
  <c r="M2048" i="1"/>
  <c r="L2048" i="1"/>
  <c r="K2048" i="1"/>
  <c r="Q2047" i="1"/>
  <c r="P2047" i="1"/>
  <c r="O2047" i="1"/>
  <c r="N2047" i="1"/>
  <c r="M2047" i="1"/>
  <c r="L2047" i="1"/>
  <c r="T2047" i="1" s="1"/>
  <c r="K2047" i="1"/>
  <c r="Q2046" i="1"/>
  <c r="R2046" i="1" s="1"/>
  <c r="S2046" i="1" s="1"/>
  <c r="P2046" i="1"/>
  <c r="O2046" i="1"/>
  <c r="N2046" i="1"/>
  <c r="M2046" i="1"/>
  <c r="L2046" i="1"/>
  <c r="T2046" i="1" s="1"/>
  <c r="K2046" i="1"/>
  <c r="Q2045" i="1"/>
  <c r="P2045" i="1"/>
  <c r="O2045" i="1"/>
  <c r="N2045" i="1"/>
  <c r="M2045" i="1"/>
  <c r="L2045" i="1"/>
  <c r="K2045" i="1"/>
  <c r="Q2044" i="1"/>
  <c r="P2044" i="1"/>
  <c r="O2044" i="1"/>
  <c r="N2044" i="1"/>
  <c r="M2044" i="1"/>
  <c r="L2044" i="1"/>
  <c r="T2044" i="1" s="1"/>
  <c r="K2044" i="1"/>
  <c r="Q2043" i="1"/>
  <c r="P2043" i="1"/>
  <c r="O2043" i="1"/>
  <c r="N2043" i="1"/>
  <c r="M2043" i="1"/>
  <c r="L2043" i="1"/>
  <c r="K2043" i="1"/>
  <c r="R2042" i="1"/>
  <c r="S2042" i="1" s="1"/>
  <c r="Q2042" i="1"/>
  <c r="P2042" i="1"/>
  <c r="O2042" i="1"/>
  <c r="N2042" i="1"/>
  <c r="M2042" i="1"/>
  <c r="L2042" i="1"/>
  <c r="T2042" i="1" s="1"/>
  <c r="K2042" i="1"/>
  <c r="Q2041" i="1"/>
  <c r="P2041" i="1"/>
  <c r="O2041" i="1"/>
  <c r="N2041" i="1"/>
  <c r="M2041" i="1"/>
  <c r="L2041" i="1"/>
  <c r="K2041" i="1"/>
  <c r="R2041" i="1" s="1"/>
  <c r="S2041" i="1" s="1"/>
  <c r="Q2040" i="1"/>
  <c r="P2040" i="1"/>
  <c r="O2040" i="1"/>
  <c r="N2040" i="1"/>
  <c r="M2040" i="1"/>
  <c r="L2040" i="1"/>
  <c r="T2040" i="1" s="1"/>
  <c r="K2040" i="1"/>
  <c r="Q2039" i="1"/>
  <c r="P2039" i="1"/>
  <c r="O2039" i="1"/>
  <c r="N2039" i="1"/>
  <c r="M2039" i="1"/>
  <c r="L2039" i="1"/>
  <c r="T2039" i="1" s="1"/>
  <c r="K2039" i="1"/>
  <c r="Q2038" i="1"/>
  <c r="R2038" i="1" s="1"/>
  <c r="S2038" i="1" s="1"/>
  <c r="P2038" i="1"/>
  <c r="O2038" i="1"/>
  <c r="N2038" i="1"/>
  <c r="M2038" i="1"/>
  <c r="L2038" i="1"/>
  <c r="K2038" i="1"/>
  <c r="Q2037" i="1"/>
  <c r="P2037" i="1"/>
  <c r="O2037" i="1"/>
  <c r="N2037" i="1"/>
  <c r="M2037" i="1"/>
  <c r="L2037" i="1"/>
  <c r="K2037" i="1"/>
  <c r="R2037" i="1" s="1"/>
  <c r="S2037" i="1" s="1"/>
  <c r="Q2036" i="1"/>
  <c r="P2036" i="1"/>
  <c r="O2036" i="1"/>
  <c r="N2036" i="1"/>
  <c r="M2036" i="1"/>
  <c r="L2036" i="1"/>
  <c r="K2036" i="1"/>
  <c r="Q2035" i="1"/>
  <c r="P2035" i="1"/>
  <c r="O2035" i="1"/>
  <c r="N2035" i="1"/>
  <c r="M2035" i="1"/>
  <c r="L2035" i="1"/>
  <c r="K2035" i="1"/>
  <c r="Q2034" i="1"/>
  <c r="R2034" i="1" s="1"/>
  <c r="S2034" i="1" s="1"/>
  <c r="P2034" i="1"/>
  <c r="O2034" i="1"/>
  <c r="N2034" i="1"/>
  <c r="M2034" i="1"/>
  <c r="L2034" i="1"/>
  <c r="K2034" i="1"/>
  <c r="S2033" i="1"/>
  <c r="Q2033" i="1"/>
  <c r="P2033" i="1"/>
  <c r="O2033" i="1"/>
  <c r="N2033" i="1"/>
  <c r="M2033" i="1"/>
  <c r="L2033" i="1"/>
  <c r="K2033" i="1"/>
  <c r="R2033" i="1" s="1"/>
  <c r="Q2032" i="1"/>
  <c r="P2032" i="1"/>
  <c r="O2032" i="1"/>
  <c r="N2032" i="1"/>
  <c r="M2032" i="1"/>
  <c r="L2032" i="1"/>
  <c r="K2032" i="1"/>
  <c r="Q2031" i="1"/>
  <c r="P2031" i="1"/>
  <c r="O2031" i="1"/>
  <c r="N2031" i="1"/>
  <c r="M2031" i="1"/>
  <c r="L2031" i="1"/>
  <c r="K2031" i="1"/>
  <c r="Q2030" i="1"/>
  <c r="R2030" i="1" s="1"/>
  <c r="S2030" i="1" s="1"/>
  <c r="P2030" i="1"/>
  <c r="O2030" i="1"/>
  <c r="N2030" i="1"/>
  <c r="M2030" i="1"/>
  <c r="L2030" i="1"/>
  <c r="T2030" i="1" s="1"/>
  <c r="K2030" i="1"/>
  <c r="S2029" i="1"/>
  <c r="Q2029" i="1"/>
  <c r="P2029" i="1"/>
  <c r="O2029" i="1"/>
  <c r="N2029" i="1"/>
  <c r="M2029" i="1"/>
  <c r="L2029" i="1"/>
  <c r="K2029" i="1"/>
  <c r="R2029" i="1" s="1"/>
  <c r="Q2028" i="1"/>
  <c r="P2028" i="1"/>
  <c r="O2028" i="1"/>
  <c r="N2028" i="1"/>
  <c r="M2028" i="1"/>
  <c r="L2028" i="1"/>
  <c r="T2028" i="1" s="1"/>
  <c r="K2028" i="1"/>
  <c r="Q2027" i="1"/>
  <c r="P2027" i="1"/>
  <c r="O2027" i="1"/>
  <c r="N2027" i="1"/>
  <c r="M2027" i="1"/>
  <c r="L2027" i="1"/>
  <c r="K2027" i="1"/>
  <c r="Q2026" i="1"/>
  <c r="R2026" i="1" s="1"/>
  <c r="S2026" i="1" s="1"/>
  <c r="P2026" i="1"/>
  <c r="O2026" i="1"/>
  <c r="N2026" i="1"/>
  <c r="M2026" i="1"/>
  <c r="L2026" i="1"/>
  <c r="K2026" i="1"/>
  <c r="Q2025" i="1"/>
  <c r="P2025" i="1"/>
  <c r="O2025" i="1"/>
  <c r="N2025" i="1"/>
  <c r="M2025" i="1"/>
  <c r="L2025" i="1"/>
  <c r="K2025" i="1"/>
  <c r="Q2024" i="1"/>
  <c r="P2024" i="1"/>
  <c r="O2024" i="1"/>
  <c r="N2024" i="1"/>
  <c r="M2024" i="1"/>
  <c r="L2024" i="1"/>
  <c r="K2024" i="1"/>
  <c r="Q2023" i="1"/>
  <c r="P2023" i="1"/>
  <c r="O2023" i="1"/>
  <c r="N2023" i="1"/>
  <c r="M2023" i="1"/>
  <c r="L2023" i="1"/>
  <c r="K2023" i="1"/>
  <c r="R2022" i="1"/>
  <c r="S2022" i="1" s="1"/>
  <c r="Q2022" i="1"/>
  <c r="P2022" i="1"/>
  <c r="O2022" i="1"/>
  <c r="N2022" i="1"/>
  <c r="M2022" i="1"/>
  <c r="L2022" i="1"/>
  <c r="K2022" i="1"/>
  <c r="Q2021" i="1"/>
  <c r="P2021" i="1"/>
  <c r="O2021" i="1"/>
  <c r="N2021" i="1"/>
  <c r="M2021" i="1"/>
  <c r="L2021" i="1"/>
  <c r="K2021" i="1"/>
  <c r="R2021" i="1" s="1"/>
  <c r="S2021" i="1" s="1"/>
  <c r="Q2020" i="1"/>
  <c r="P2020" i="1"/>
  <c r="O2020" i="1"/>
  <c r="N2020" i="1"/>
  <c r="M2020" i="1"/>
  <c r="L2020" i="1"/>
  <c r="K2020" i="1"/>
  <c r="Q2019" i="1"/>
  <c r="P2019" i="1"/>
  <c r="O2019" i="1"/>
  <c r="N2019" i="1"/>
  <c r="M2019" i="1"/>
  <c r="L2019" i="1"/>
  <c r="T2019" i="1" s="1"/>
  <c r="K2019" i="1"/>
  <c r="Q2018" i="1"/>
  <c r="R2018" i="1" s="1"/>
  <c r="S2018" i="1" s="1"/>
  <c r="P2018" i="1"/>
  <c r="O2018" i="1"/>
  <c r="N2018" i="1"/>
  <c r="M2018" i="1"/>
  <c r="L2018" i="1"/>
  <c r="T2018" i="1" s="1"/>
  <c r="K2018" i="1"/>
  <c r="S2017" i="1"/>
  <c r="Q2017" i="1"/>
  <c r="P2017" i="1"/>
  <c r="O2017" i="1"/>
  <c r="N2017" i="1"/>
  <c r="M2017" i="1"/>
  <c r="L2017" i="1"/>
  <c r="K2017" i="1"/>
  <c r="R2017" i="1" s="1"/>
  <c r="Q2016" i="1"/>
  <c r="P2016" i="1"/>
  <c r="O2016" i="1"/>
  <c r="N2016" i="1"/>
  <c r="M2016" i="1"/>
  <c r="L2016" i="1"/>
  <c r="K2016" i="1"/>
  <c r="Q2015" i="1"/>
  <c r="P2015" i="1"/>
  <c r="O2015" i="1"/>
  <c r="N2015" i="1"/>
  <c r="M2015" i="1"/>
  <c r="L2015" i="1"/>
  <c r="T2015" i="1" s="1"/>
  <c r="K2015" i="1"/>
  <c r="Q2014" i="1"/>
  <c r="R2014" i="1" s="1"/>
  <c r="S2014" i="1" s="1"/>
  <c r="P2014" i="1"/>
  <c r="O2014" i="1"/>
  <c r="N2014" i="1"/>
  <c r="M2014" i="1"/>
  <c r="L2014" i="1"/>
  <c r="T2014" i="1" s="1"/>
  <c r="K2014" i="1"/>
  <c r="Q2013" i="1"/>
  <c r="P2013" i="1"/>
  <c r="O2013" i="1"/>
  <c r="N2013" i="1"/>
  <c r="M2013" i="1"/>
  <c r="L2013" i="1"/>
  <c r="K2013" i="1"/>
  <c r="Q2012" i="1"/>
  <c r="P2012" i="1"/>
  <c r="O2012" i="1"/>
  <c r="N2012" i="1"/>
  <c r="M2012" i="1"/>
  <c r="L2012" i="1"/>
  <c r="T2012" i="1" s="1"/>
  <c r="K2012" i="1"/>
  <c r="Q2011" i="1"/>
  <c r="P2011" i="1"/>
  <c r="O2011" i="1"/>
  <c r="N2011" i="1"/>
  <c r="M2011" i="1"/>
  <c r="L2011" i="1"/>
  <c r="K2011" i="1"/>
  <c r="R2010" i="1"/>
  <c r="S2010" i="1" s="1"/>
  <c r="Q2010" i="1"/>
  <c r="P2010" i="1"/>
  <c r="O2010" i="1"/>
  <c r="N2010" i="1"/>
  <c r="M2010" i="1"/>
  <c r="L2010" i="1"/>
  <c r="T2010" i="1" s="1"/>
  <c r="K2010" i="1"/>
  <c r="Q2009" i="1"/>
  <c r="P2009" i="1"/>
  <c r="O2009" i="1"/>
  <c r="N2009" i="1"/>
  <c r="M2009" i="1"/>
  <c r="L2009" i="1"/>
  <c r="K2009" i="1"/>
  <c r="R2009" i="1" s="1"/>
  <c r="S2009" i="1" s="1"/>
  <c r="Q2008" i="1"/>
  <c r="P2008" i="1"/>
  <c r="O2008" i="1"/>
  <c r="N2008" i="1"/>
  <c r="M2008" i="1"/>
  <c r="L2008" i="1"/>
  <c r="T2008" i="1" s="1"/>
  <c r="K2008" i="1"/>
  <c r="Q2007" i="1"/>
  <c r="P2007" i="1"/>
  <c r="O2007" i="1"/>
  <c r="N2007" i="1"/>
  <c r="M2007" i="1"/>
  <c r="L2007" i="1"/>
  <c r="T2007" i="1" s="1"/>
  <c r="K2007" i="1"/>
  <c r="Q2006" i="1"/>
  <c r="R2006" i="1" s="1"/>
  <c r="S2006" i="1" s="1"/>
  <c r="P2006" i="1"/>
  <c r="O2006" i="1"/>
  <c r="N2006" i="1"/>
  <c r="M2006" i="1"/>
  <c r="L2006" i="1"/>
  <c r="K2006" i="1"/>
  <c r="S2005" i="1"/>
  <c r="Q2005" i="1"/>
  <c r="P2005" i="1"/>
  <c r="O2005" i="1"/>
  <c r="N2005" i="1"/>
  <c r="M2005" i="1"/>
  <c r="L2005" i="1"/>
  <c r="K2005" i="1"/>
  <c r="R2005" i="1" s="1"/>
  <c r="Q2004" i="1"/>
  <c r="P2004" i="1"/>
  <c r="O2004" i="1"/>
  <c r="N2004" i="1"/>
  <c r="M2004" i="1"/>
  <c r="L2004" i="1"/>
  <c r="K2004" i="1"/>
  <c r="Q2003" i="1"/>
  <c r="P2003" i="1"/>
  <c r="O2003" i="1"/>
  <c r="N2003" i="1"/>
  <c r="M2003" i="1"/>
  <c r="L2003" i="1"/>
  <c r="K2003" i="1"/>
  <c r="Q2002" i="1"/>
  <c r="R2002" i="1" s="1"/>
  <c r="S2002" i="1" s="1"/>
  <c r="P2002" i="1"/>
  <c r="O2002" i="1"/>
  <c r="N2002" i="1"/>
  <c r="M2002" i="1"/>
  <c r="L2002" i="1"/>
  <c r="K2002" i="1"/>
  <c r="S2001" i="1"/>
  <c r="Q2001" i="1"/>
  <c r="P2001" i="1"/>
  <c r="O2001" i="1"/>
  <c r="N2001" i="1"/>
  <c r="M2001" i="1"/>
  <c r="L2001" i="1"/>
  <c r="K2001" i="1"/>
  <c r="R2001" i="1" s="1"/>
  <c r="Q2000" i="1"/>
  <c r="P2000" i="1"/>
  <c r="O2000" i="1"/>
  <c r="N2000" i="1"/>
  <c r="M2000" i="1"/>
  <c r="R2000" i="1" s="1"/>
  <c r="S2000" i="1" s="1"/>
  <c r="L2000" i="1"/>
  <c r="K2000" i="1"/>
  <c r="Q1999" i="1"/>
  <c r="P1999" i="1"/>
  <c r="O1999" i="1"/>
  <c r="N1999" i="1"/>
  <c r="M1999" i="1"/>
  <c r="L1999" i="1"/>
  <c r="K1999" i="1"/>
  <c r="Q1998" i="1"/>
  <c r="R1998" i="1" s="1"/>
  <c r="S1998" i="1" s="1"/>
  <c r="P1998" i="1"/>
  <c r="O1998" i="1"/>
  <c r="N1998" i="1"/>
  <c r="M1998" i="1"/>
  <c r="L1998" i="1"/>
  <c r="T1998" i="1" s="1"/>
  <c r="K1998" i="1"/>
  <c r="S1997" i="1"/>
  <c r="Q1997" i="1"/>
  <c r="P1997" i="1"/>
  <c r="O1997" i="1"/>
  <c r="N1997" i="1"/>
  <c r="M1997" i="1"/>
  <c r="L1997" i="1"/>
  <c r="K1997" i="1"/>
  <c r="R1997" i="1" s="1"/>
  <c r="Q1996" i="1"/>
  <c r="P1996" i="1"/>
  <c r="O1996" i="1"/>
  <c r="N1996" i="1"/>
  <c r="M1996" i="1"/>
  <c r="L1996" i="1"/>
  <c r="T1996" i="1" s="1"/>
  <c r="K1996" i="1"/>
  <c r="Q1995" i="1"/>
  <c r="P1995" i="1"/>
  <c r="O1995" i="1"/>
  <c r="N1995" i="1"/>
  <c r="M1995" i="1"/>
  <c r="L1995" i="1"/>
  <c r="K1995" i="1"/>
  <c r="Q1994" i="1"/>
  <c r="R1994" i="1" s="1"/>
  <c r="S1994" i="1" s="1"/>
  <c r="P1994" i="1"/>
  <c r="O1994" i="1"/>
  <c r="N1994" i="1"/>
  <c r="M1994" i="1"/>
  <c r="L1994" i="1"/>
  <c r="K1994" i="1"/>
  <c r="Q1993" i="1"/>
  <c r="P1993" i="1"/>
  <c r="O1993" i="1"/>
  <c r="N1993" i="1"/>
  <c r="M1993" i="1"/>
  <c r="L1993" i="1"/>
  <c r="K1993" i="1"/>
  <c r="Q1992" i="1"/>
  <c r="P1992" i="1"/>
  <c r="O1992" i="1"/>
  <c r="N1992" i="1"/>
  <c r="M1992" i="1"/>
  <c r="L1992" i="1"/>
  <c r="K1992" i="1"/>
  <c r="Q1991" i="1"/>
  <c r="P1991" i="1"/>
  <c r="O1991" i="1"/>
  <c r="N1991" i="1"/>
  <c r="M1991" i="1"/>
  <c r="L1991" i="1"/>
  <c r="K1991" i="1"/>
  <c r="R1990" i="1"/>
  <c r="S1990" i="1" s="1"/>
  <c r="Q1990" i="1"/>
  <c r="P1990" i="1"/>
  <c r="O1990" i="1"/>
  <c r="N1990" i="1"/>
  <c r="M1990" i="1"/>
  <c r="L1990" i="1"/>
  <c r="T1990" i="1" s="1"/>
  <c r="K1990" i="1"/>
  <c r="Q1989" i="1"/>
  <c r="P1989" i="1"/>
  <c r="O1989" i="1"/>
  <c r="N1989" i="1"/>
  <c r="M1989" i="1"/>
  <c r="L1989" i="1"/>
  <c r="K1989" i="1"/>
  <c r="R1989" i="1" s="1"/>
  <c r="S1989" i="1" s="1"/>
  <c r="Q1988" i="1"/>
  <c r="P1988" i="1"/>
  <c r="O1988" i="1"/>
  <c r="N1988" i="1"/>
  <c r="M1988" i="1"/>
  <c r="L1988" i="1"/>
  <c r="K1988" i="1"/>
  <c r="Q1987" i="1"/>
  <c r="P1987" i="1"/>
  <c r="O1987" i="1"/>
  <c r="N1987" i="1"/>
  <c r="M1987" i="1"/>
  <c r="L1987" i="1"/>
  <c r="T1987" i="1" s="1"/>
  <c r="K1987" i="1"/>
  <c r="Q1986" i="1"/>
  <c r="R1986" i="1" s="1"/>
  <c r="S1986" i="1" s="1"/>
  <c r="P1986" i="1"/>
  <c r="O1986" i="1"/>
  <c r="N1986" i="1"/>
  <c r="M1986" i="1"/>
  <c r="L1986" i="1"/>
  <c r="T1986" i="1" s="1"/>
  <c r="K1986" i="1"/>
  <c r="Q1985" i="1"/>
  <c r="P1985" i="1"/>
  <c r="O1985" i="1"/>
  <c r="N1985" i="1"/>
  <c r="M1985" i="1"/>
  <c r="L1985" i="1"/>
  <c r="K1985" i="1"/>
  <c r="Q1984" i="1"/>
  <c r="P1984" i="1"/>
  <c r="O1984" i="1"/>
  <c r="N1984" i="1"/>
  <c r="M1984" i="1"/>
  <c r="R1984" i="1" s="1"/>
  <c r="S1984" i="1" s="1"/>
  <c r="L1984" i="1"/>
  <c r="T1984" i="1" s="1"/>
  <c r="K1984" i="1"/>
  <c r="Q1983" i="1"/>
  <c r="P1983" i="1"/>
  <c r="O1983" i="1"/>
  <c r="N1983" i="1"/>
  <c r="M1983" i="1"/>
  <c r="L1983" i="1"/>
  <c r="T1983" i="1" s="1"/>
  <c r="K1983" i="1"/>
  <c r="R1982" i="1"/>
  <c r="S1982" i="1" s="1"/>
  <c r="Q1982" i="1"/>
  <c r="P1982" i="1"/>
  <c r="O1982" i="1"/>
  <c r="N1982" i="1"/>
  <c r="M1982" i="1"/>
  <c r="L1982" i="1"/>
  <c r="T1982" i="1" s="1"/>
  <c r="K1982" i="1"/>
  <c r="Q1981" i="1"/>
  <c r="P1981" i="1"/>
  <c r="O1981" i="1"/>
  <c r="N1981" i="1"/>
  <c r="M1981" i="1"/>
  <c r="L1981" i="1"/>
  <c r="K1981" i="1"/>
  <c r="Q1980" i="1"/>
  <c r="P1980" i="1"/>
  <c r="O1980" i="1"/>
  <c r="N1980" i="1"/>
  <c r="M1980" i="1"/>
  <c r="R1980" i="1" s="1"/>
  <c r="S1980" i="1" s="1"/>
  <c r="L1980" i="1"/>
  <c r="T1980" i="1" s="1"/>
  <c r="K1980" i="1"/>
  <c r="Q1979" i="1"/>
  <c r="P1979" i="1"/>
  <c r="O1979" i="1"/>
  <c r="N1979" i="1"/>
  <c r="M1979" i="1"/>
  <c r="L1979" i="1"/>
  <c r="K1979" i="1"/>
  <c r="R1978" i="1"/>
  <c r="S1978" i="1" s="1"/>
  <c r="Q1978" i="1"/>
  <c r="P1978" i="1"/>
  <c r="O1978" i="1"/>
  <c r="N1978" i="1"/>
  <c r="M1978" i="1"/>
  <c r="L1978" i="1"/>
  <c r="T1978" i="1" s="1"/>
  <c r="K1978" i="1"/>
  <c r="T1977" i="1"/>
  <c r="Q1977" i="1"/>
  <c r="P1977" i="1"/>
  <c r="O1977" i="1"/>
  <c r="N1977" i="1"/>
  <c r="M1977" i="1"/>
  <c r="L1977" i="1"/>
  <c r="K1977" i="1"/>
  <c r="R1977" i="1" s="1"/>
  <c r="S1977" i="1" s="1"/>
  <c r="Q1976" i="1"/>
  <c r="P1976" i="1"/>
  <c r="O1976" i="1"/>
  <c r="N1976" i="1"/>
  <c r="M1976" i="1"/>
  <c r="R1976" i="1" s="1"/>
  <c r="S1976" i="1" s="1"/>
  <c r="L1976" i="1"/>
  <c r="T1976" i="1" s="1"/>
  <c r="K1976" i="1"/>
  <c r="Q1975" i="1"/>
  <c r="P1975" i="1"/>
  <c r="O1975" i="1"/>
  <c r="N1975" i="1"/>
  <c r="M1975" i="1"/>
  <c r="L1975" i="1"/>
  <c r="T1975" i="1" s="1"/>
  <c r="K1975" i="1"/>
  <c r="Q1974" i="1"/>
  <c r="R1974" i="1" s="1"/>
  <c r="S1974" i="1" s="1"/>
  <c r="P1974" i="1"/>
  <c r="O1974" i="1"/>
  <c r="N1974" i="1"/>
  <c r="M1974" i="1"/>
  <c r="L1974" i="1"/>
  <c r="K1974" i="1"/>
  <c r="Q1973" i="1"/>
  <c r="P1973" i="1"/>
  <c r="O1973" i="1"/>
  <c r="N1973" i="1"/>
  <c r="M1973" i="1"/>
  <c r="L1973" i="1"/>
  <c r="K1973" i="1"/>
  <c r="R1973" i="1" s="1"/>
  <c r="S1973" i="1" s="1"/>
  <c r="Q1972" i="1"/>
  <c r="P1972" i="1"/>
  <c r="O1972" i="1"/>
  <c r="N1972" i="1"/>
  <c r="M1972" i="1"/>
  <c r="L1972" i="1"/>
  <c r="K1972" i="1"/>
  <c r="Q1971" i="1"/>
  <c r="P1971" i="1"/>
  <c r="O1971" i="1"/>
  <c r="N1971" i="1"/>
  <c r="M1971" i="1"/>
  <c r="L1971" i="1"/>
  <c r="K1971" i="1"/>
  <c r="Q1970" i="1"/>
  <c r="R1970" i="1" s="1"/>
  <c r="S1970" i="1" s="1"/>
  <c r="P1970" i="1"/>
  <c r="O1970" i="1"/>
  <c r="N1970" i="1"/>
  <c r="M1970" i="1"/>
  <c r="L1970" i="1"/>
  <c r="K1970" i="1"/>
  <c r="S1969" i="1"/>
  <c r="Q1969" i="1"/>
  <c r="P1969" i="1"/>
  <c r="O1969" i="1"/>
  <c r="N1969" i="1"/>
  <c r="M1969" i="1"/>
  <c r="L1969" i="1"/>
  <c r="K1969" i="1"/>
  <c r="R1969" i="1" s="1"/>
  <c r="R1968" i="1"/>
  <c r="S1968" i="1" s="1"/>
  <c r="Q1968" i="1"/>
  <c r="P1968" i="1"/>
  <c r="O1968" i="1"/>
  <c r="N1968" i="1"/>
  <c r="M1968" i="1"/>
  <c r="L1968" i="1"/>
  <c r="K1968" i="1"/>
  <c r="T1967" i="1"/>
  <c r="Q1967" i="1"/>
  <c r="P1967" i="1"/>
  <c r="O1967" i="1"/>
  <c r="N1967" i="1"/>
  <c r="M1967" i="1"/>
  <c r="L1967" i="1"/>
  <c r="R1967" i="1" s="1"/>
  <c r="S1967" i="1" s="1"/>
  <c r="K1967" i="1"/>
  <c r="R1966" i="1"/>
  <c r="S1966" i="1" s="1"/>
  <c r="Q1966" i="1"/>
  <c r="P1966" i="1"/>
  <c r="O1966" i="1"/>
  <c r="N1966" i="1"/>
  <c r="M1966" i="1"/>
  <c r="L1966" i="1"/>
  <c r="K1966" i="1"/>
  <c r="Q1965" i="1"/>
  <c r="P1965" i="1"/>
  <c r="O1965" i="1"/>
  <c r="N1965" i="1"/>
  <c r="M1965" i="1"/>
  <c r="L1965" i="1"/>
  <c r="K1965" i="1"/>
  <c r="R1965" i="1" s="1"/>
  <c r="S1965" i="1" s="1"/>
  <c r="Q1964" i="1"/>
  <c r="P1964" i="1"/>
  <c r="O1964" i="1"/>
  <c r="N1964" i="1"/>
  <c r="M1964" i="1"/>
  <c r="L1964" i="1"/>
  <c r="K1964" i="1"/>
  <c r="Q1963" i="1"/>
  <c r="P1963" i="1"/>
  <c r="O1963" i="1"/>
  <c r="N1963" i="1"/>
  <c r="M1963" i="1"/>
  <c r="L1963" i="1"/>
  <c r="K1963" i="1"/>
  <c r="Q1962" i="1"/>
  <c r="P1962" i="1"/>
  <c r="O1962" i="1"/>
  <c r="N1962" i="1"/>
  <c r="R1962" i="1" s="1"/>
  <c r="S1962" i="1" s="1"/>
  <c r="M1962" i="1"/>
  <c r="L1962" i="1"/>
  <c r="T1962" i="1" s="1"/>
  <c r="K1962" i="1"/>
  <c r="Q1961" i="1"/>
  <c r="P1961" i="1"/>
  <c r="O1961" i="1"/>
  <c r="N1961" i="1"/>
  <c r="M1961" i="1"/>
  <c r="L1961" i="1"/>
  <c r="K1961" i="1"/>
  <c r="T1961" i="1" s="1"/>
  <c r="Q1960" i="1"/>
  <c r="P1960" i="1"/>
  <c r="O1960" i="1"/>
  <c r="N1960" i="1"/>
  <c r="M1960" i="1"/>
  <c r="L1960" i="1"/>
  <c r="T1960" i="1" s="1"/>
  <c r="K1960" i="1"/>
  <c r="Q1959" i="1"/>
  <c r="P1959" i="1"/>
  <c r="O1959" i="1"/>
  <c r="N1959" i="1"/>
  <c r="M1959" i="1"/>
  <c r="L1959" i="1"/>
  <c r="K1959" i="1"/>
  <c r="Q1958" i="1"/>
  <c r="P1958" i="1"/>
  <c r="R1958" i="1" s="1"/>
  <c r="S1958" i="1" s="1"/>
  <c r="O1958" i="1"/>
  <c r="N1958" i="1"/>
  <c r="M1958" i="1"/>
  <c r="L1958" i="1"/>
  <c r="K1958" i="1"/>
  <c r="R1957" i="1"/>
  <c r="S1957" i="1" s="1"/>
  <c r="Q1957" i="1"/>
  <c r="P1957" i="1"/>
  <c r="O1957" i="1"/>
  <c r="N1957" i="1"/>
  <c r="M1957" i="1"/>
  <c r="L1957" i="1"/>
  <c r="K1957" i="1"/>
  <c r="T1957" i="1" s="1"/>
  <c r="T1956" i="1"/>
  <c r="R1956" i="1"/>
  <c r="S1956" i="1" s="1"/>
  <c r="Q1956" i="1"/>
  <c r="P1956" i="1"/>
  <c r="O1956" i="1"/>
  <c r="N1956" i="1"/>
  <c r="M1956" i="1"/>
  <c r="L1956" i="1"/>
  <c r="K1956" i="1"/>
  <c r="T1955" i="1"/>
  <c r="Q1955" i="1"/>
  <c r="P1955" i="1"/>
  <c r="O1955" i="1"/>
  <c r="N1955" i="1"/>
  <c r="M1955" i="1"/>
  <c r="L1955" i="1"/>
  <c r="K1955" i="1"/>
  <c r="R1954" i="1"/>
  <c r="S1954" i="1" s="1"/>
  <c r="Q1954" i="1"/>
  <c r="P1954" i="1"/>
  <c r="O1954" i="1"/>
  <c r="N1954" i="1"/>
  <c r="M1954" i="1"/>
  <c r="L1954" i="1"/>
  <c r="T1954" i="1" s="1"/>
  <c r="K1954" i="1"/>
  <c r="T1953" i="1"/>
  <c r="Q1953" i="1"/>
  <c r="P1953" i="1"/>
  <c r="O1953" i="1"/>
  <c r="N1953" i="1"/>
  <c r="M1953" i="1"/>
  <c r="L1953" i="1"/>
  <c r="R1953" i="1" s="1"/>
  <c r="S1953" i="1" s="1"/>
  <c r="K1953" i="1"/>
  <c r="Q1952" i="1"/>
  <c r="P1952" i="1"/>
  <c r="O1952" i="1"/>
  <c r="N1952" i="1"/>
  <c r="M1952" i="1"/>
  <c r="L1952" i="1"/>
  <c r="K1952" i="1"/>
  <c r="Q1951" i="1"/>
  <c r="P1951" i="1"/>
  <c r="O1951" i="1"/>
  <c r="N1951" i="1"/>
  <c r="T1951" i="1" s="1"/>
  <c r="M1951" i="1"/>
  <c r="L1951" i="1"/>
  <c r="K1951" i="1"/>
  <c r="Q1950" i="1"/>
  <c r="P1950" i="1"/>
  <c r="O1950" i="1"/>
  <c r="N1950" i="1"/>
  <c r="R1950" i="1" s="1"/>
  <c r="S1950" i="1" s="1"/>
  <c r="M1950" i="1"/>
  <c r="L1950" i="1"/>
  <c r="K1950" i="1"/>
  <c r="T1949" i="1"/>
  <c r="Q1949" i="1"/>
  <c r="P1949" i="1"/>
  <c r="O1949" i="1"/>
  <c r="N1949" i="1"/>
  <c r="M1949" i="1"/>
  <c r="L1949" i="1"/>
  <c r="R1949" i="1" s="1"/>
  <c r="S1949" i="1" s="1"/>
  <c r="K1949" i="1"/>
  <c r="Q1948" i="1"/>
  <c r="P1948" i="1"/>
  <c r="O1948" i="1"/>
  <c r="N1948" i="1"/>
  <c r="M1948" i="1"/>
  <c r="L1948" i="1"/>
  <c r="K1948" i="1"/>
  <c r="Q1947" i="1"/>
  <c r="P1947" i="1"/>
  <c r="T1947" i="1" s="1"/>
  <c r="O1947" i="1"/>
  <c r="N1947" i="1"/>
  <c r="M1947" i="1"/>
  <c r="L1947" i="1"/>
  <c r="K1947" i="1"/>
  <c r="Q1946" i="1"/>
  <c r="P1946" i="1"/>
  <c r="O1946" i="1"/>
  <c r="N1946" i="1"/>
  <c r="M1946" i="1"/>
  <c r="L1946" i="1"/>
  <c r="K1946" i="1"/>
  <c r="R1945" i="1"/>
  <c r="S1945" i="1" s="1"/>
  <c r="Q1945" i="1"/>
  <c r="P1945" i="1"/>
  <c r="O1945" i="1"/>
  <c r="N1945" i="1"/>
  <c r="M1945" i="1"/>
  <c r="L1945" i="1"/>
  <c r="K1945" i="1"/>
  <c r="T1945" i="1" s="1"/>
  <c r="Q1944" i="1"/>
  <c r="P1944" i="1"/>
  <c r="O1944" i="1"/>
  <c r="N1944" i="1"/>
  <c r="M1944" i="1"/>
  <c r="L1944" i="1"/>
  <c r="R1944" i="1" s="1"/>
  <c r="S1944" i="1" s="1"/>
  <c r="K1944" i="1"/>
  <c r="Q1943" i="1"/>
  <c r="P1943" i="1"/>
  <c r="O1943" i="1"/>
  <c r="N1943" i="1"/>
  <c r="M1943" i="1"/>
  <c r="L1943" i="1"/>
  <c r="K1943" i="1"/>
  <c r="Q1942" i="1"/>
  <c r="P1942" i="1"/>
  <c r="O1942" i="1"/>
  <c r="N1942" i="1"/>
  <c r="R1942" i="1" s="1"/>
  <c r="S1942" i="1" s="1"/>
  <c r="M1942" i="1"/>
  <c r="L1942" i="1"/>
  <c r="K1942" i="1"/>
  <c r="R1941" i="1"/>
  <c r="S1941" i="1" s="1"/>
  <c r="Q1941" i="1"/>
  <c r="P1941" i="1"/>
  <c r="O1941" i="1"/>
  <c r="N1941" i="1"/>
  <c r="M1941" i="1"/>
  <c r="L1941" i="1"/>
  <c r="K1941" i="1"/>
  <c r="T1941" i="1" s="1"/>
  <c r="T1940" i="1"/>
  <c r="Q1940" i="1"/>
  <c r="P1940" i="1"/>
  <c r="O1940" i="1"/>
  <c r="N1940" i="1"/>
  <c r="M1940" i="1"/>
  <c r="L1940" i="1"/>
  <c r="K1940" i="1"/>
  <c r="Q1939" i="1"/>
  <c r="P1939" i="1"/>
  <c r="O1939" i="1"/>
  <c r="N1939" i="1"/>
  <c r="M1939" i="1"/>
  <c r="L1939" i="1"/>
  <c r="K1939" i="1"/>
  <c r="Q1938" i="1"/>
  <c r="P1938" i="1"/>
  <c r="O1938" i="1"/>
  <c r="N1938" i="1"/>
  <c r="R1938" i="1" s="1"/>
  <c r="S1938" i="1" s="1"/>
  <c r="M1938" i="1"/>
  <c r="L1938" i="1"/>
  <c r="K1938" i="1"/>
  <c r="Q1937" i="1"/>
  <c r="P1937" i="1"/>
  <c r="R1937" i="1" s="1"/>
  <c r="S1937" i="1" s="1"/>
  <c r="O1937" i="1"/>
  <c r="N1937" i="1"/>
  <c r="M1937" i="1"/>
  <c r="L1937" i="1"/>
  <c r="K1937" i="1"/>
  <c r="T1936" i="1"/>
  <c r="Q1936" i="1"/>
  <c r="P1936" i="1"/>
  <c r="O1936" i="1"/>
  <c r="N1936" i="1"/>
  <c r="R1936" i="1" s="1"/>
  <c r="S1936" i="1" s="1"/>
  <c r="M1936" i="1"/>
  <c r="L1936" i="1"/>
  <c r="K1936" i="1"/>
  <c r="Q1935" i="1"/>
  <c r="P1935" i="1"/>
  <c r="O1935" i="1"/>
  <c r="N1935" i="1"/>
  <c r="T1935" i="1" s="1"/>
  <c r="M1935" i="1"/>
  <c r="L1935" i="1"/>
  <c r="K1935" i="1"/>
  <c r="Q1934" i="1"/>
  <c r="P1934" i="1"/>
  <c r="O1934" i="1"/>
  <c r="N1934" i="1"/>
  <c r="R1934" i="1" s="1"/>
  <c r="S1934" i="1" s="1"/>
  <c r="M1934" i="1"/>
  <c r="L1934" i="1"/>
  <c r="K1934" i="1"/>
  <c r="Q1933" i="1"/>
  <c r="P1933" i="1"/>
  <c r="O1933" i="1"/>
  <c r="N1933" i="1"/>
  <c r="M1933" i="1"/>
  <c r="L1933" i="1"/>
  <c r="K1933" i="1"/>
  <c r="Q1932" i="1"/>
  <c r="P1932" i="1"/>
  <c r="O1932" i="1"/>
  <c r="N1932" i="1"/>
  <c r="M1932" i="1"/>
  <c r="L1932" i="1"/>
  <c r="K1932" i="1"/>
  <c r="Q1931" i="1"/>
  <c r="P1931" i="1"/>
  <c r="O1931" i="1"/>
  <c r="N1931" i="1"/>
  <c r="M1931" i="1"/>
  <c r="L1931" i="1"/>
  <c r="K1931" i="1"/>
  <c r="Q1930" i="1"/>
  <c r="P1930" i="1"/>
  <c r="O1930" i="1"/>
  <c r="N1930" i="1"/>
  <c r="T1930" i="1" s="1"/>
  <c r="M1930" i="1"/>
  <c r="L1930" i="1"/>
  <c r="K1930" i="1"/>
  <c r="Q1929" i="1"/>
  <c r="P1929" i="1"/>
  <c r="O1929" i="1"/>
  <c r="N1929" i="1"/>
  <c r="M1929" i="1"/>
  <c r="L1929" i="1"/>
  <c r="T1929" i="1" s="1"/>
  <c r="K1929" i="1"/>
  <c r="Q1928" i="1"/>
  <c r="P1928" i="1"/>
  <c r="R1928" i="1" s="1"/>
  <c r="S1928" i="1" s="1"/>
  <c r="O1928" i="1"/>
  <c r="N1928" i="1"/>
  <c r="M1928" i="1"/>
  <c r="L1928" i="1"/>
  <c r="K1928" i="1"/>
  <c r="T1927" i="1"/>
  <c r="Q1927" i="1"/>
  <c r="P1927" i="1"/>
  <c r="O1927" i="1"/>
  <c r="N1927" i="1"/>
  <c r="R1927" i="1" s="1"/>
  <c r="S1927" i="1" s="1"/>
  <c r="M1927" i="1"/>
  <c r="L1927" i="1"/>
  <c r="K1927" i="1"/>
  <c r="R1926" i="1"/>
  <c r="S1926" i="1" s="1"/>
  <c r="Q1926" i="1"/>
  <c r="P1926" i="1"/>
  <c r="O1926" i="1"/>
  <c r="N1926" i="1"/>
  <c r="M1926" i="1"/>
  <c r="L1926" i="1"/>
  <c r="T1926" i="1" s="1"/>
  <c r="K1926" i="1"/>
  <c r="T1925" i="1"/>
  <c r="Q1925" i="1"/>
  <c r="P1925" i="1"/>
  <c r="O1925" i="1"/>
  <c r="N1925" i="1"/>
  <c r="M1925" i="1"/>
  <c r="L1925" i="1"/>
  <c r="K1925" i="1"/>
  <c r="R1924" i="1"/>
  <c r="S1924" i="1" s="1"/>
  <c r="Q1924" i="1"/>
  <c r="P1924" i="1"/>
  <c r="O1924" i="1"/>
  <c r="N1924" i="1"/>
  <c r="M1924" i="1"/>
  <c r="L1924" i="1"/>
  <c r="K1924" i="1"/>
  <c r="T1923" i="1"/>
  <c r="Q1923" i="1"/>
  <c r="P1923" i="1"/>
  <c r="O1923" i="1"/>
  <c r="N1923" i="1"/>
  <c r="M1923" i="1"/>
  <c r="L1923" i="1"/>
  <c r="K1923" i="1"/>
  <c r="Q1922" i="1"/>
  <c r="P1922" i="1"/>
  <c r="O1922" i="1"/>
  <c r="N1922" i="1"/>
  <c r="M1922" i="1"/>
  <c r="L1922" i="1"/>
  <c r="K1922" i="1"/>
  <c r="R1921" i="1"/>
  <c r="S1921" i="1" s="1"/>
  <c r="Q1921" i="1"/>
  <c r="P1921" i="1"/>
  <c r="O1921" i="1"/>
  <c r="N1921" i="1"/>
  <c r="M1921" i="1"/>
  <c r="L1921" i="1"/>
  <c r="K1921" i="1"/>
  <c r="T1920" i="1"/>
  <c r="R1920" i="1"/>
  <c r="S1920" i="1" s="1"/>
  <c r="Q1920" i="1"/>
  <c r="P1920" i="1"/>
  <c r="O1920" i="1"/>
  <c r="N1920" i="1"/>
  <c r="M1920" i="1"/>
  <c r="L1920" i="1"/>
  <c r="K1920" i="1"/>
  <c r="T1919" i="1"/>
  <c r="Q1919" i="1"/>
  <c r="P1919" i="1"/>
  <c r="O1919" i="1"/>
  <c r="N1919" i="1"/>
  <c r="M1919" i="1"/>
  <c r="L1919" i="1"/>
  <c r="R1919" i="1" s="1"/>
  <c r="S1919" i="1" s="1"/>
  <c r="K1919" i="1"/>
  <c r="Q1918" i="1"/>
  <c r="P1918" i="1"/>
  <c r="O1918" i="1"/>
  <c r="N1918" i="1"/>
  <c r="M1918" i="1"/>
  <c r="L1918" i="1"/>
  <c r="K1918" i="1"/>
  <c r="Q1917" i="1"/>
  <c r="P1917" i="1"/>
  <c r="O1917" i="1"/>
  <c r="N1917" i="1"/>
  <c r="M1917" i="1"/>
  <c r="L1917" i="1"/>
  <c r="K1917" i="1"/>
  <c r="Q1916" i="1"/>
  <c r="P1916" i="1"/>
  <c r="O1916" i="1"/>
  <c r="N1916" i="1"/>
  <c r="M1916" i="1"/>
  <c r="L1916" i="1"/>
  <c r="K1916" i="1"/>
  <c r="Q1915" i="1"/>
  <c r="P1915" i="1"/>
  <c r="R1915" i="1" s="1"/>
  <c r="S1915" i="1" s="1"/>
  <c r="O1915" i="1"/>
  <c r="N1915" i="1"/>
  <c r="M1915" i="1"/>
  <c r="L1915" i="1"/>
  <c r="K1915" i="1"/>
  <c r="R1914" i="1"/>
  <c r="S1914" i="1" s="1"/>
  <c r="Q1914" i="1"/>
  <c r="P1914" i="1"/>
  <c r="O1914" i="1"/>
  <c r="N1914" i="1"/>
  <c r="T1914" i="1" s="1"/>
  <c r="M1914" i="1"/>
  <c r="L1914" i="1"/>
  <c r="K1914" i="1"/>
  <c r="Q1913" i="1"/>
  <c r="P1913" i="1"/>
  <c r="O1913" i="1"/>
  <c r="N1913" i="1"/>
  <c r="M1913" i="1"/>
  <c r="L1913" i="1"/>
  <c r="K1913" i="1"/>
  <c r="R1913" i="1" s="1"/>
  <c r="S1913" i="1" s="1"/>
  <c r="Q1912" i="1"/>
  <c r="P1912" i="1"/>
  <c r="O1912" i="1"/>
  <c r="N1912" i="1"/>
  <c r="M1912" i="1"/>
  <c r="L1912" i="1"/>
  <c r="K1912" i="1"/>
  <c r="Q1911" i="1"/>
  <c r="P1911" i="1"/>
  <c r="O1911" i="1"/>
  <c r="N1911" i="1"/>
  <c r="M1911" i="1"/>
  <c r="L1911" i="1"/>
  <c r="K1911" i="1"/>
  <c r="R1910" i="1"/>
  <c r="S1910" i="1" s="1"/>
  <c r="Q1910" i="1"/>
  <c r="P1910" i="1"/>
  <c r="O1910" i="1"/>
  <c r="N1910" i="1"/>
  <c r="M1910" i="1"/>
  <c r="L1910" i="1"/>
  <c r="K1910" i="1"/>
  <c r="Q1909" i="1"/>
  <c r="P1909" i="1"/>
  <c r="O1909" i="1"/>
  <c r="N1909" i="1"/>
  <c r="M1909" i="1"/>
  <c r="L1909" i="1"/>
  <c r="T1909" i="1" s="1"/>
  <c r="K1909" i="1"/>
  <c r="Q1908" i="1"/>
  <c r="P1908" i="1"/>
  <c r="O1908" i="1"/>
  <c r="N1908" i="1"/>
  <c r="M1908" i="1"/>
  <c r="L1908" i="1"/>
  <c r="R1908" i="1" s="1"/>
  <c r="S1908" i="1" s="1"/>
  <c r="K1908" i="1"/>
  <c r="R1907" i="1"/>
  <c r="S1907" i="1" s="1"/>
  <c r="Q1907" i="1"/>
  <c r="P1907" i="1"/>
  <c r="O1907" i="1"/>
  <c r="N1907" i="1"/>
  <c r="M1907" i="1"/>
  <c r="L1907" i="1"/>
  <c r="K1907" i="1"/>
  <c r="Q1906" i="1"/>
  <c r="P1906" i="1"/>
  <c r="O1906" i="1"/>
  <c r="N1906" i="1"/>
  <c r="M1906" i="1"/>
  <c r="L1906" i="1"/>
  <c r="R1906" i="1" s="1"/>
  <c r="S1906" i="1" s="1"/>
  <c r="K1906" i="1"/>
  <c r="Q1905" i="1"/>
  <c r="P1905" i="1"/>
  <c r="O1905" i="1"/>
  <c r="N1905" i="1"/>
  <c r="M1905" i="1"/>
  <c r="L1905" i="1"/>
  <c r="K1905" i="1"/>
  <c r="T1905" i="1" s="1"/>
  <c r="Q1904" i="1"/>
  <c r="P1904" i="1"/>
  <c r="O1904" i="1"/>
  <c r="N1904" i="1"/>
  <c r="M1904" i="1"/>
  <c r="L1904" i="1"/>
  <c r="R1904" i="1" s="1"/>
  <c r="S1904" i="1" s="1"/>
  <c r="K1904" i="1"/>
  <c r="Q1903" i="1"/>
  <c r="P1903" i="1"/>
  <c r="O1903" i="1"/>
  <c r="N1903" i="1"/>
  <c r="M1903" i="1"/>
  <c r="L1903" i="1"/>
  <c r="K1903" i="1"/>
  <c r="Q1902" i="1"/>
  <c r="P1902" i="1"/>
  <c r="O1902" i="1"/>
  <c r="N1902" i="1"/>
  <c r="M1902" i="1"/>
  <c r="L1902" i="1"/>
  <c r="K1902" i="1"/>
  <c r="R1901" i="1"/>
  <c r="S1901" i="1" s="1"/>
  <c r="Q1901" i="1"/>
  <c r="P1901" i="1"/>
  <c r="O1901" i="1"/>
  <c r="N1901" i="1"/>
  <c r="M1901" i="1"/>
  <c r="L1901" i="1"/>
  <c r="K1901" i="1"/>
  <c r="T1900" i="1"/>
  <c r="R1900" i="1"/>
  <c r="S1900" i="1" s="1"/>
  <c r="Q1900" i="1"/>
  <c r="P1900" i="1"/>
  <c r="O1900" i="1"/>
  <c r="N1900" i="1"/>
  <c r="M1900" i="1"/>
  <c r="L1900" i="1"/>
  <c r="K1900" i="1"/>
  <c r="Q1899" i="1"/>
  <c r="P1899" i="1"/>
  <c r="O1899" i="1"/>
  <c r="N1899" i="1"/>
  <c r="M1899" i="1"/>
  <c r="L1899" i="1"/>
  <c r="K1899" i="1"/>
  <c r="Q1898" i="1"/>
  <c r="P1898" i="1"/>
  <c r="O1898" i="1"/>
  <c r="N1898" i="1"/>
  <c r="R1898" i="1" s="1"/>
  <c r="S1898" i="1" s="1"/>
  <c r="M1898" i="1"/>
  <c r="L1898" i="1"/>
  <c r="K1898" i="1"/>
  <c r="Q1897" i="1"/>
  <c r="P1897" i="1"/>
  <c r="O1897" i="1"/>
  <c r="N1897" i="1"/>
  <c r="M1897" i="1"/>
  <c r="L1897" i="1"/>
  <c r="T1897" i="1" s="1"/>
  <c r="K1897" i="1"/>
  <c r="Q1896" i="1"/>
  <c r="P1896" i="1"/>
  <c r="R1896" i="1" s="1"/>
  <c r="S1896" i="1" s="1"/>
  <c r="O1896" i="1"/>
  <c r="N1896" i="1"/>
  <c r="M1896" i="1"/>
  <c r="L1896" i="1"/>
  <c r="K1896" i="1"/>
  <c r="R1895" i="1"/>
  <c r="S1895" i="1" s="1"/>
  <c r="Q1895" i="1"/>
  <c r="P1895" i="1"/>
  <c r="O1895" i="1"/>
  <c r="N1895" i="1"/>
  <c r="M1895" i="1"/>
  <c r="L1895" i="1"/>
  <c r="T1895" i="1" s="1"/>
  <c r="K1895" i="1"/>
  <c r="T1894" i="1"/>
  <c r="Q1894" i="1"/>
  <c r="P1894" i="1"/>
  <c r="O1894" i="1"/>
  <c r="N1894" i="1"/>
  <c r="M1894" i="1"/>
  <c r="L1894" i="1"/>
  <c r="K1894" i="1"/>
  <c r="Q1893" i="1"/>
  <c r="P1893" i="1"/>
  <c r="O1893" i="1"/>
  <c r="N1893" i="1"/>
  <c r="M1893" i="1"/>
  <c r="L1893" i="1"/>
  <c r="K1893" i="1"/>
  <c r="Q1892" i="1"/>
  <c r="P1892" i="1"/>
  <c r="O1892" i="1"/>
  <c r="N1892" i="1"/>
  <c r="M1892" i="1"/>
  <c r="L1892" i="1"/>
  <c r="K1892" i="1"/>
  <c r="R1891" i="1"/>
  <c r="S1891" i="1" s="1"/>
  <c r="Q1891" i="1"/>
  <c r="P1891" i="1"/>
  <c r="O1891" i="1"/>
  <c r="N1891" i="1"/>
  <c r="M1891" i="1"/>
  <c r="L1891" i="1"/>
  <c r="K1891" i="1"/>
  <c r="Q1890" i="1"/>
  <c r="P1890" i="1"/>
  <c r="O1890" i="1"/>
  <c r="N1890" i="1"/>
  <c r="M1890" i="1"/>
  <c r="L1890" i="1"/>
  <c r="K1890" i="1"/>
  <c r="R1890" i="1" s="1"/>
  <c r="S1890" i="1" s="1"/>
  <c r="Q1889" i="1"/>
  <c r="P1889" i="1"/>
  <c r="O1889" i="1"/>
  <c r="N1889" i="1"/>
  <c r="M1889" i="1"/>
  <c r="R1889" i="1" s="1"/>
  <c r="S1889" i="1" s="1"/>
  <c r="L1889" i="1"/>
  <c r="K1889" i="1"/>
  <c r="T1889" i="1" s="1"/>
  <c r="Q1888" i="1"/>
  <c r="P1888" i="1"/>
  <c r="O1888" i="1"/>
  <c r="N1888" i="1"/>
  <c r="T1888" i="1" s="1"/>
  <c r="M1888" i="1"/>
  <c r="L1888" i="1"/>
  <c r="K1888" i="1"/>
  <c r="Q1887" i="1"/>
  <c r="R1887" i="1" s="1"/>
  <c r="S1887" i="1" s="1"/>
  <c r="P1887" i="1"/>
  <c r="O1887" i="1"/>
  <c r="N1887" i="1"/>
  <c r="M1887" i="1"/>
  <c r="L1887" i="1"/>
  <c r="K1887" i="1"/>
  <c r="T1887" i="1" s="1"/>
  <c r="Q1886" i="1"/>
  <c r="P1886" i="1"/>
  <c r="O1886" i="1"/>
  <c r="N1886" i="1"/>
  <c r="M1886" i="1"/>
  <c r="L1886" i="1"/>
  <c r="K1886" i="1"/>
  <c r="T1886" i="1" s="1"/>
  <c r="Q1885" i="1"/>
  <c r="P1885" i="1"/>
  <c r="O1885" i="1"/>
  <c r="N1885" i="1"/>
  <c r="M1885" i="1"/>
  <c r="L1885" i="1"/>
  <c r="T1885" i="1" s="1"/>
  <c r="K1885" i="1"/>
  <c r="Q1884" i="1"/>
  <c r="P1884" i="1"/>
  <c r="O1884" i="1"/>
  <c r="N1884" i="1"/>
  <c r="M1884" i="1"/>
  <c r="T1884" i="1" s="1"/>
  <c r="L1884" i="1"/>
  <c r="K1884" i="1"/>
  <c r="Q1883" i="1"/>
  <c r="P1883" i="1"/>
  <c r="O1883" i="1"/>
  <c r="N1883" i="1"/>
  <c r="M1883" i="1"/>
  <c r="L1883" i="1"/>
  <c r="T1883" i="1" s="1"/>
  <c r="K1883" i="1"/>
  <c r="Q1882" i="1"/>
  <c r="P1882" i="1"/>
  <c r="O1882" i="1"/>
  <c r="N1882" i="1"/>
  <c r="R1882" i="1" s="1"/>
  <c r="S1882" i="1" s="1"/>
  <c r="M1882" i="1"/>
  <c r="L1882" i="1"/>
  <c r="K1882" i="1"/>
  <c r="Q1881" i="1"/>
  <c r="P1881" i="1"/>
  <c r="O1881" i="1"/>
  <c r="N1881" i="1"/>
  <c r="M1881" i="1"/>
  <c r="L1881" i="1"/>
  <c r="K1881" i="1"/>
  <c r="R1881" i="1" s="1"/>
  <c r="S1881" i="1" s="1"/>
  <c r="Q1880" i="1"/>
  <c r="P1880" i="1"/>
  <c r="O1880" i="1"/>
  <c r="N1880" i="1"/>
  <c r="M1880" i="1"/>
  <c r="L1880" i="1"/>
  <c r="K1880" i="1"/>
  <c r="Q1879" i="1"/>
  <c r="P1879" i="1"/>
  <c r="O1879" i="1"/>
  <c r="N1879" i="1"/>
  <c r="M1879" i="1"/>
  <c r="L1879" i="1"/>
  <c r="K1879" i="1"/>
  <c r="R1878" i="1"/>
  <c r="S1878" i="1" s="1"/>
  <c r="Q1878" i="1"/>
  <c r="P1878" i="1"/>
  <c r="O1878" i="1"/>
  <c r="N1878" i="1"/>
  <c r="M1878" i="1"/>
  <c r="L1878" i="1"/>
  <c r="K1878" i="1"/>
  <c r="Q1877" i="1"/>
  <c r="P1877" i="1"/>
  <c r="O1877" i="1"/>
  <c r="N1877" i="1"/>
  <c r="M1877" i="1"/>
  <c r="L1877" i="1"/>
  <c r="T1877" i="1" s="1"/>
  <c r="K1877" i="1"/>
  <c r="R1877" i="1" s="1"/>
  <c r="S1877" i="1" s="1"/>
  <c r="Q1876" i="1"/>
  <c r="P1876" i="1"/>
  <c r="O1876" i="1"/>
  <c r="N1876" i="1"/>
  <c r="M1876" i="1"/>
  <c r="L1876" i="1"/>
  <c r="T1876" i="1" s="1"/>
  <c r="K1876" i="1"/>
  <c r="Q1875" i="1"/>
  <c r="P1875" i="1"/>
  <c r="O1875" i="1"/>
  <c r="N1875" i="1"/>
  <c r="R1875" i="1" s="1"/>
  <c r="S1875" i="1" s="1"/>
  <c r="M1875" i="1"/>
  <c r="L1875" i="1"/>
  <c r="K1875" i="1"/>
  <c r="Q1874" i="1"/>
  <c r="P1874" i="1"/>
  <c r="O1874" i="1"/>
  <c r="N1874" i="1"/>
  <c r="M1874" i="1"/>
  <c r="L1874" i="1"/>
  <c r="T1874" i="1" s="1"/>
  <c r="K1874" i="1"/>
  <c r="Q1873" i="1"/>
  <c r="P1873" i="1"/>
  <c r="O1873" i="1"/>
  <c r="N1873" i="1"/>
  <c r="M1873" i="1"/>
  <c r="L1873" i="1"/>
  <c r="K1873" i="1"/>
  <c r="T1873" i="1" s="1"/>
  <c r="R1872" i="1"/>
  <c r="S1872" i="1" s="1"/>
  <c r="Q1872" i="1"/>
  <c r="P1872" i="1"/>
  <c r="O1872" i="1"/>
  <c r="N1872" i="1"/>
  <c r="M1872" i="1"/>
  <c r="L1872" i="1"/>
  <c r="T1872" i="1" s="1"/>
  <c r="K1872" i="1"/>
  <c r="T1871" i="1"/>
  <c r="Q1871" i="1"/>
  <c r="P1871" i="1"/>
  <c r="O1871" i="1"/>
  <c r="N1871" i="1"/>
  <c r="M1871" i="1"/>
  <c r="L1871" i="1"/>
  <c r="K1871" i="1"/>
  <c r="Q1870" i="1"/>
  <c r="P1870" i="1"/>
  <c r="O1870" i="1"/>
  <c r="N1870" i="1"/>
  <c r="M1870" i="1"/>
  <c r="L1870" i="1"/>
  <c r="K1870" i="1"/>
  <c r="R1869" i="1"/>
  <c r="S1869" i="1" s="1"/>
  <c r="Q1869" i="1"/>
  <c r="P1869" i="1"/>
  <c r="O1869" i="1"/>
  <c r="N1869" i="1"/>
  <c r="M1869" i="1"/>
  <c r="L1869" i="1"/>
  <c r="K1869" i="1"/>
  <c r="T1868" i="1"/>
  <c r="Q1868" i="1"/>
  <c r="P1868" i="1"/>
  <c r="O1868" i="1"/>
  <c r="N1868" i="1"/>
  <c r="R1868" i="1" s="1"/>
  <c r="S1868" i="1" s="1"/>
  <c r="M1868" i="1"/>
  <c r="L1868" i="1"/>
  <c r="K1868" i="1"/>
  <c r="Q1867" i="1"/>
  <c r="P1867" i="1"/>
  <c r="O1867" i="1"/>
  <c r="N1867" i="1"/>
  <c r="M1867" i="1"/>
  <c r="L1867" i="1"/>
  <c r="K1867" i="1"/>
  <c r="R1866" i="1"/>
  <c r="S1866" i="1" s="1"/>
  <c r="Q1866" i="1"/>
  <c r="P1866" i="1"/>
  <c r="O1866" i="1"/>
  <c r="N1866" i="1"/>
  <c r="M1866" i="1"/>
  <c r="L1866" i="1"/>
  <c r="K1866" i="1"/>
  <c r="Q1865" i="1"/>
  <c r="P1865" i="1"/>
  <c r="O1865" i="1"/>
  <c r="N1865" i="1"/>
  <c r="M1865" i="1"/>
  <c r="L1865" i="1"/>
  <c r="R1865" i="1" s="1"/>
  <c r="S1865" i="1" s="1"/>
  <c r="K1865" i="1"/>
  <c r="Q1864" i="1"/>
  <c r="P1864" i="1"/>
  <c r="R1864" i="1" s="1"/>
  <c r="S1864" i="1" s="1"/>
  <c r="O1864" i="1"/>
  <c r="N1864" i="1"/>
  <c r="M1864" i="1"/>
  <c r="L1864" i="1"/>
  <c r="K1864" i="1"/>
  <c r="R1863" i="1"/>
  <c r="S1863" i="1" s="1"/>
  <c r="Q1863" i="1"/>
  <c r="P1863" i="1"/>
  <c r="O1863" i="1"/>
  <c r="N1863" i="1"/>
  <c r="M1863" i="1"/>
  <c r="L1863" i="1"/>
  <c r="T1863" i="1" s="1"/>
  <c r="K1863" i="1"/>
  <c r="Q1862" i="1"/>
  <c r="P1862" i="1"/>
  <c r="O1862" i="1"/>
  <c r="N1862" i="1"/>
  <c r="T1862" i="1" s="1"/>
  <c r="M1862" i="1"/>
  <c r="L1862" i="1"/>
  <c r="K1862" i="1"/>
  <c r="Q1861" i="1"/>
  <c r="P1861" i="1"/>
  <c r="O1861" i="1"/>
  <c r="N1861" i="1"/>
  <c r="M1861" i="1"/>
  <c r="L1861" i="1"/>
  <c r="K1861" i="1"/>
  <c r="R1860" i="1"/>
  <c r="S1860" i="1" s="1"/>
  <c r="Q1860" i="1"/>
  <c r="P1860" i="1"/>
  <c r="O1860" i="1"/>
  <c r="N1860" i="1"/>
  <c r="M1860" i="1"/>
  <c r="L1860" i="1"/>
  <c r="K1860" i="1"/>
  <c r="Q1859" i="1"/>
  <c r="P1859" i="1"/>
  <c r="O1859" i="1"/>
  <c r="N1859" i="1"/>
  <c r="M1859" i="1"/>
  <c r="L1859" i="1"/>
  <c r="T1859" i="1" s="1"/>
  <c r="K1859" i="1"/>
  <c r="R1859" i="1" s="1"/>
  <c r="S1859" i="1" s="1"/>
  <c r="Q1858" i="1"/>
  <c r="P1858" i="1"/>
  <c r="O1858" i="1"/>
  <c r="N1858" i="1"/>
  <c r="M1858" i="1"/>
  <c r="L1858" i="1"/>
  <c r="R1858" i="1" s="1"/>
  <c r="S1858" i="1" s="1"/>
  <c r="K1858" i="1"/>
  <c r="Q1857" i="1"/>
  <c r="P1857" i="1"/>
  <c r="O1857" i="1"/>
  <c r="N1857" i="1"/>
  <c r="M1857" i="1"/>
  <c r="L1857" i="1"/>
  <c r="K1857" i="1"/>
  <c r="Q1856" i="1"/>
  <c r="P1856" i="1"/>
  <c r="R1856" i="1" s="1"/>
  <c r="S1856" i="1" s="1"/>
  <c r="O1856" i="1"/>
  <c r="N1856" i="1"/>
  <c r="M1856" i="1"/>
  <c r="L1856" i="1"/>
  <c r="K1856" i="1"/>
  <c r="R1855" i="1"/>
  <c r="S1855" i="1" s="1"/>
  <c r="Q1855" i="1"/>
  <c r="P1855" i="1"/>
  <c r="O1855" i="1"/>
  <c r="N1855" i="1"/>
  <c r="M1855" i="1"/>
  <c r="L1855" i="1"/>
  <c r="T1855" i="1" s="1"/>
  <c r="K1855" i="1"/>
  <c r="T1854" i="1"/>
  <c r="Q1854" i="1"/>
  <c r="P1854" i="1"/>
  <c r="O1854" i="1"/>
  <c r="N1854" i="1"/>
  <c r="M1854" i="1"/>
  <c r="L1854" i="1"/>
  <c r="K1854" i="1"/>
  <c r="Q1853" i="1"/>
  <c r="P1853" i="1"/>
  <c r="O1853" i="1"/>
  <c r="N1853" i="1"/>
  <c r="M1853" i="1"/>
  <c r="L1853" i="1"/>
  <c r="K1853" i="1"/>
  <c r="R1852" i="1"/>
  <c r="S1852" i="1" s="1"/>
  <c r="Q1852" i="1"/>
  <c r="P1852" i="1"/>
  <c r="O1852" i="1"/>
  <c r="N1852" i="1"/>
  <c r="M1852" i="1"/>
  <c r="L1852" i="1"/>
  <c r="K1852" i="1"/>
  <c r="Q1851" i="1"/>
  <c r="P1851" i="1"/>
  <c r="O1851" i="1"/>
  <c r="N1851" i="1"/>
  <c r="M1851" i="1"/>
  <c r="L1851" i="1"/>
  <c r="T1851" i="1" s="1"/>
  <c r="K1851" i="1"/>
  <c r="Q1850" i="1"/>
  <c r="P1850" i="1"/>
  <c r="O1850" i="1"/>
  <c r="N1850" i="1"/>
  <c r="M1850" i="1"/>
  <c r="L1850" i="1"/>
  <c r="R1850" i="1" s="1"/>
  <c r="S1850" i="1" s="1"/>
  <c r="K1850" i="1"/>
  <c r="Q1849" i="1"/>
  <c r="P1849" i="1"/>
  <c r="O1849" i="1"/>
  <c r="N1849" i="1"/>
  <c r="M1849" i="1"/>
  <c r="L1849" i="1"/>
  <c r="K1849" i="1"/>
  <c r="Q1848" i="1"/>
  <c r="P1848" i="1"/>
  <c r="R1848" i="1" s="1"/>
  <c r="S1848" i="1" s="1"/>
  <c r="O1848" i="1"/>
  <c r="N1848" i="1"/>
  <c r="M1848" i="1"/>
  <c r="L1848" i="1"/>
  <c r="K1848" i="1"/>
  <c r="R1847" i="1"/>
  <c r="S1847" i="1" s="1"/>
  <c r="Q1847" i="1"/>
  <c r="P1847" i="1"/>
  <c r="O1847" i="1"/>
  <c r="N1847" i="1"/>
  <c r="M1847" i="1"/>
  <c r="L1847" i="1"/>
  <c r="T1847" i="1" s="1"/>
  <c r="K1847" i="1"/>
  <c r="Q1846" i="1"/>
  <c r="P1846" i="1"/>
  <c r="O1846" i="1"/>
  <c r="N1846" i="1"/>
  <c r="T1846" i="1" s="1"/>
  <c r="M1846" i="1"/>
  <c r="L1846" i="1"/>
  <c r="K1846" i="1"/>
  <c r="Q1845" i="1"/>
  <c r="P1845" i="1"/>
  <c r="O1845" i="1"/>
  <c r="N1845" i="1"/>
  <c r="M1845" i="1"/>
  <c r="L1845" i="1"/>
  <c r="K1845" i="1"/>
  <c r="R1844" i="1"/>
  <c r="S1844" i="1" s="1"/>
  <c r="Q1844" i="1"/>
  <c r="P1844" i="1"/>
  <c r="O1844" i="1"/>
  <c r="N1844" i="1"/>
  <c r="M1844" i="1"/>
  <c r="L1844" i="1"/>
  <c r="K1844" i="1"/>
  <c r="Q1843" i="1"/>
  <c r="P1843" i="1"/>
  <c r="O1843" i="1"/>
  <c r="N1843" i="1"/>
  <c r="M1843" i="1"/>
  <c r="L1843" i="1"/>
  <c r="T1843" i="1" s="1"/>
  <c r="K1843" i="1"/>
  <c r="R1843" i="1" s="1"/>
  <c r="S1843" i="1" s="1"/>
  <c r="Q1842" i="1"/>
  <c r="P1842" i="1"/>
  <c r="O1842" i="1"/>
  <c r="N1842" i="1"/>
  <c r="M1842" i="1"/>
  <c r="L1842" i="1"/>
  <c r="R1842" i="1" s="1"/>
  <c r="S1842" i="1" s="1"/>
  <c r="K1842" i="1"/>
  <c r="Q1841" i="1"/>
  <c r="P1841" i="1"/>
  <c r="O1841" i="1"/>
  <c r="N1841" i="1"/>
  <c r="M1841" i="1"/>
  <c r="L1841" i="1"/>
  <c r="K1841" i="1"/>
  <c r="Q1840" i="1"/>
  <c r="P1840" i="1"/>
  <c r="R1840" i="1" s="1"/>
  <c r="S1840" i="1" s="1"/>
  <c r="O1840" i="1"/>
  <c r="N1840" i="1"/>
  <c r="M1840" i="1"/>
  <c r="L1840" i="1"/>
  <c r="K1840" i="1"/>
  <c r="R1839" i="1"/>
  <c r="S1839" i="1" s="1"/>
  <c r="Q1839" i="1"/>
  <c r="P1839" i="1"/>
  <c r="O1839" i="1"/>
  <c r="N1839" i="1"/>
  <c r="M1839" i="1"/>
  <c r="L1839" i="1"/>
  <c r="T1839" i="1" s="1"/>
  <c r="K1839" i="1"/>
  <c r="T1838" i="1"/>
  <c r="Q1838" i="1"/>
  <c r="P1838" i="1"/>
  <c r="O1838" i="1"/>
  <c r="N1838" i="1"/>
  <c r="M1838" i="1"/>
  <c r="L1838" i="1"/>
  <c r="K1838" i="1"/>
  <c r="Q1837" i="1"/>
  <c r="P1837" i="1"/>
  <c r="O1837" i="1"/>
  <c r="N1837" i="1"/>
  <c r="M1837" i="1"/>
  <c r="L1837" i="1"/>
  <c r="K1837" i="1"/>
  <c r="R1836" i="1"/>
  <c r="S1836" i="1" s="1"/>
  <c r="Q1836" i="1"/>
  <c r="P1836" i="1"/>
  <c r="O1836" i="1"/>
  <c r="N1836" i="1"/>
  <c r="M1836" i="1"/>
  <c r="L1836" i="1"/>
  <c r="K1836" i="1"/>
  <c r="Q1835" i="1"/>
  <c r="P1835" i="1"/>
  <c r="O1835" i="1"/>
  <c r="N1835" i="1"/>
  <c r="M1835" i="1"/>
  <c r="L1835" i="1"/>
  <c r="T1835" i="1" s="1"/>
  <c r="K1835" i="1"/>
  <c r="Q1834" i="1"/>
  <c r="P1834" i="1"/>
  <c r="O1834" i="1"/>
  <c r="N1834" i="1"/>
  <c r="M1834" i="1"/>
  <c r="L1834" i="1"/>
  <c r="R1834" i="1" s="1"/>
  <c r="S1834" i="1" s="1"/>
  <c r="K1834" i="1"/>
  <c r="Q1833" i="1"/>
  <c r="P1833" i="1"/>
  <c r="O1833" i="1"/>
  <c r="N1833" i="1"/>
  <c r="M1833" i="1"/>
  <c r="L1833" i="1"/>
  <c r="K1833" i="1"/>
  <c r="Q1832" i="1"/>
  <c r="P1832" i="1"/>
  <c r="R1832" i="1" s="1"/>
  <c r="S1832" i="1" s="1"/>
  <c r="O1832" i="1"/>
  <c r="N1832" i="1"/>
  <c r="M1832" i="1"/>
  <c r="L1832" i="1"/>
  <c r="K1832" i="1"/>
  <c r="R1831" i="1"/>
  <c r="S1831" i="1" s="1"/>
  <c r="Q1831" i="1"/>
  <c r="P1831" i="1"/>
  <c r="O1831" i="1"/>
  <c r="N1831" i="1"/>
  <c r="M1831" i="1"/>
  <c r="L1831" i="1"/>
  <c r="T1831" i="1" s="1"/>
  <c r="K1831" i="1"/>
  <c r="Q1830" i="1"/>
  <c r="P1830" i="1"/>
  <c r="O1830" i="1"/>
  <c r="N1830" i="1"/>
  <c r="T1830" i="1" s="1"/>
  <c r="M1830" i="1"/>
  <c r="L1830" i="1"/>
  <c r="K1830" i="1"/>
  <c r="Q1829" i="1"/>
  <c r="P1829" i="1"/>
  <c r="O1829" i="1"/>
  <c r="N1829" i="1"/>
  <c r="M1829" i="1"/>
  <c r="L1829" i="1"/>
  <c r="K1829" i="1"/>
  <c r="R1828" i="1"/>
  <c r="S1828" i="1" s="1"/>
  <c r="Q1828" i="1"/>
  <c r="P1828" i="1"/>
  <c r="O1828" i="1"/>
  <c r="N1828" i="1"/>
  <c r="M1828" i="1"/>
  <c r="L1828" i="1"/>
  <c r="K1828" i="1"/>
  <c r="Q1827" i="1"/>
  <c r="P1827" i="1"/>
  <c r="O1827" i="1"/>
  <c r="N1827" i="1"/>
  <c r="M1827" i="1"/>
  <c r="L1827" i="1"/>
  <c r="T1827" i="1" s="1"/>
  <c r="K1827" i="1"/>
  <c r="R1827" i="1" s="1"/>
  <c r="S1827" i="1" s="1"/>
  <c r="Q1826" i="1"/>
  <c r="P1826" i="1"/>
  <c r="O1826" i="1"/>
  <c r="N1826" i="1"/>
  <c r="M1826" i="1"/>
  <c r="L1826" i="1"/>
  <c r="R1826" i="1" s="1"/>
  <c r="S1826" i="1" s="1"/>
  <c r="K1826" i="1"/>
  <c r="Q1825" i="1"/>
  <c r="P1825" i="1"/>
  <c r="O1825" i="1"/>
  <c r="N1825" i="1"/>
  <c r="M1825" i="1"/>
  <c r="L1825" i="1"/>
  <c r="K1825" i="1"/>
  <c r="Q1824" i="1"/>
  <c r="P1824" i="1"/>
  <c r="R1824" i="1" s="1"/>
  <c r="S1824" i="1" s="1"/>
  <c r="O1824" i="1"/>
  <c r="N1824" i="1"/>
  <c r="M1824" i="1"/>
  <c r="L1824" i="1"/>
  <c r="K1824" i="1"/>
  <c r="R1823" i="1"/>
  <c r="S1823" i="1" s="1"/>
  <c r="Q1823" i="1"/>
  <c r="P1823" i="1"/>
  <c r="O1823" i="1"/>
  <c r="N1823" i="1"/>
  <c r="M1823" i="1"/>
  <c r="L1823" i="1"/>
  <c r="T1823" i="1" s="1"/>
  <c r="K1823" i="1"/>
  <c r="T1822" i="1"/>
  <c r="Q1822" i="1"/>
  <c r="P1822" i="1"/>
  <c r="O1822" i="1"/>
  <c r="N1822" i="1"/>
  <c r="M1822" i="1"/>
  <c r="L1822" i="1"/>
  <c r="K1822" i="1"/>
  <c r="Q1821" i="1"/>
  <c r="P1821" i="1"/>
  <c r="O1821" i="1"/>
  <c r="N1821" i="1"/>
  <c r="M1821" i="1"/>
  <c r="L1821" i="1"/>
  <c r="K1821" i="1"/>
  <c r="R1820" i="1"/>
  <c r="S1820" i="1" s="1"/>
  <c r="Q1820" i="1"/>
  <c r="P1820" i="1"/>
  <c r="O1820" i="1"/>
  <c r="N1820" i="1"/>
  <c r="M1820" i="1"/>
  <c r="L1820" i="1"/>
  <c r="K1820" i="1"/>
  <c r="Q1819" i="1"/>
  <c r="P1819" i="1"/>
  <c r="O1819" i="1"/>
  <c r="N1819" i="1"/>
  <c r="M1819" i="1"/>
  <c r="L1819" i="1"/>
  <c r="T1819" i="1" s="1"/>
  <c r="K1819" i="1"/>
  <c r="Q1818" i="1"/>
  <c r="P1818" i="1"/>
  <c r="O1818" i="1"/>
  <c r="N1818" i="1"/>
  <c r="M1818" i="1"/>
  <c r="T1818" i="1" s="1"/>
  <c r="L1818" i="1"/>
  <c r="R1818" i="1" s="1"/>
  <c r="S1818" i="1" s="1"/>
  <c r="K1818" i="1"/>
  <c r="Q1817" i="1"/>
  <c r="P1817" i="1"/>
  <c r="O1817" i="1"/>
  <c r="N1817" i="1"/>
  <c r="M1817" i="1"/>
  <c r="L1817" i="1"/>
  <c r="K1817" i="1"/>
  <c r="Q1816" i="1"/>
  <c r="P1816" i="1"/>
  <c r="O1816" i="1"/>
  <c r="N1816" i="1"/>
  <c r="R1816" i="1" s="1"/>
  <c r="S1816" i="1" s="1"/>
  <c r="M1816" i="1"/>
  <c r="L1816" i="1"/>
  <c r="K1816" i="1"/>
  <c r="Q1815" i="1"/>
  <c r="P1815" i="1"/>
  <c r="O1815" i="1"/>
  <c r="N1815" i="1"/>
  <c r="M1815" i="1"/>
  <c r="L1815" i="1"/>
  <c r="T1815" i="1" s="1"/>
  <c r="K1815" i="1"/>
  <c r="R1815" i="1" s="1"/>
  <c r="S1815" i="1" s="1"/>
  <c r="Q1814" i="1"/>
  <c r="P1814" i="1"/>
  <c r="O1814" i="1"/>
  <c r="N1814" i="1"/>
  <c r="M1814" i="1"/>
  <c r="L1814" i="1"/>
  <c r="T1814" i="1" s="1"/>
  <c r="K1814" i="1"/>
  <c r="Q1813" i="1"/>
  <c r="P1813" i="1"/>
  <c r="O1813" i="1"/>
  <c r="N1813" i="1"/>
  <c r="M1813" i="1"/>
  <c r="L1813" i="1"/>
  <c r="K1813" i="1"/>
  <c r="Q1812" i="1"/>
  <c r="P1812" i="1"/>
  <c r="O1812" i="1"/>
  <c r="N1812" i="1"/>
  <c r="M1812" i="1"/>
  <c r="L1812" i="1"/>
  <c r="K1812" i="1"/>
  <c r="T1812" i="1" s="1"/>
  <c r="Q1811" i="1"/>
  <c r="P1811" i="1"/>
  <c r="O1811" i="1"/>
  <c r="N1811" i="1"/>
  <c r="M1811" i="1"/>
  <c r="L1811" i="1"/>
  <c r="K1811" i="1"/>
  <c r="T1811" i="1" s="1"/>
  <c r="Q1810" i="1"/>
  <c r="P1810" i="1"/>
  <c r="O1810" i="1"/>
  <c r="N1810" i="1"/>
  <c r="R1810" i="1" s="1"/>
  <c r="S1810" i="1" s="1"/>
  <c r="M1810" i="1"/>
  <c r="L1810" i="1"/>
  <c r="T1810" i="1" s="1"/>
  <c r="K1810" i="1"/>
  <c r="Q1809" i="1"/>
  <c r="P1809" i="1"/>
  <c r="O1809" i="1"/>
  <c r="N1809" i="1"/>
  <c r="M1809" i="1"/>
  <c r="L1809" i="1"/>
  <c r="K1809" i="1"/>
  <c r="Q1808" i="1"/>
  <c r="P1808" i="1"/>
  <c r="O1808" i="1"/>
  <c r="N1808" i="1"/>
  <c r="M1808" i="1"/>
  <c r="L1808" i="1"/>
  <c r="T1808" i="1" s="1"/>
  <c r="K1808" i="1"/>
  <c r="R1808" i="1" s="1"/>
  <c r="S1808" i="1" s="1"/>
  <c r="Q1807" i="1"/>
  <c r="P1807" i="1"/>
  <c r="O1807" i="1"/>
  <c r="N1807" i="1"/>
  <c r="M1807" i="1"/>
  <c r="L1807" i="1"/>
  <c r="K1807" i="1"/>
  <c r="T1807" i="1" s="1"/>
  <c r="Q1806" i="1"/>
  <c r="P1806" i="1"/>
  <c r="O1806" i="1"/>
  <c r="N1806" i="1"/>
  <c r="M1806" i="1"/>
  <c r="L1806" i="1"/>
  <c r="K1806" i="1"/>
  <c r="T1806" i="1" s="1"/>
  <c r="Q1805" i="1"/>
  <c r="P1805" i="1"/>
  <c r="O1805" i="1"/>
  <c r="N1805" i="1"/>
  <c r="M1805" i="1"/>
  <c r="L1805" i="1"/>
  <c r="K1805" i="1"/>
  <c r="R1805" i="1" s="1"/>
  <c r="S1805" i="1" s="1"/>
  <c r="Q1804" i="1"/>
  <c r="P1804" i="1"/>
  <c r="O1804" i="1"/>
  <c r="N1804" i="1"/>
  <c r="M1804" i="1"/>
  <c r="L1804" i="1"/>
  <c r="T1804" i="1" s="1"/>
  <c r="K1804" i="1"/>
  <c r="R1804" i="1" s="1"/>
  <c r="S1804" i="1" s="1"/>
  <c r="Q1803" i="1"/>
  <c r="P1803" i="1"/>
  <c r="O1803" i="1"/>
  <c r="N1803" i="1"/>
  <c r="M1803" i="1"/>
  <c r="L1803" i="1"/>
  <c r="K1803" i="1"/>
  <c r="T1803" i="1" s="1"/>
  <c r="Q1802" i="1"/>
  <c r="P1802" i="1"/>
  <c r="O1802" i="1"/>
  <c r="N1802" i="1"/>
  <c r="M1802" i="1"/>
  <c r="L1802" i="1"/>
  <c r="K1802" i="1"/>
  <c r="T1802" i="1" s="1"/>
  <c r="Q1801" i="1"/>
  <c r="P1801" i="1"/>
  <c r="O1801" i="1"/>
  <c r="N1801" i="1"/>
  <c r="M1801" i="1"/>
  <c r="L1801" i="1"/>
  <c r="K1801" i="1"/>
  <c r="R1801" i="1" s="1"/>
  <c r="S1801" i="1" s="1"/>
  <c r="Q1800" i="1"/>
  <c r="P1800" i="1"/>
  <c r="O1800" i="1"/>
  <c r="N1800" i="1"/>
  <c r="M1800" i="1"/>
  <c r="L1800" i="1"/>
  <c r="T1800" i="1" s="1"/>
  <c r="K1800" i="1"/>
  <c r="R1800" i="1" s="1"/>
  <c r="S1800" i="1" s="1"/>
  <c r="Q1799" i="1"/>
  <c r="P1799" i="1"/>
  <c r="O1799" i="1"/>
  <c r="N1799" i="1"/>
  <c r="M1799" i="1"/>
  <c r="L1799" i="1"/>
  <c r="K1799" i="1"/>
  <c r="T1799" i="1" s="1"/>
  <c r="Q1798" i="1"/>
  <c r="P1798" i="1"/>
  <c r="O1798" i="1"/>
  <c r="N1798" i="1"/>
  <c r="M1798" i="1"/>
  <c r="L1798" i="1"/>
  <c r="K1798" i="1"/>
  <c r="T1798" i="1" s="1"/>
  <c r="Q1797" i="1"/>
  <c r="P1797" i="1"/>
  <c r="O1797" i="1"/>
  <c r="N1797" i="1"/>
  <c r="M1797" i="1"/>
  <c r="L1797" i="1"/>
  <c r="K1797" i="1"/>
  <c r="R1797" i="1" s="1"/>
  <c r="S1797" i="1" s="1"/>
  <c r="Q1796" i="1"/>
  <c r="P1796" i="1"/>
  <c r="O1796" i="1"/>
  <c r="N1796" i="1"/>
  <c r="M1796" i="1"/>
  <c r="L1796" i="1"/>
  <c r="T1796" i="1" s="1"/>
  <c r="K1796" i="1"/>
  <c r="R1796" i="1" s="1"/>
  <c r="S1796" i="1" s="1"/>
  <c r="Q1795" i="1"/>
  <c r="P1795" i="1"/>
  <c r="O1795" i="1"/>
  <c r="N1795" i="1"/>
  <c r="M1795" i="1"/>
  <c r="L1795" i="1"/>
  <c r="K1795" i="1"/>
  <c r="T1795" i="1" s="1"/>
  <c r="Q1794" i="1"/>
  <c r="P1794" i="1"/>
  <c r="O1794" i="1"/>
  <c r="N1794" i="1"/>
  <c r="M1794" i="1"/>
  <c r="L1794" i="1"/>
  <c r="K1794" i="1"/>
  <c r="T1794" i="1" s="1"/>
  <c r="Q1793" i="1"/>
  <c r="P1793" i="1"/>
  <c r="O1793" i="1"/>
  <c r="N1793" i="1"/>
  <c r="M1793" i="1"/>
  <c r="L1793" i="1"/>
  <c r="K1793" i="1"/>
  <c r="R1793" i="1" s="1"/>
  <c r="S1793" i="1" s="1"/>
  <c r="Q1792" i="1"/>
  <c r="P1792" i="1"/>
  <c r="O1792" i="1"/>
  <c r="N1792" i="1"/>
  <c r="M1792" i="1"/>
  <c r="L1792" i="1"/>
  <c r="T1792" i="1" s="1"/>
  <c r="K1792" i="1"/>
  <c r="R1792" i="1" s="1"/>
  <c r="S1792" i="1" s="1"/>
  <c r="Q1791" i="1"/>
  <c r="P1791" i="1"/>
  <c r="O1791" i="1"/>
  <c r="N1791" i="1"/>
  <c r="M1791" i="1"/>
  <c r="L1791" i="1"/>
  <c r="K1791" i="1"/>
  <c r="T1791" i="1" s="1"/>
  <c r="Q1790" i="1"/>
  <c r="P1790" i="1"/>
  <c r="O1790" i="1"/>
  <c r="N1790" i="1"/>
  <c r="M1790" i="1"/>
  <c r="L1790" i="1"/>
  <c r="K1790" i="1"/>
  <c r="T1790" i="1" s="1"/>
  <c r="Q1789" i="1"/>
  <c r="P1789" i="1"/>
  <c r="O1789" i="1"/>
  <c r="N1789" i="1"/>
  <c r="M1789" i="1"/>
  <c r="L1789" i="1"/>
  <c r="K1789" i="1"/>
  <c r="R1789" i="1" s="1"/>
  <c r="S1789" i="1" s="1"/>
  <c r="Q1788" i="1"/>
  <c r="P1788" i="1"/>
  <c r="O1788" i="1"/>
  <c r="N1788" i="1"/>
  <c r="M1788" i="1"/>
  <c r="L1788" i="1"/>
  <c r="T1788" i="1" s="1"/>
  <c r="K1788" i="1"/>
  <c r="R1788" i="1" s="1"/>
  <c r="S1788" i="1" s="1"/>
  <c r="Q1787" i="1"/>
  <c r="P1787" i="1"/>
  <c r="O1787" i="1"/>
  <c r="N1787" i="1"/>
  <c r="M1787" i="1"/>
  <c r="L1787" i="1"/>
  <c r="K1787" i="1"/>
  <c r="T1787" i="1" s="1"/>
  <c r="Q1786" i="1"/>
  <c r="P1786" i="1"/>
  <c r="O1786" i="1"/>
  <c r="N1786" i="1"/>
  <c r="M1786" i="1"/>
  <c r="L1786" i="1"/>
  <c r="K1786" i="1"/>
  <c r="T1786" i="1" s="1"/>
  <c r="Q1785" i="1"/>
  <c r="P1785" i="1"/>
  <c r="O1785" i="1"/>
  <c r="N1785" i="1"/>
  <c r="M1785" i="1"/>
  <c r="L1785" i="1"/>
  <c r="K1785" i="1"/>
  <c r="R1785" i="1" s="1"/>
  <c r="S1785" i="1" s="1"/>
  <c r="Q1784" i="1"/>
  <c r="P1784" i="1"/>
  <c r="O1784" i="1"/>
  <c r="N1784" i="1"/>
  <c r="M1784" i="1"/>
  <c r="L1784" i="1"/>
  <c r="T1784" i="1" s="1"/>
  <c r="K1784" i="1"/>
  <c r="R1784" i="1" s="1"/>
  <c r="S1784" i="1" s="1"/>
  <c r="Q1783" i="1"/>
  <c r="P1783" i="1"/>
  <c r="O1783" i="1"/>
  <c r="N1783" i="1"/>
  <c r="M1783" i="1"/>
  <c r="L1783" i="1"/>
  <c r="K1783" i="1"/>
  <c r="T1783" i="1" s="1"/>
  <c r="Q1782" i="1"/>
  <c r="P1782" i="1"/>
  <c r="O1782" i="1"/>
  <c r="N1782" i="1"/>
  <c r="M1782" i="1"/>
  <c r="L1782" i="1"/>
  <c r="K1782" i="1"/>
  <c r="T1782" i="1" s="1"/>
  <c r="Q1781" i="1"/>
  <c r="P1781" i="1"/>
  <c r="O1781" i="1"/>
  <c r="N1781" i="1"/>
  <c r="M1781" i="1"/>
  <c r="L1781" i="1"/>
  <c r="K1781" i="1"/>
  <c r="R1781" i="1" s="1"/>
  <c r="S1781" i="1" s="1"/>
  <c r="Q1780" i="1"/>
  <c r="P1780" i="1"/>
  <c r="O1780" i="1"/>
  <c r="N1780" i="1"/>
  <c r="M1780" i="1"/>
  <c r="L1780" i="1"/>
  <c r="T1780" i="1" s="1"/>
  <c r="K1780" i="1"/>
  <c r="R1780" i="1" s="1"/>
  <c r="S1780" i="1" s="1"/>
  <c r="Q1779" i="1"/>
  <c r="P1779" i="1"/>
  <c r="O1779" i="1"/>
  <c r="N1779" i="1"/>
  <c r="M1779" i="1"/>
  <c r="L1779" i="1"/>
  <c r="K1779" i="1"/>
  <c r="T1779" i="1" s="1"/>
  <c r="Q1778" i="1"/>
  <c r="P1778" i="1"/>
  <c r="O1778" i="1"/>
  <c r="N1778" i="1"/>
  <c r="M1778" i="1"/>
  <c r="L1778" i="1"/>
  <c r="K1778" i="1"/>
  <c r="T1778" i="1" s="1"/>
  <c r="Q1777" i="1"/>
  <c r="P1777" i="1"/>
  <c r="O1777" i="1"/>
  <c r="N1777" i="1"/>
  <c r="M1777" i="1"/>
  <c r="L1777" i="1"/>
  <c r="K1777" i="1"/>
  <c r="R1777" i="1" s="1"/>
  <c r="S1777" i="1" s="1"/>
  <c r="Q1776" i="1"/>
  <c r="P1776" i="1"/>
  <c r="O1776" i="1"/>
  <c r="N1776" i="1"/>
  <c r="M1776" i="1"/>
  <c r="L1776" i="1"/>
  <c r="T1776" i="1" s="1"/>
  <c r="K1776" i="1"/>
  <c r="R1776" i="1" s="1"/>
  <c r="S1776" i="1" s="1"/>
  <c r="Q1775" i="1"/>
  <c r="P1775" i="1"/>
  <c r="O1775" i="1"/>
  <c r="N1775" i="1"/>
  <c r="M1775" i="1"/>
  <c r="L1775" i="1"/>
  <c r="K1775" i="1"/>
  <c r="T1775" i="1" s="1"/>
  <c r="Q1774" i="1"/>
  <c r="P1774" i="1"/>
  <c r="O1774" i="1"/>
  <c r="N1774" i="1"/>
  <c r="M1774" i="1"/>
  <c r="L1774" i="1"/>
  <c r="K1774" i="1"/>
  <c r="T1774" i="1" s="1"/>
  <c r="Q1773" i="1"/>
  <c r="P1773" i="1"/>
  <c r="O1773" i="1"/>
  <c r="N1773" i="1"/>
  <c r="M1773" i="1"/>
  <c r="L1773" i="1"/>
  <c r="K1773" i="1"/>
  <c r="R1773" i="1" s="1"/>
  <c r="S1773" i="1" s="1"/>
  <c r="Q1772" i="1"/>
  <c r="P1772" i="1"/>
  <c r="O1772" i="1"/>
  <c r="N1772" i="1"/>
  <c r="M1772" i="1"/>
  <c r="L1772" i="1"/>
  <c r="T1772" i="1" s="1"/>
  <c r="K1772" i="1"/>
  <c r="R1772" i="1" s="1"/>
  <c r="S1772" i="1" s="1"/>
  <c r="Q1771" i="1"/>
  <c r="P1771" i="1"/>
  <c r="O1771" i="1"/>
  <c r="N1771" i="1"/>
  <c r="M1771" i="1"/>
  <c r="L1771" i="1"/>
  <c r="K1771" i="1"/>
  <c r="T1771" i="1" s="1"/>
  <c r="Q1770" i="1"/>
  <c r="P1770" i="1"/>
  <c r="O1770" i="1"/>
  <c r="N1770" i="1"/>
  <c r="M1770" i="1"/>
  <c r="L1770" i="1"/>
  <c r="K1770" i="1"/>
  <c r="T1770" i="1" s="1"/>
  <c r="Q1769" i="1"/>
  <c r="P1769" i="1"/>
  <c r="O1769" i="1"/>
  <c r="N1769" i="1"/>
  <c r="M1769" i="1"/>
  <c r="L1769" i="1"/>
  <c r="K1769" i="1"/>
  <c r="R1769" i="1" s="1"/>
  <c r="S1769" i="1" s="1"/>
  <c r="Q1768" i="1"/>
  <c r="P1768" i="1"/>
  <c r="O1768" i="1"/>
  <c r="N1768" i="1"/>
  <c r="M1768" i="1"/>
  <c r="L1768" i="1"/>
  <c r="T1768" i="1" s="1"/>
  <c r="K1768" i="1"/>
  <c r="R1768" i="1" s="1"/>
  <c r="S1768" i="1" s="1"/>
  <c r="Q1767" i="1"/>
  <c r="P1767" i="1"/>
  <c r="O1767" i="1"/>
  <c r="N1767" i="1"/>
  <c r="M1767" i="1"/>
  <c r="L1767" i="1"/>
  <c r="K1767" i="1"/>
  <c r="T1767" i="1" s="1"/>
  <c r="Q1766" i="1"/>
  <c r="P1766" i="1"/>
  <c r="O1766" i="1"/>
  <c r="N1766" i="1"/>
  <c r="M1766" i="1"/>
  <c r="L1766" i="1"/>
  <c r="K1766" i="1"/>
  <c r="T1766" i="1" s="1"/>
  <c r="Q1765" i="1"/>
  <c r="P1765" i="1"/>
  <c r="O1765" i="1"/>
  <c r="N1765" i="1"/>
  <c r="M1765" i="1"/>
  <c r="L1765" i="1"/>
  <c r="K1765" i="1"/>
  <c r="R1765" i="1" s="1"/>
  <c r="S1765" i="1" s="1"/>
  <c r="Q1764" i="1"/>
  <c r="P1764" i="1"/>
  <c r="O1764" i="1"/>
  <c r="N1764" i="1"/>
  <c r="M1764" i="1"/>
  <c r="L1764" i="1"/>
  <c r="T1764" i="1" s="1"/>
  <c r="K1764" i="1"/>
  <c r="R1764" i="1" s="1"/>
  <c r="S1764" i="1" s="1"/>
  <c r="Q1763" i="1"/>
  <c r="P1763" i="1"/>
  <c r="O1763" i="1"/>
  <c r="N1763" i="1"/>
  <c r="M1763" i="1"/>
  <c r="L1763" i="1"/>
  <c r="K1763" i="1"/>
  <c r="T1763" i="1" s="1"/>
  <c r="Q1762" i="1"/>
  <c r="P1762" i="1"/>
  <c r="O1762" i="1"/>
  <c r="N1762" i="1"/>
  <c r="M1762" i="1"/>
  <c r="L1762" i="1"/>
  <c r="K1762" i="1"/>
  <c r="T1762" i="1" s="1"/>
  <c r="Q1761" i="1"/>
  <c r="P1761" i="1"/>
  <c r="O1761" i="1"/>
  <c r="N1761" i="1"/>
  <c r="M1761" i="1"/>
  <c r="L1761" i="1"/>
  <c r="K1761" i="1"/>
  <c r="R1761" i="1" s="1"/>
  <c r="S1761" i="1" s="1"/>
  <c r="Q1760" i="1"/>
  <c r="P1760" i="1"/>
  <c r="O1760" i="1"/>
  <c r="N1760" i="1"/>
  <c r="M1760" i="1"/>
  <c r="L1760" i="1"/>
  <c r="T1760" i="1" s="1"/>
  <c r="K1760" i="1"/>
  <c r="R1760" i="1" s="1"/>
  <c r="S1760" i="1" s="1"/>
  <c r="Q1759" i="1"/>
  <c r="P1759" i="1"/>
  <c r="O1759" i="1"/>
  <c r="N1759" i="1"/>
  <c r="M1759" i="1"/>
  <c r="L1759" i="1"/>
  <c r="K1759" i="1"/>
  <c r="T1759" i="1" s="1"/>
  <c r="Q1758" i="1"/>
  <c r="P1758" i="1"/>
  <c r="O1758" i="1"/>
  <c r="N1758" i="1"/>
  <c r="M1758" i="1"/>
  <c r="L1758" i="1"/>
  <c r="K1758" i="1"/>
  <c r="T1758" i="1" s="1"/>
  <c r="Q1757" i="1"/>
  <c r="P1757" i="1"/>
  <c r="O1757" i="1"/>
  <c r="N1757" i="1"/>
  <c r="M1757" i="1"/>
  <c r="L1757" i="1"/>
  <c r="K1757" i="1"/>
  <c r="R1757" i="1" s="1"/>
  <c r="S1757" i="1" s="1"/>
  <c r="Q1756" i="1"/>
  <c r="P1756" i="1"/>
  <c r="O1756" i="1"/>
  <c r="N1756" i="1"/>
  <c r="M1756" i="1"/>
  <c r="L1756" i="1"/>
  <c r="T1756" i="1" s="1"/>
  <c r="K1756" i="1"/>
  <c r="R1756" i="1" s="1"/>
  <c r="S1756" i="1" s="1"/>
  <c r="Q1755" i="1"/>
  <c r="P1755" i="1"/>
  <c r="O1755" i="1"/>
  <c r="N1755" i="1"/>
  <c r="M1755" i="1"/>
  <c r="L1755" i="1"/>
  <c r="K1755" i="1"/>
  <c r="T1755" i="1" s="1"/>
  <c r="Q1754" i="1"/>
  <c r="P1754" i="1"/>
  <c r="O1754" i="1"/>
  <c r="N1754" i="1"/>
  <c r="M1754" i="1"/>
  <c r="L1754" i="1"/>
  <c r="K1754" i="1"/>
  <c r="T1754" i="1" s="1"/>
  <c r="Q1753" i="1"/>
  <c r="P1753" i="1"/>
  <c r="O1753" i="1"/>
  <c r="N1753" i="1"/>
  <c r="M1753" i="1"/>
  <c r="L1753" i="1"/>
  <c r="K1753" i="1"/>
  <c r="R1753" i="1" s="1"/>
  <c r="S1753" i="1" s="1"/>
  <c r="Q1752" i="1"/>
  <c r="P1752" i="1"/>
  <c r="O1752" i="1"/>
  <c r="N1752" i="1"/>
  <c r="M1752" i="1"/>
  <c r="L1752" i="1"/>
  <c r="T1752" i="1" s="1"/>
  <c r="K1752" i="1"/>
  <c r="R1752" i="1" s="1"/>
  <c r="S1752" i="1" s="1"/>
  <c r="Q1751" i="1"/>
  <c r="P1751" i="1"/>
  <c r="O1751" i="1"/>
  <c r="N1751" i="1"/>
  <c r="M1751" i="1"/>
  <c r="L1751" i="1"/>
  <c r="K1751" i="1"/>
  <c r="T1751" i="1" s="1"/>
  <c r="Q1750" i="1"/>
  <c r="P1750" i="1"/>
  <c r="O1750" i="1"/>
  <c r="N1750" i="1"/>
  <c r="M1750" i="1"/>
  <c r="L1750" i="1"/>
  <c r="K1750" i="1"/>
  <c r="T1750" i="1" s="1"/>
  <c r="Q1749" i="1"/>
  <c r="P1749" i="1"/>
  <c r="O1749" i="1"/>
  <c r="N1749" i="1"/>
  <c r="M1749" i="1"/>
  <c r="L1749" i="1"/>
  <c r="K1749" i="1"/>
  <c r="R1749" i="1" s="1"/>
  <c r="S1749" i="1" s="1"/>
  <c r="Q1748" i="1"/>
  <c r="P1748" i="1"/>
  <c r="O1748" i="1"/>
  <c r="N1748" i="1"/>
  <c r="M1748" i="1"/>
  <c r="L1748" i="1"/>
  <c r="T1748" i="1" s="1"/>
  <c r="K1748" i="1"/>
  <c r="R1748" i="1" s="1"/>
  <c r="S1748" i="1" s="1"/>
  <c r="Q1747" i="1"/>
  <c r="P1747" i="1"/>
  <c r="O1747" i="1"/>
  <c r="N1747" i="1"/>
  <c r="M1747" i="1"/>
  <c r="L1747" i="1"/>
  <c r="K1747" i="1"/>
  <c r="T1747" i="1" s="1"/>
  <c r="Q1746" i="1"/>
  <c r="P1746" i="1"/>
  <c r="O1746" i="1"/>
  <c r="N1746" i="1"/>
  <c r="M1746" i="1"/>
  <c r="L1746" i="1"/>
  <c r="K1746" i="1"/>
  <c r="T1746" i="1" s="1"/>
  <c r="Q1745" i="1"/>
  <c r="P1745" i="1"/>
  <c r="O1745" i="1"/>
  <c r="N1745" i="1"/>
  <c r="M1745" i="1"/>
  <c r="L1745" i="1"/>
  <c r="K1745" i="1"/>
  <c r="R1745" i="1" s="1"/>
  <c r="S1745" i="1" s="1"/>
  <c r="Q1744" i="1"/>
  <c r="P1744" i="1"/>
  <c r="O1744" i="1"/>
  <c r="N1744" i="1"/>
  <c r="M1744" i="1"/>
  <c r="L1744" i="1"/>
  <c r="T1744" i="1" s="1"/>
  <c r="K1744" i="1"/>
  <c r="R1744" i="1" s="1"/>
  <c r="S1744" i="1" s="1"/>
  <c r="Q1743" i="1"/>
  <c r="P1743" i="1"/>
  <c r="O1743" i="1"/>
  <c r="N1743" i="1"/>
  <c r="M1743" i="1"/>
  <c r="L1743" i="1"/>
  <c r="K1743" i="1"/>
  <c r="T1743" i="1" s="1"/>
  <c r="Q1742" i="1"/>
  <c r="P1742" i="1"/>
  <c r="O1742" i="1"/>
  <c r="N1742" i="1"/>
  <c r="M1742" i="1"/>
  <c r="L1742" i="1"/>
  <c r="K1742" i="1"/>
  <c r="T1742" i="1" s="1"/>
  <c r="Q1741" i="1"/>
  <c r="P1741" i="1"/>
  <c r="O1741" i="1"/>
  <c r="N1741" i="1"/>
  <c r="M1741" i="1"/>
  <c r="L1741" i="1"/>
  <c r="K1741" i="1"/>
  <c r="R1741" i="1" s="1"/>
  <c r="S1741" i="1" s="1"/>
  <c r="Q1740" i="1"/>
  <c r="P1740" i="1"/>
  <c r="O1740" i="1"/>
  <c r="N1740" i="1"/>
  <c r="M1740" i="1"/>
  <c r="L1740" i="1"/>
  <c r="T1740" i="1" s="1"/>
  <c r="K1740" i="1"/>
  <c r="R1740" i="1" s="1"/>
  <c r="S1740" i="1" s="1"/>
  <c r="Q1739" i="1"/>
  <c r="P1739" i="1"/>
  <c r="O1739" i="1"/>
  <c r="N1739" i="1"/>
  <c r="M1739" i="1"/>
  <c r="L1739" i="1"/>
  <c r="K1739" i="1"/>
  <c r="T1739" i="1" s="1"/>
  <c r="Q1738" i="1"/>
  <c r="P1738" i="1"/>
  <c r="O1738" i="1"/>
  <c r="N1738" i="1"/>
  <c r="M1738" i="1"/>
  <c r="L1738" i="1"/>
  <c r="K1738" i="1"/>
  <c r="T1738" i="1" s="1"/>
  <c r="Q1737" i="1"/>
  <c r="P1737" i="1"/>
  <c r="O1737" i="1"/>
  <c r="N1737" i="1"/>
  <c r="M1737" i="1"/>
  <c r="L1737" i="1"/>
  <c r="K1737" i="1"/>
  <c r="R1737" i="1" s="1"/>
  <c r="S1737" i="1" s="1"/>
  <c r="Q1736" i="1"/>
  <c r="P1736" i="1"/>
  <c r="O1736" i="1"/>
  <c r="N1736" i="1"/>
  <c r="M1736" i="1"/>
  <c r="L1736" i="1"/>
  <c r="T1736" i="1" s="1"/>
  <c r="K1736" i="1"/>
  <c r="R1736" i="1" s="1"/>
  <c r="S1736" i="1" s="1"/>
  <c r="Q1735" i="1"/>
  <c r="P1735" i="1"/>
  <c r="O1735" i="1"/>
  <c r="N1735" i="1"/>
  <c r="M1735" i="1"/>
  <c r="L1735" i="1"/>
  <c r="K1735" i="1"/>
  <c r="T1735" i="1" s="1"/>
  <c r="T2331" i="1" l="1"/>
  <c r="T2322" i="1"/>
  <c r="T2313" i="1"/>
  <c r="T2299" i="1"/>
  <c r="T2290" i="1"/>
  <c r="T2281" i="1"/>
  <c r="T2269" i="1"/>
  <c r="T2262" i="1"/>
  <c r="R2243" i="1"/>
  <c r="S2243" i="1" s="1"/>
  <c r="T2243" i="1"/>
  <c r="R2120" i="1"/>
  <c r="S2120" i="1" s="1"/>
  <c r="T2120" i="1"/>
  <c r="T2209" i="1"/>
  <c r="R2124" i="1"/>
  <c r="S2124" i="1" s="1"/>
  <c r="T2124" i="1"/>
  <c r="T2330" i="1"/>
  <c r="T2321" i="1"/>
  <c r="T2312" i="1"/>
  <c r="T2307" i="1"/>
  <c r="T2298" i="1"/>
  <c r="T2289" i="1"/>
  <c r="T2280" i="1"/>
  <c r="T2268" i="1"/>
  <c r="T2261" i="1"/>
  <c r="R2260" i="1"/>
  <c r="S2260" i="1" s="1"/>
  <c r="R2255" i="1"/>
  <c r="S2255" i="1" s="1"/>
  <c r="T2254" i="1"/>
  <c r="R2242" i="1"/>
  <c r="S2242" i="1" s="1"/>
  <c r="R2241" i="1"/>
  <c r="S2241" i="1" s="1"/>
  <c r="T2238" i="1"/>
  <c r="R2213" i="1"/>
  <c r="S2213" i="1" s="1"/>
  <c r="T2192" i="1"/>
  <c r="R2188" i="1"/>
  <c r="S2188" i="1" s="1"/>
  <c r="R2181" i="1"/>
  <c r="S2181" i="1" s="1"/>
  <c r="T2160" i="1"/>
  <c r="R2156" i="1"/>
  <c r="S2156" i="1" s="1"/>
  <c r="R2149" i="1"/>
  <c r="S2149" i="1" s="1"/>
  <c r="R2128" i="1"/>
  <c r="S2128" i="1" s="1"/>
  <c r="T2128" i="1"/>
  <c r="R2117" i="1"/>
  <c r="S2117" i="1" s="1"/>
  <c r="R2347" i="1"/>
  <c r="S2347" i="1" s="1"/>
  <c r="R2343" i="1"/>
  <c r="S2343" i="1" s="1"/>
  <c r="R2339" i="1"/>
  <c r="S2339" i="1" s="1"/>
  <c r="R2335" i="1"/>
  <c r="S2335" i="1" s="1"/>
  <c r="R2285" i="1"/>
  <c r="S2285" i="1" s="1"/>
  <c r="T2279" i="1"/>
  <c r="R2274" i="1"/>
  <c r="S2274" i="1" s="1"/>
  <c r="R2272" i="1"/>
  <c r="S2272" i="1" s="1"/>
  <c r="R2237" i="1"/>
  <c r="S2237" i="1" s="1"/>
  <c r="R2233" i="1"/>
  <c r="S2233" i="1" s="1"/>
  <c r="R2229" i="1"/>
  <c r="S2229" i="1" s="1"/>
  <c r="R2225" i="1"/>
  <c r="S2225" i="1" s="1"/>
  <c r="R2221" i="1"/>
  <c r="S2221" i="1" s="1"/>
  <c r="R2192" i="1"/>
  <c r="S2192" i="1" s="1"/>
  <c r="R2160" i="1"/>
  <c r="S2160" i="1" s="1"/>
  <c r="R2132" i="1"/>
  <c r="S2132" i="1" s="1"/>
  <c r="T2132" i="1"/>
  <c r="T2245" i="1"/>
  <c r="R2239" i="1"/>
  <c r="S2239" i="1" s="1"/>
  <c r="T2239" i="1"/>
  <c r="T2177" i="1"/>
  <c r="T2329" i="1"/>
  <c r="T2320" i="1"/>
  <c r="T2315" i="1"/>
  <c r="T2306" i="1"/>
  <c r="T2297" i="1"/>
  <c r="T2288" i="1"/>
  <c r="T2283" i="1"/>
  <c r="R2279" i="1"/>
  <c r="S2279" i="1" s="1"/>
  <c r="T2278" i="1"/>
  <c r="T2260" i="1"/>
  <c r="T2259" i="1"/>
  <c r="T2253" i="1"/>
  <c r="R2252" i="1"/>
  <c r="S2252" i="1" s="1"/>
  <c r="T2200" i="1"/>
  <c r="R2196" i="1"/>
  <c r="S2196" i="1" s="1"/>
  <c r="R2195" i="1"/>
  <c r="S2195" i="1" s="1"/>
  <c r="R2189" i="1"/>
  <c r="S2189" i="1" s="1"/>
  <c r="T2168" i="1"/>
  <c r="R2164" i="1"/>
  <c r="S2164" i="1" s="1"/>
  <c r="R2163" i="1"/>
  <c r="S2163" i="1" s="1"/>
  <c r="R2157" i="1"/>
  <c r="S2157" i="1" s="1"/>
  <c r="T2136" i="1"/>
  <c r="R2131" i="1"/>
  <c r="S2131" i="1" s="1"/>
  <c r="R2125" i="1"/>
  <c r="S2125" i="1" s="1"/>
  <c r="T2324" i="1"/>
  <c r="T2272" i="1"/>
  <c r="T2271" i="1"/>
  <c r="R2264" i="1"/>
  <c r="S2264" i="1" s="1"/>
  <c r="R2251" i="1"/>
  <c r="S2251" i="1" s="1"/>
  <c r="T2251" i="1"/>
  <c r="T2248" i="1"/>
  <c r="R2200" i="1"/>
  <c r="S2200" i="1" s="1"/>
  <c r="R2199" i="1"/>
  <c r="S2199" i="1" s="1"/>
  <c r="R2168" i="1"/>
  <c r="S2168" i="1" s="1"/>
  <c r="R2167" i="1"/>
  <c r="S2167" i="1" s="1"/>
  <c r="R2136" i="1"/>
  <c r="S2136" i="1" s="1"/>
  <c r="R2135" i="1"/>
  <c r="S2135" i="1" s="1"/>
  <c r="R2129" i="1"/>
  <c r="S2129" i="1" s="1"/>
  <c r="T2328" i="1"/>
  <c r="T2296" i="1"/>
  <c r="R2276" i="1"/>
  <c r="S2276" i="1" s="1"/>
  <c r="R2271" i="1"/>
  <c r="S2271" i="1" s="1"/>
  <c r="T2252" i="1"/>
  <c r="T2250" i="1"/>
  <c r="R2248" i="1"/>
  <c r="S2248" i="1" s="1"/>
  <c r="T2244" i="1"/>
  <c r="T2208" i="1"/>
  <c r="R2204" i="1"/>
  <c r="S2204" i="1" s="1"/>
  <c r="R2203" i="1"/>
  <c r="S2203" i="1" s="1"/>
  <c r="T2202" i="1"/>
  <c r="R2197" i="1"/>
  <c r="S2197" i="1" s="1"/>
  <c r="T2176" i="1"/>
  <c r="R2172" i="1"/>
  <c r="S2172" i="1" s="1"/>
  <c r="R2171" i="1"/>
  <c r="S2171" i="1" s="1"/>
  <c r="T2170" i="1"/>
  <c r="R2165" i="1"/>
  <c r="S2165" i="1" s="1"/>
  <c r="T2144" i="1"/>
  <c r="R2140" i="1"/>
  <c r="S2140" i="1" s="1"/>
  <c r="R2139" i="1"/>
  <c r="S2139" i="1" s="1"/>
  <c r="T2138" i="1"/>
  <c r="R2133" i="1"/>
  <c r="S2133" i="1" s="1"/>
  <c r="T2113" i="1"/>
  <c r="T2264" i="1"/>
  <c r="T2263" i="1"/>
  <c r="R2256" i="1"/>
  <c r="S2256" i="1" s="1"/>
  <c r="R2250" i="1"/>
  <c r="S2250" i="1" s="1"/>
  <c r="R2247" i="1"/>
  <c r="S2247" i="1" s="1"/>
  <c r="T2247" i="1"/>
  <c r="R2244" i="1"/>
  <c r="S2244" i="1" s="1"/>
  <c r="T2240" i="1"/>
  <c r="T2212" i="1"/>
  <c r="R2208" i="1"/>
  <c r="S2208" i="1" s="1"/>
  <c r="R2207" i="1"/>
  <c r="S2207" i="1" s="1"/>
  <c r="T2206" i="1"/>
  <c r="R2201" i="1"/>
  <c r="S2201" i="1" s="1"/>
  <c r="T2180" i="1"/>
  <c r="R2176" i="1"/>
  <c r="S2176" i="1" s="1"/>
  <c r="R2175" i="1"/>
  <c r="S2175" i="1" s="1"/>
  <c r="T2174" i="1"/>
  <c r="R2169" i="1"/>
  <c r="S2169" i="1" s="1"/>
  <c r="T2148" i="1"/>
  <c r="R2144" i="1"/>
  <c r="S2144" i="1" s="1"/>
  <c r="R2143" i="1"/>
  <c r="S2143" i="1" s="1"/>
  <c r="T2142" i="1"/>
  <c r="R2137" i="1"/>
  <c r="S2137" i="1" s="1"/>
  <c r="R2116" i="1"/>
  <c r="S2116" i="1" s="1"/>
  <c r="T2116" i="1"/>
  <c r="R2111" i="1"/>
  <c r="S2111" i="1" s="1"/>
  <c r="T2110" i="1"/>
  <c r="T2235" i="1"/>
  <c r="T2231" i="1"/>
  <c r="T2227" i="1"/>
  <c r="T2223" i="1"/>
  <c r="T2219" i="1"/>
  <c r="T2215" i="1"/>
  <c r="T2211" i="1"/>
  <c r="T2207" i="1"/>
  <c r="T2203" i="1"/>
  <c r="T2199" i="1"/>
  <c r="T2195" i="1"/>
  <c r="T2191" i="1"/>
  <c r="T2187" i="1"/>
  <c r="T2183" i="1"/>
  <c r="T2179" i="1"/>
  <c r="T2175" i="1"/>
  <c r="T2171" i="1"/>
  <c r="T2167" i="1"/>
  <c r="T2163" i="1"/>
  <c r="T2159" i="1"/>
  <c r="T2155" i="1"/>
  <c r="T2151" i="1"/>
  <c r="T2147" i="1"/>
  <c r="T2143" i="1"/>
  <c r="T2139" i="1"/>
  <c r="T2135" i="1"/>
  <c r="T2131" i="1"/>
  <c r="T2127" i="1"/>
  <c r="T2123" i="1"/>
  <c r="T2119" i="1"/>
  <c r="T2115" i="1"/>
  <c r="T2111" i="1"/>
  <c r="T2107" i="1"/>
  <c r="T2103" i="1"/>
  <c r="T2106" i="1"/>
  <c r="T2102" i="1"/>
  <c r="T1737" i="1"/>
  <c r="R1738" i="1"/>
  <c r="S1738" i="1" s="1"/>
  <c r="T1741" i="1"/>
  <c r="R1742" i="1"/>
  <c r="S1742" i="1" s="1"/>
  <c r="T1745" i="1"/>
  <c r="R1746" i="1"/>
  <c r="S1746" i="1" s="1"/>
  <c r="T1749" i="1"/>
  <c r="R1750" i="1"/>
  <c r="S1750" i="1" s="1"/>
  <c r="T1753" i="1"/>
  <c r="R1754" i="1"/>
  <c r="S1754" i="1" s="1"/>
  <c r="T1757" i="1"/>
  <c r="R1758" i="1"/>
  <c r="S1758" i="1" s="1"/>
  <c r="T1761" i="1"/>
  <c r="R1762" i="1"/>
  <c r="S1762" i="1" s="1"/>
  <c r="T1765" i="1"/>
  <c r="R1766" i="1"/>
  <c r="S1766" i="1" s="1"/>
  <c r="T1769" i="1"/>
  <c r="R1770" i="1"/>
  <c r="S1770" i="1" s="1"/>
  <c r="T1773" i="1"/>
  <c r="R1774" i="1"/>
  <c r="S1774" i="1" s="1"/>
  <c r="T1777" i="1"/>
  <c r="R1778" i="1"/>
  <c r="S1778" i="1" s="1"/>
  <c r="T1781" i="1"/>
  <c r="R1782" i="1"/>
  <c r="S1782" i="1" s="1"/>
  <c r="T1785" i="1"/>
  <c r="R1786" i="1"/>
  <c r="S1786" i="1" s="1"/>
  <c r="T1789" i="1"/>
  <c r="R1790" i="1"/>
  <c r="S1790" i="1" s="1"/>
  <c r="T1793" i="1"/>
  <c r="R1794" i="1"/>
  <c r="S1794" i="1" s="1"/>
  <c r="T1797" i="1"/>
  <c r="R1798" i="1"/>
  <c r="S1798" i="1" s="1"/>
  <c r="T1801" i="1"/>
  <c r="R1802" i="1"/>
  <c r="S1802" i="1" s="1"/>
  <c r="T1805" i="1"/>
  <c r="R1806" i="1"/>
  <c r="S1806" i="1" s="1"/>
  <c r="R1811" i="1"/>
  <c r="S1811" i="1" s="1"/>
  <c r="T1816" i="1"/>
  <c r="R1817" i="1"/>
  <c r="S1817" i="1" s="1"/>
  <c r="T1817" i="1"/>
  <c r="T1828" i="1"/>
  <c r="T1829" i="1"/>
  <c r="R1829" i="1"/>
  <c r="S1829" i="1" s="1"/>
  <c r="T1844" i="1"/>
  <c r="T1845" i="1"/>
  <c r="R1845" i="1"/>
  <c r="S1845" i="1" s="1"/>
  <c r="T1860" i="1"/>
  <c r="T1861" i="1"/>
  <c r="R1861" i="1"/>
  <c r="S1861" i="1" s="1"/>
  <c r="T1878" i="1"/>
  <c r="T1879" i="1"/>
  <c r="R1879" i="1"/>
  <c r="S1879" i="1" s="1"/>
  <c r="T1882" i="1"/>
  <c r="R1884" i="1"/>
  <c r="S1884" i="1" s="1"/>
  <c r="R1886" i="1"/>
  <c r="S1886" i="1" s="1"/>
  <c r="T1896" i="1"/>
  <c r="T1901" i="1"/>
  <c r="T1902" i="1"/>
  <c r="R1902" i="1"/>
  <c r="S1902" i="1" s="1"/>
  <c r="T1904" i="1"/>
  <c r="R1905" i="1"/>
  <c r="S1905" i="1" s="1"/>
  <c r="T1915" i="1"/>
  <c r="T1928" i="1"/>
  <c r="R1946" i="1"/>
  <c r="S1946" i="1" s="1"/>
  <c r="T1959" i="1"/>
  <c r="R1988" i="1"/>
  <c r="S1988" i="1" s="1"/>
  <c r="T2005" i="1"/>
  <c r="R1819" i="1"/>
  <c r="S1819" i="1" s="1"/>
  <c r="R1830" i="1"/>
  <c r="S1830" i="1" s="1"/>
  <c r="T1834" i="1"/>
  <c r="R1835" i="1"/>
  <c r="S1835" i="1" s="1"/>
  <c r="R1846" i="1"/>
  <c r="S1846" i="1" s="1"/>
  <c r="T1850" i="1"/>
  <c r="R1851" i="1"/>
  <c r="S1851" i="1" s="1"/>
  <c r="R1862" i="1"/>
  <c r="S1862" i="1" s="1"/>
  <c r="T1865" i="1"/>
  <c r="T1880" i="1"/>
  <c r="R1880" i="1"/>
  <c r="S1880" i="1" s="1"/>
  <c r="R1903" i="1"/>
  <c r="S1903" i="1" s="1"/>
  <c r="T1906" i="1"/>
  <c r="T1908" i="1"/>
  <c r="R1909" i="1"/>
  <c r="S1909" i="1" s="1"/>
  <c r="T1944" i="1"/>
  <c r="T1965" i="1"/>
  <c r="R1739" i="1"/>
  <c r="S1739" i="1" s="1"/>
  <c r="R1743" i="1"/>
  <c r="S1743" i="1" s="1"/>
  <c r="R1747" i="1"/>
  <c r="S1747" i="1" s="1"/>
  <c r="R1751" i="1"/>
  <c r="S1751" i="1" s="1"/>
  <c r="R1755" i="1"/>
  <c r="S1755" i="1" s="1"/>
  <c r="R1759" i="1"/>
  <c r="S1759" i="1" s="1"/>
  <c r="R1763" i="1"/>
  <c r="S1763" i="1" s="1"/>
  <c r="R1767" i="1"/>
  <c r="S1767" i="1" s="1"/>
  <c r="R1771" i="1"/>
  <c r="S1771" i="1" s="1"/>
  <c r="R1775" i="1"/>
  <c r="S1775" i="1" s="1"/>
  <c r="R1779" i="1"/>
  <c r="S1779" i="1" s="1"/>
  <c r="R1783" i="1"/>
  <c r="S1783" i="1" s="1"/>
  <c r="R1787" i="1"/>
  <c r="S1787" i="1" s="1"/>
  <c r="R1791" i="1"/>
  <c r="S1791" i="1" s="1"/>
  <c r="R1795" i="1"/>
  <c r="S1795" i="1" s="1"/>
  <c r="R1799" i="1"/>
  <c r="S1799" i="1" s="1"/>
  <c r="R1803" i="1"/>
  <c r="S1803" i="1" s="1"/>
  <c r="R1807" i="1"/>
  <c r="S1807" i="1" s="1"/>
  <c r="R1812" i="1"/>
  <c r="S1812" i="1" s="1"/>
  <c r="T1832" i="1"/>
  <c r="T1833" i="1"/>
  <c r="R1833" i="1"/>
  <c r="S1833" i="1" s="1"/>
  <c r="T1848" i="1"/>
  <c r="T1849" i="1"/>
  <c r="R1849" i="1"/>
  <c r="S1849" i="1" s="1"/>
  <c r="T1866" i="1"/>
  <c r="R1867" i="1"/>
  <c r="S1867" i="1" s="1"/>
  <c r="T1867" i="1"/>
  <c r="R1883" i="1"/>
  <c r="S1883" i="1" s="1"/>
  <c r="R1885" i="1"/>
  <c r="S1885" i="1" s="1"/>
  <c r="T1907" i="1"/>
  <c r="T1952" i="1"/>
  <c r="R1952" i="1"/>
  <c r="S1952" i="1" s="1"/>
  <c r="T1890" i="1"/>
  <c r="T1913" i="1"/>
  <c r="R1948" i="1"/>
  <c r="S1948" i="1" s="1"/>
  <c r="T1948" i="1"/>
  <c r="T1964" i="1"/>
  <c r="R1964" i="1"/>
  <c r="S1964" i="1" s="1"/>
  <c r="R1813" i="1"/>
  <c r="S1813" i="1" s="1"/>
  <c r="T1813" i="1"/>
  <c r="R1814" i="1"/>
  <c r="S1814" i="1" s="1"/>
  <c r="T1820" i="1"/>
  <c r="T1821" i="1"/>
  <c r="R1821" i="1"/>
  <c r="S1821" i="1" s="1"/>
  <c r="T1836" i="1"/>
  <c r="T1837" i="1"/>
  <c r="R1837" i="1"/>
  <c r="S1837" i="1" s="1"/>
  <c r="T1852" i="1"/>
  <c r="T1853" i="1"/>
  <c r="R1853" i="1"/>
  <c r="S1853" i="1" s="1"/>
  <c r="T1864" i="1"/>
  <c r="T1869" i="1"/>
  <c r="T1870" i="1"/>
  <c r="R1870" i="1"/>
  <c r="S1870" i="1" s="1"/>
  <c r="R1873" i="1"/>
  <c r="S1873" i="1" s="1"/>
  <c r="R1888" i="1"/>
  <c r="S1888" i="1" s="1"/>
  <c r="T1891" i="1"/>
  <c r="T1893" i="1"/>
  <c r="R1893" i="1"/>
  <c r="S1893" i="1" s="1"/>
  <c r="T1910" i="1"/>
  <c r="T1911" i="1"/>
  <c r="R1911" i="1"/>
  <c r="S1911" i="1" s="1"/>
  <c r="T1917" i="1"/>
  <c r="R1917" i="1"/>
  <c r="S1917" i="1" s="1"/>
  <c r="T1921" i="1"/>
  <c r="R1933" i="1"/>
  <c r="S1933" i="1" s="1"/>
  <c r="T1933" i="1"/>
  <c r="R1943" i="1"/>
  <c r="S1943" i="1" s="1"/>
  <c r="T1943" i="1"/>
  <c r="R1963" i="1"/>
  <c r="S1963" i="1" s="1"/>
  <c r="T1963" i="1"/>
  <c r="R1822" i="1"/>
  <c r="S1822" i="1" s="1"/>
  <c r="T1826" i="1"/>
  <c r="R1838" i="1"/>
  <c r="S1838" i="1" s="1"/>
  <c r="T1842" i="1"/>
  <c r="R1854" i="1"/>
  <c r="S1854" i="1" s="1"/>
  <c r="T1858" i="1"/>
  <c r="R1871" i="1"/>
  <c r="S1871" i="1" s="1"/>
  <c r="R1894" i="1"/>
  <c r="S1894" i="1" s="1"/>
  <c r="T1912" i="1"/>
  <c r="R1912" i="1"/>
  <c r="S1912" i="1" s="1"/>
  <c r="T1918" i="1"/>
  <c r="R1918" i="1"/>
  <c r="S1918" i="1" s="1"/>
  <c r="R1923" i="1"/>
  <c r="S1923" i="1" s="1"/>
  <c r="R1925" i="1"/>
  <c r="S1925" i="1" s="1"/>
  <c r="R1930" i="1"/>
  <c r="S1930" i="1" s="1"/>
  <c r="R1940" i="1"/>
  <c r="S1940" i="1" s="1"/>
  <c r="T1942" i="1"/>
  <c r="T1824" i="1"/>
  <c r="T1825" i="1"/>
  <c r="R1825" i="1"/>
  <c r="S1825" i="1" s="1"/>
  <c r="T1840" i="1"/>
  <c r="T1841" i="1"/>
  <c r="R1841" i="1"/>
  <c r="S1841" i="1" s="1"/>
  <c r="T1856" i="1"/>
  <c r="T1857" i="1"/>
  <c r="R1857" i="1"/>
  <c r="S1857" i="1" s="1"/>
  <c r="T1875" i="1"/>
  <c r="T1892" i="1"/>
  <c r="R1892" i="1"/>
  <c r="S1892" i="1" s="1"/>
  <c r="T1898" i="1"/>
  <c r="R1899" i="1"/>
  <c r="S1899" i="1" s="1"/>
  <c r="T1899" i="1"/>
  <c r="T1916" i="1"/>
  <c r="R1916" i="1"/>
  <c r="S1916" i="1" s="1"/>
  <c r="T1922" i="1"/>
  <c r="R1922" i="1"/>
  <c r="S1922" i="1" s="1"/>
  <c r="T1924" i="1"/>
  <c r="T1932" i="1"/>
  <c r="R1932" i="1"/>
  <c r="S1932" i="1" s="1"/>
  <c r="T1937" i="1"/>
  <c r="T1939" i="1"/>
  <c r="R1809" i="1"/>
  <c r="S1809" i="1" s="1"/>
  <c r="T1809" i="1"/>
  <c r="R1874" i="1"/>
  <c r="S1874" i="1" s="1"/>
  <c r="R1876" i="1"/>
  <c r="S1876" i="1" s="1"/>
  <c r="T1881" i="1"/>
  <c r="R1897" i="1"/>
  <c r="S1897" i="1" s="1"/>
  <c r="T1903" i="1"/>
  <c r="R1929" i="1"/>
  <c r="S1929" i="1" s="1"/>
  <c r="R1931" i="1"/>
  <c r="S1931" i="1" s="1"/>
  <c r="T1931" i="1"/>
  <c r="T1973" i="1"/>
  <c r="T1934" i="1"/>
  <c r="R1935" i="1"/>
  <c r="S1935" i="1" s="1"/>
  <c r="R1960" i="1"/>
  <c r="S1960" i="1" s="1"/>
  <c r="T1966" i="1"/>
  <c r="T1968" i="1"/>
  <c r="T1972" i="1"/>
  <c r="T1974" i="1"/>
  <c r="T1997" i="1"/>
  <c r="T2004" i="1"/>
  <c r="T2006" i="1"/>
  <c r="T2029" i="1"/>
  <c r="T2036" i="1"/>
  <c r="T2038" i="1"/>
  <c r="T2061" i="1"/>
  <c r="T2066" i="1"/>
  <c r="T2068" i="1"/>
  <c r="T1946" i="1"/>
  <c r="R1947" i="1"/>
  <c r="S1947" i="1" s="1"/>
  <c r="R1961" i="1"/>
  <c r="S1961" i="1" s="1"/>
  <c r="T1970" i="1"/>
  <c r="T1971" i="1"/>
  <c r="R1972" i="1"/>
  <c r="S1972" i="1" s="1"/>
  <c r="R1993" i="1"/>
  <c r="S1993" i="1" s="1"/>
  <c r="T1993" i="1"/>
  <c r="T2000" i="1"/>
  <c r="T2002" i="1"/>
  <c r="T2003" i="1"/>
  <c r="R2004" i="1"/>
  <c r="S2004" i="1" s="1"/>
  <c r="R2025" i="1"/>
  <c r="S2025" i="1" s="1"/>
  <c r="T2025" i="1"/>
  <c r="T2032" i="1"/>
  <c r="T2034" i="1"/>
  <c r="T2035" i="1"/>
  <c r="R2057" i="1"/>
  <c r="S2057" i="1" s="1"/>
  <c r="T2057" i="1"/>
  <c r="T2062" i="1"/>
  <c r="T2064" i="1"/>
  <c r="T2067" i="1"/>
  <c r="R2089" i="1"/>
  <c r="S2089" i="1" s="1"/>
  <c r="T2089" i="1"/>
  <c r="T2090" i="1"/>
  <c r="T1958" i="1"/>
  <c r="R1959" i="1"/>
  <c r="S1959" i="1" s="1"/>
  <c r="T1989" i="1"/>
  <c r="T1999" i="1"/>
  <c r="T2021" i="1"/>
  <c r="T2031" i="1"/>
  <c r="T2053" i="1"/>
  <c r="T2063" i="1"/>
  <c r="T2085" i="1"/>
  <c r="R2099" i="1"/>
  <c r="S2099" i="1" s="1"/>
  <c r="T1938" i="1"/>
  <c r="R1939" i="1"/>
  <c r="S1939" i="1" s="1"/>
  <c r="R1985" i="1"/>
  <c r="S1985" i="1" s="1"/>
  <c r="T1985" i="1"/>
  <c r="T1992" i="1"/>
  <c r="T1994" i="1"/>
  <c r="T1995" i="1"/>
  <c r="R1996" i="1"/>
  <c r="S1996" i="1" s="1"/>
  <c r="T2017" i="1"/>
  <c r="T2024" i="1"/>
  <c r="T2026" i="1"/>
  <c r="T2027" i="1"/>
  <c r="T2049" i="1"/>
  <c r="T2056" i="1"/>
  <c r="T2059" i="1"/>
  <c r="T2081" i="1"/>
  <c r="R2087" i="1"/>
  <c r="S2087" i="1" s="1"/>
  <c r="R2097" i="1"/>
  <c r="S2097" i="1" s="1"/>
  <c r="T2097" i="1"/>
  <c r="T2099" i="1"/>
  <c r="T1950" i="1"/>
  <c r="R1951" i="1"/>
  <c r="S1951" i="1" s="1"/>
  <c r="R1981" i="1"/>
  <c r="S1981" i="1" s="1"/>
  <c r="T1981" i="1"/>
  <c r="T1988" i="1"/>
  <c r="T1991" i="1"/>
  <c r="R1992" i="1"/>
  <c r="S1992" i="1" s="1"/>
  <c r="R2013" i="1"/>
  <c r="S2013" i="1" s="1"/>
  <c r="T2013" i="1"/>
  <c r="T2020" i="1"/>
  <c r="T2022" i="1"/>
  <c r="T2023" i="1"/>
  <c r="R2045" i="1"/>
  <c r="S2045" i="1" s="1"/>
  <c r="T2045" i="1"/>
  <c r="T2052" i="1"/>
  <c r="T2054" i="1"/>
  <c r="T2055" i="1"/>
  <c r="R2077" i="1"/>
  <c r="S2077" i="1" s="1"/>
  <c r="T2077" i="1"/>
  <c r="T2082" i="1"/>
  <c r="R2083" i="1"/>
  <c r="S2083" i="1" s="1"/>
  <c r="T2084" i="1"/>
  <c r="T2087" i="1"/>
  <c r="T2009" i="1"/>
  <c r="T2016" i="1"/>
  <c r="T2041" i="1"/>
  <c r="T2048" i="1"/>
  <c r="R2073" i="1"/>
  <c r="S2073" i="1" s="1"/>
  <c r="T2073" i="1"/>
  <c r="T2080" i="1"/>
  <c r="T2096" i="1"/>
  <c r="T2037" i="1"/>
  <c r="T2069" i="1"/>
  <c r="R2093" i="1"/>
  <c r="S2093" i="1" s="1"/>
  <c r="T2093" i="1"/>
  <c r="R1955" i="1"/>
  <c r="S1955" i="1" s="1"/>
  <c r="T1969" i="1"/>
  <c r="T1979" i="1"/>
  <c r="T2001" i="1"/>
  <c r="T2011" i="1"/>
  <c r="T2033" i="1"/>
  <c r="T2043" i="1"/>
  <c r="T2065" i="1"/>
  <c r="T2070" i="1"/>
  <c r="T2075" i="1"/>
  <c r="R1971" i="1"/>
  <c r="S1971" i="1" s="1"/>
  <c r="R1975" i="1"/>
  <c r="S1975" i="1" s="1"/>
  <c r="R1979" i="1"/>
  <c r="S1979" i="1" s="1"/>
  <c r="R1983" i="1"/>
  <c r="S1983" i="1" s="1"/>
  <c r="R1987" i="1"/>
  <c r="S1987" i="1" s="1"/>
  <c r="R1991" i="1"/>
  <c r="S1991" i="1" s="1"/>
  <c r="R1995" i="1"/>
  <c r="S1995" i="1" s="1"/>
  <c r="R1999" i="1"/>
  <c r="S1999" i="1" s="1"/>
  <c r="R2003" i="1"/>
  <c r="S2003" i="1" s="1"/>
  <c r="R2007" i="1"/>
  <c r="S2007" i="1" s="1"/>
  <c r="R2011" i="1"/>
  <c r="S2011" i="1" s="1"/>
  <c r="R2015" i="1"/>
  <c r="S2015" i="1" s="1"/>
  <c r="R2019" i="1"/>
  <c r="S2019" i="1" s="1"/>
  <c r="R2023" i="1"/>
  <c r="S2023" i="1" s="1"/>
  <c r="R2027" i="1"/>
  <c r="S2027" i="1" s="1"/>
  <c r="R2031" i="1"/>
  <c r="S2031" i="1" s="1"/>
  <c r="R2035" i="1"/>
  <c r="S2035" i="1" s="1"/>
  <c r="R2039" i="1"/>
  <c r="S2039" i="1" s="1"/>
  <c r="R2043" i="1"/>
  <c r="S2043" i="1" s="1"/>
  <c r="R2047" i="1"/>
  <c r="S2047" i="1" s="1"/>
  <c r="R2051" i="1"/>
  <c r="S2051" i="1" s="1"/>
  <c r="R2055" i="1"/>
  <c r="S2055" i="1" s="1"/>
  <c r="R2059" i="1"/>
  <c r="S2059" i="1" s="1"/>
  <c r="R2063" i="1"/>
  <c r="S2063" i="1" s="1"/>
  <c r="R2067" i="1"/>
  <c r="S2067" i="1" s="1"/>
  <c r="R2071" i="1"/>
  <c r="S2071" i="1" s="1"/>
  <c r="R2095" i="1"/>
  <c r="S2095" i="1" s="1"/>
  <c r="R2008" i="1"/>
  <c r="S2008" i="1" s="1"/>
  <c r="R2012" i="1"/>
  <c r="S2012" i="1" s="1"/>
  <c r="R2016" i="1"/>
  <c r="S2016" i="1" s="1"/>
  <c r="R2020" i="1"/>
  <c r="S2020" i="1" s="1"/>
  <c r="R2024" i="1"/>
  <c r="S2024" i="1" s="1"/>
  <c r="R2028" i="1"/>
  <c r="S2028" i="1" s="1"/>
  <c r="R2032" i="1"/>
  <c r="S2032" i="1" s="1"/>
  <c r="R2036" i="1"/>
  <c r="S2036" i="1" s="1"/>
  <c r="R2040" i="1"/>
  <c r="S2040" i="1" s="1"/>
  <c r="R2044" i="1"/>
  <c r="S2044" i="1" s="1"/>
  <c r="R2048" i="1"/>
  <c r="S2048" i="1" s="1"/>
  <c r="R2052" i="1"/>
  <c r="S2052" i="1" s="1"/>
  <c r="R2056" i="1"/>
  <c r="S2056" i="1" s="1"/>
  <c r="R2060" i="1"/>
  <c r="S2060" i="1" s="1"/>
  <c r="R2064" i="1"/>
  <c r="S2064" i="1" s="1"/>
  <c r="R2068" i="1"/>
  <c r="S2068" i="1" s="1"/>
  <c r="R2072" i="1"/>
  <c r="S2072" i="1" s="1"/>
  <c r="R2076" i="1"/>
  <c r="S2076" i="1" s="1"/>
  <c r="R2080" i="1"/>
  <c r="S2080" i="1" s="1"/>
  <c r="R2084" i="1"/>
  <c r="S2084" i="1" s="1"/>
  <c r="R2088" i="1"/>
  <c r="S2088" i="1" s="1"/>
  <c r="R2092" i="1"/>
  <c r="S2092" i="1" s="1"/>
  <c r="R2096" i="1"/>
  <c r="S2096" i="1" s="1"/>
  <c r="R1735" i="1"/>
  <c r="S1735" i="1" s="1"/>
  <c r="Q1734" i="1" l="1"/>
  <c r="P1734" i="1"/>
  <c r="O1734" i="1"/>
  <c r="N1734" i="1"/>
  <c r="M1734" i="1"/>
  <c r="L1734" i="1"/>
  <c r="K1734" i="1"/>
  <c r="Q1733" i="1"/>
  <c r="P1733" i="1"/>
  <c r="O1733" i="1"/>
  <c r="N1733" i="1"/>
  <c r="M1733" i="1"/>
  <c r="L1733" i="1"/>
  <c r="K1733" i="1"/>
  <c r="Q1732" i="1"/>
  <c r="P1732" i="1"/>
  <c r="O1732" i="1"/>
  <c r="N1732" i="1"/>
  <c r="M1732" i="1"/>
  <c r="L1732" i="1"/>
  <c r="K1732" i="1"/>
  <c r="Q1731" i="1"/>
  <c r="P1731" i="1"/>
  <c r="O1731" i="1"/>
  <c r="N1731" i="1"/>
  <c r="M1731" i="1"/>
  <c r="L1731" i="1"/>
  <c r="K1731" i="1"/>
  <c r="Q1730" i="1"/>
  <c r="P1730" i="1"/>
  <c r="O1730" i="1"/>
  <c r="N1730" i="1"/>
  <c r="M1730" i="1"/>
  <c r="L1730" i="1"/>
  <c r="K1730" i="1"/>
  <c r="Q1729" i="1"/>
  <c r="P1729" i="1"/>
  <c r="O1729" i="1"/>
  <c r="N1729" i="1"/>
  <c r="M1729" i="1"/>
  <c r="L1729" i="1"/>
  <c r="K1729" i="1"/>
  <c r="Q1728" i="1"/>
  <c r="P1728" i="1"/>
  <c r="O1728" i="1"/>
  <c r="N1728" i="1"/>
  <c r="M1728" i="1"/>
  <c r="L1728" i="1"/>
  <c r="K1728" i="1"/>
  <c r="Q1727" i="1"/>
  <c r="P1727" i="1"/>
  <c r="O1727" i="1"/>
  <c r="N1727" i="1"/>
  <c r="M1727" i="1"/>
  <c r="L1727" i="1"/>
  <c r="K1727" i="1"/>
  <c r="Q1726" i="1"/>
  <c r="P1726" i="1"/>
  <c r="O1726" i="1"/>
  <c r="N1726" i="1"/>
  <c r="M1726" i="1"/>
  <c r="L1726" i="1"/>
  <c r="K1726" i="1"/>
  <c r="Q1725" i="1"/>
  <c r="P1725" i="1"/>
  <c r="O1725" i="1"/>
  <c r="N1725" i="1"/>
  <c r="M1725" i="1"/>
  <c r="L1725" i="1"/>
  <c r="K1725" i="1"/>
  <c r="Q1724" i="1"/>
  <c r="P1724" i="1"/>
  <c r="O1724" i="1"/>
  <c r="N1724" i="1"/>
  <c r="M1724" i="1"/>
  <c r="L1724" i="1"/>
  <c r="K1724" i="1"/>
  <c r="Q1723" i="1"/>
  <c r="P1723" i="1"/>
  <c r="O1723" i="1"/>
  <c r="N1723" i="1"/>
  <c r="M1723" i="1"/>
  <c r="L1723" i="1"/>
  <c r="K1723" i="1"/>
  <c r="Q1722" i="1"/>
  <c r="P1722" i="1"/>
  <c r="O1722" i="1"/>
  <c r="N1722" i="1"/>
  <c r="M1722" i="1"/>
  <c r="L1722" i="1"/>
  <c r="K1722" i="1"/>
  <c r="Q1721" i="1"/>
  <c r="P1721" i="1"/>
  <c r="O1721" i="1"/>
  <c r="N1721" i="1"/>
  <c r="M1721" i="1"/>
  <c r="L1721" i="1"/>
  <c r="K1721" i="1"/>
  <c r="Q1720" i="1"/>
  <c r="P1720" i="1"/>
  <c r="O1720" i="1"/>
  <c r="N1720" i="1"/>
  <c r="M1720" i="1"/>
  <c r="L1720" i="1"/>
  <c r="K1720" i="1"/>
  <c r="Q1719" i="1"/>
  <c r="P1719" i="1"/>
  <c r="O1719" i="1"/>
  <c r="N1719" i="1"/>
  <c r="M1719" i="1"/>
  <c r="L1719" i="1"/>
  <c r="K1719" i="1"/>
  <c r="Q1718" i="1"/>
  <c r="P1718" i="1"/>
  <c r="O1718" i="1"/>
  <c r="N1718" i="1"/>
  <c r="M1718" i="1"/>
  <c r="L1718" i="1"/>
  <c r="K1718" i="1"/>
  <c r="Q1717" i="1"/>
  <c r="P1717" i="1"/>
  <c r="O1717" i="1"/>
  <c r="N1717" i="1"/>
  <c r="M1717" i="1"/>
  <c r="L1717" i="1"/>
  <c r="K1717" i="1"/>
  <c r="Q1716" i="1"/>
  <c r="P1716" i="1"/>
  <c r="O1716" i="1"/>
  <c r="N1716" i="1"/>
  <c r="M1716" i="1"/>
  <c r="L1716" i="1"/>
  <c r="K1716" i="1"/>
  <c r="Q1715" i="1"/>
  <c r="P1715" i="1"/>
  <c r="O1715" i="1"/>
  <c r="N1715" i="1"/>
  <c r="M1715" i="1"/>
  <c r="L1715" i="1"/>
  <c r="K1715" i="1"/>
  <c r="Q1714" i="1"/>
  <c r="P1714" i="1"/>
  <c r="O1714" i="1"/>
  <c r="N1714" i="1"/>
  <c r="M1714" i="1"/>
  <c r="L1714" i="1"/>
  <c r="K1714" i="1"/>
  <c r="Q1713" i="1"/>
  <c r="P1713" i="1"/>
  <c r="O1713" i="1"/>
  <c r="N1713" i="1"/>
  <c r="M1713" i="1"/>
  <c r="L1713" i="1"/>
  <c r="K1713" i="1"/>
  <c r="Q1712" i="1"/>
  <c r="P1712" i="1"/>
  <c r="O1712" i="1"/>
  <c r="N1712" i="1"/>
  <c r="M1712" i="1"/>
  <c r="L1712" i="1"/>
  <c r="K1712" i="1"/>
  <c r="Q1711" i="1"/>
  <c r="P1711" i="1"/>
  <c r="O1711" i="1"/>
  <c r="N1711" i="1"/>
  <c r="M1711" i="1"/>
  <c r="L1711" i="1"/>
  <c r="K1711" i="1"/>
  <c r="Q1710" i="1"/>
  <c r="P1710" i="1"/>
  <c r="O1710" i="1"/>
  <c r="N1710" i="1"/>
  <c r="M1710" i="1"/>
  <c r="L1710" i="1"/>
  <c r="K1710" i="1"/>
  <c r="Q1709" i="1"/>
  <c r="P1709" i="1"/>
  <c r="O1709" i="1"/>
  <c r="N1709" i="1"/>
  <c r="M1709" i="1"/>
  <c r="L1709" i="1"/>
  <c r="K1709" i="1"/>
  <c r="Q1708" i="1"/>
  <c r="P1708" i="1"/>
  <c r="O1708" i="1"/>
  <c r="N1708" i="1"/>
  <c r="M1708" i="1"/>
  <c r="L1708" i="1"/>
  <c r="K1708" i="1"/>
  <c r="Q1707" i="1"/>
  <c r="P1707" i="1"/>
  <c r="O1707" i="1"/>
  <c r="N1707" i="1"/>
  <c r="M1707" i="1"/>
  <c r="L1707" i="1"/>
  <c r="K1707" i="1"/>
  <c r="Q1706" i="1"/>
  <c r="P1706" i="1"/>
  <c r="O1706" i="1"/>
  <c r="N1706" i="1"/>
  <c r="M1706" i="1"/>
  <c r="L1706" i="1"/>
  <c r="K1706" i="1"/>
  <c r="Q1705" i="1"/>
  <c r="P1705" i="1"/>
  <c r="O1705" i="1"/>
  <c r="N1705" i="1"/>
  <c r="M1705" i="1"/>
  <c r="L1705" i="1"/>
  <c r="K1705" i="1"/>
  <c r="Q1704" i="1"/>
  <c r="P1704" i="1"/>
  <c r="O1704" i="1"/>
  <c r="N1704" i="1"/>
  <c r="M1704" i="1"/>
  <c r="L1704" i="1"/>
  <c r="K1704" i="1"/>
  <c r="Q1703" i="1"/>
  <c r="P1703" i="1"/>
  <c r="O1703" i="1"/>
  <c r="N1703" i="1"/>
  <c r="M1703" i="1"/>
  <c r="L1703" i="1"/>
  <c r="K1703" i="1"/>
  <c r="Q1702" i="1"/>
  <c r="P1702" i="1"/>
  <c r="O1702" i="1"/>
  <c r="N1702" i="1"/>
  <c r="M1702" i="1"/>
  <c r="L1702" i="1"/>
  <c r="K1702" i="1"/>
  <c r="Q1701" i="1"/>
  <c r="P1701" i="1"/>
  <c r="O1701" i="1"/>
  <c r="N1701" i="1"/>
  <c r="M1701" i="1"/>
  <c r="L1701" i="1"/>
  <c r="K1701" i="1"/>
  <c r="Q1700" i="1"/>
  <c r="P1700" i="1"/>
  <c r="O1700" i="1"/>
  <c r="N1700" i="1"/>
  <c r="M1700" i="1"/>
  <c r="L1700" i="1"/>
  <c r="K1700" i="1"/>
  <c r="Q1699" i="1"/>
  <c r="P1699" i="1"/>
  <c r="O1699" i="1"/>
  <c r="N1699" i="1"/>
  <c r="M1699" i="1"/>
  <c r="L1699" i="1"/>
  <c r="K1699" i="1"/>
  <c r="Q1698" i="1"/>
  <c r="P1698" i="1"/>
  <c r="O1698" i="1"/>
  <c r="N1698" i="1"/>
  <c r="M1698" i="1"/>
  <c r="L1698" i="1"/>
  <c r="K1698" i="1"/>
  <c r="Q1697" i="1"/>
  <c r="P1697" i="1"/>
  <c r="O1697" i="1"/>
  <c r="N1697" i="1"/>
  <c r="M1697" i="1"/>
  <c r="L1697" i="1"/>
  <c r="K1697" i="1"/>
  <c r="Q1696" i="1"/>
  <c r="P1696" i="1"/>
  <c r="O1696" i="1"/>
  <c r="N1696" i="1"/>
  <c r="M1696" i="1"/>
  <c r="L1696" i="1"/>
  <c r="K1696" i="1"/>
  <c r="Q1695" i="1"/>
  <c r="P1695" i="1"/>
  <c r="O1695" i="1"/>
  <c r="N1695" i="1"/>
  <c r="M1695" i="1"/>
  <c r="L1695" i="1"/>
  <c r="K1695" i="1"/>
  <c r="Q1694" i="1"/>
  <c r="P1694" i="1"/>
  <c r="O1694" i="1"/>
  <c r="N1694" i="1"/>
  <c r="M1694" i="1"/>
  <c r="L1694" i="1"/>
  <c r="K1694" i="1"/>
  <c r="Q1693" i="1"/>
  <c r="P1693" i="1"/>
  <c r="O1693" i="1"/>
  <c r="N1693" i="1"/>
  <c r="M1693" i="1"/>
  <c r="L1693" i="1"/>
  <c r="K1693" i="1"/>
  <c r="Q1692" i="1"/>
  <c r="P1692" i="1"/>
  <c r="O1692" i="1"/>
  <c r="N1692" i="1"/>
  <c r="M1692" i="1"/>
  <c r="L1692" i="1"/>
  <c r="K1692" i="1"/>
  <c r="Q1691" i="1"/>
  <c r="P1691" i="1"/>
  <c r="O1691" i="1"/>
  <c r="N1691" i="1"/>
  <c r="M1691" i="1"/>
  <c r="L1691" i="1"/>
  <c r="K1691" i="1"/>
  <c r="Q1690" i="1"/>
  <c r="P1690" i="1"/>
  <c r="O1690" i="1"/>
  <c r="N1690" i="1"/>
  <c r="M1690" i="1"/>
  <c r="L1690" i="1"/>
  <c r="K1690" i="1"/>
  <c r="Q1689" i="1"/>
  <c r="P1689" i="1"/>
  <c r="O1689" i="1"/>
  <c r="N1689" i="1"/>
  <c r="M1689" i="1"/>
  <c r="L1689" i="1"/>
  <c r="K1689" i="1"/>
  <c r="Q1688" i="1"/>
  <c r="P1688" i="1"/>
  <c r="O1688" i="1"/>
  <c r="N1688" i="1"/>
  <c r="M1688" i="1"/>
  <c r="L1688" i="1"/>
  <c r="K1688" i="1"/>
  <c r="Q1687" i="1"/>
  <c r="P1687" i="1"/>
  <c r="O1687" i="1"/>
  <c r="N1687" i="1"/>
  <c r="M1687" i="1"/>
  <c r="L1687" i="1"/>
  <c r="K1687" i="1"/>
  <c r="Q1686" i="1"/>
  <c r="P1686" i="1"/>
  <c r="O1686" i="1"/>
  <c r="N1686" i="1"/>
  <c r="M1686" i="1"/>
  <c r="L1686" i="1"/>
  <c r="K1686" i="1"/>
  <c r="Q1685" i="1"/>
  <c r="P1685" i="1"/>
  <c r="O1685" i="1"/>
  <c r="N1685" i="1"/>
  <c r="M1685" i="1"/>
  <c r="L1685" i="1"/>
  <c r="K1685" i="1"/>
  <c r="Q1684" i="1"/>
  <c r="P1684" i="1"/>
  <c r="O1684" i="1"/>
  <c r="N1684" i="1"/>
  <c r="M1684" i="1"/>
  <c r="L1684" i="1"/>
  <c r="K1684" i="1"/>
  <c r="Q1683" i="1"/>
  <c r="P1683" i="1"/>
  <c r="O1683" i="1"/>
  <c r="N1683" i="1"/>
  <c r="M1683" i="1"/>
  <c r="L1683" i="1"/>
  <c r="K1683" i="1"/>
  <c r="Q1682" i="1"/>
  <c r="P1682" i="1"/>
  <c r="O1682" i="1"/>
  <c r="N1682" i="1"/>
  <c r="M1682" i="1"/>
  <c r="L1682" i="1"/>
  <c r="K1682" i="1"/>
  <c r="Q1681" i="1"/>
  <c r="P1681" i="1"/>
  <c r="O1681" i="1"/>
  <c r="N1681" i="1"/>
  <c r="M1681" i="1"/>
  <c r="L1681" i="1"/>
  <c r="K1681" i="1"/>
  <c r="Q1680" i="1"/>
  <c r="P1680" i="1"/>
  <c r="O1680" i="1"/>
  <c r="N1680" i="1"/>
  <c r="M1680" i="1"/>
  <c r="L1680" i="1"/>
  <c r="K1680" i="1"/>
  <c r="Q1679" i="1"/>
  <c r="P1679" i="1"/>
  <c r="O1679" i="1"/>
  <c r="N1679" i="1"/>
  <c r="M1679" i="1"/>
  <c r="L1679" i="1"/>
  <c r="K1679" i="1"/>
  <c r="Q1678" i="1"/>
  <c r="P1678" i="1"/>
  <c r="O1678" i="1"/>
  <c r="N1678" i="1"/>
  <c r="M1678" i="1"/>
  <c r="L1678" i="1"/>
  <c r="K1678" i="1"/>
  <c r="Q1677" i="1"/>
  <c r="P1677" i="1"/>
  <c r="O1677" i="1"/>
  <c r="N1677" i="1"/>
  <c r="M1677" i="1"/>
  <c r="L1677" i="1"/>
  <c r="K1677" i="1"/>
  <c r="Q1676" i="1"/>
  <c r="P1676" i="1"/>
  <c r="O1676" i="1"/>
  <c r="N1676" i="1"/>
  <c r="M1676" i="1"/>
  <c r="L1676" i="1"/>
  <c r="K1676" i="1"/>
  <c r="Q1675" i="1"/>
  <c r="P1675" i="1"/>
  <c r="O1675" i="1"/>
  <c r="N1675" i="1"/>
  <c r="M1675" i="1"/>
  <c r="L1675" i="1"/>
  <c r="K1675" i="1"/>
  <c r="Q1674" i="1"/>
  <c r="P1674" i="1"/>
  <c r="O1674" i="1"/>
  <c r="N1674" i="1"/>
  <c r="M1674" i="1"/>
  <c r="L1674" i="1"/>
  <c r="K1674" i="1"/>
  <c r="Q1673" i="1"/>
  <c r="P1673" i="1"/>
  <c r="O1673" i="1"/>
  <c r="N1673" i="1"/>
  <c r="M1673" i="1"/>
  <c r="L1673" i="1"/>
  <c r="K1673" i="1"/>
  <c r="Q1672" i="1"/>
  <c r="P1672" i="1"/>
  <c r="O1672" i="1"/>
  <c r="N1672" i="1"/>
  <c r="M1672" i="1"/>
  <c r="L1672" i="1"/>
  <c r="K1672" i="1"/>
  <c r="Q1671" i="1"/>
  <c r="P1671" i="1"/>
  <c r="O1671" i="1"/>
  <c r="N1671" i="1"/>
  <c r="M1671" i="1"/>
  <c r="L1671" i="1"/>
  <c r="K1671" i="1"/>
  <c r="Q1670" i="1"/>
  <c r="P1670" i="1"/>
  <c r="O1670" i="1"/>
  <c r="N1670" i="1"/>
  <c r="M1670" i="1"/>
  <c r="L1670" i="1"/>
  <c r="K1670" i="1"/>
  <c r="Q1669" i="1"/>
  <c r="P1669" i="1"/>
  <c r="O1669" i="1"/>
  <c r="N1669" i="1"/>
  <c r="M1669" i="1"/>
  <c r="L1669" i="1"/>
  <c r="K1669" i="1"/>
  <c r="Q1668" i="1"/>
  <c r="P1668" i="1"/>
  <c r="O1668" i="1"/>
  <c r="N1668" i="1"/>
  <c r="M1668" i="1"/>
  <c r="L1668" i="1"/>
  <c r="K1668" i="1"/>
  <c r="Q1667" i="1"/>
  <c r="P1667" i="1"/>
  <c r="O1667" i="1"/>
  <c r="N1667" i="1"/>
  <c r="M1667" i="1"/>
  <c r="L1667" i="1"/>
  <c r="K1667" i="1"/>
  <c r="Q1666" i="1"/>
  <c r="P1666" i="1"/>
  <c r="O1666" i="1"/>
  <c r="N1666" i="1"/>
  <c r="M1666" i="1"/>
  <c r="L1666" i="1"/>
  <c r="K1666" i="1"/>
  <c r="Q1665" i="1"/>
  <c r="P1665" i="1"/>
  <c r="O1665" i="1"/>
  <c r="N1665" i="1"/>
  <c r="M1665" i="1"/>
  <c r="L1665" i="1"/>
  <c r="K1665" i="1"/>
  <c r="Q1664" i="1"/>
  <c r="P1664" i="1"/>
  <c r="O1664" i="1"/>
  <c r="N1664" i="1"/>
  <c r="M1664" i="1"/>
  <c r="L1664" i="1"/>
  <c r="K1664" i="1"/>
  <c r="Q1663" i="1"/>
  <c r="P1663" i="1"/>
  <c r="O1663" i="1"/>
  <c r="N1663" i="1"/>
  <c r="M1663" i="1"/>
  <c r="L1663" i="1"/>
  <c r="K1663" i="1"/>
  <c r="Q1662" i="1"/>
  <c r="P1662" i="1"/>
  <c r="O1662" i="1"/>
  <c r="N1662" i="1"/>
  <c r="M1662" i="1"/>
  <c r="L1662" i="1"/>
  <c r="K1662" i="1"/>
  <c r="Q1661" i="1"/>
  <c r="P1661" i="1"/>
  <c r="O1661" i="1"/>
  <c r="N1661" i="1"/>
  <c r="M1661" i="1"/>
  <c r="L1661" i="1"/>
  <c r="K1661" i="1"/>
  <c r="Q1660" i="1"/>
  <c r="P1660" i="1"/>
  <c r="O1660" i="1"/>
  <c r="N1660" i="1"/>
  <c r="M1660" i="1"/>
  <c r="L1660" i="1"/>
  <c r="K1660" i="1"/>
  <c r="Q1659" i="1"/>
  <c r="P1659" i="1"/>
  <c r="O1659" i="1"/>
  <c r="N1659" i="1"/>
  <c r="M1659" i="1"/>
  <c r="L1659" i="1"/>
  <c r="K1659" i="1"/>
  <c r="Q1658" i="1"/>
  <c r="P1658" i="1"/>
  <c r="O1658" i="1"/>
  <c r="N1658" i="1"/>
  <c r="M1658" i="1"/>
  <c r="L1658" i="1"/>
  <c r="K1658" i="1"/>
  <c r="Q1657" i="1"/>
  <c r="P1657" i="1"/>
  <c r="O1657" i="1"/>
  <c r="N1657" i="1"/>
  <c r="M1657" i="1"/>
  <c r="L1657" i="1"/>
  <c r="K1657" i="1"/>
  <c r="Q1656" i="1"/>
  <c r="P1656" i="1"/>
  <c r="O1656" i="1"/>
  <c r="N1656" i="1"/>
  <c r="M1656" i="1"/>
  <c r="L1656" i="1"/>
  <c r="K1656" i="1"/>
  <c r="Q1655" i="1"/>
  <c r="P1655" i="1"/>
  <c r="O1655" i="1"/>
  <c r="N1655" i="1"/>
  <c r="M1655" i="1"/>
  <c r="L1655" i="1"/>
  <c r="K1655" i="1"/>
  <c r="Q1654" i="1"/>
  <c r="P1654" i="1"/>
  <c r="O1654" i="1"/>
  <c r="N1654" i="1"/>
  <c r="M1654" i="1"/>
  <c r="L1654" i="1"/>
  <c r="K1654" i="1"/>
  <c r="Q1653" i="1"/>
  <c r="P1653" i="1"/>
  <c r="O1653" i="1"/>
  <c r="N1653" i="1"/>
  <c r="M1653" i="1"/>
  <c r="L1653" i="1"/>
  <c r="K1653" i="1"/>
  <c r="Q1652" i="1"/>
  <c r="P1652" i="1"/>
  <c r="O1652" i="1"/>
  <c r="N1652" i="1"/>
  <c r="M1652" i="1"/>
  <c r="L1652" i="1"/>
  <c r="K1652" i="1"/>
  <c r="Q1651" i="1"/>
  <c r="P1651" i="1"/>
  <c r="O1651" i="1"/>
  <c r="N1651" i="1"/>
  <c r="M1651" i="1"/>
  <c r="L1651" i="1"/>
  <c r="K1651" i="1"/>
  <c r="Q1650" i="1"/>
  <c r="P1650" i="1"/>
  <c r="O1650" i="1"/>
  <c r="N1650" i="1"/>
  <c r="M1650" i="1"/>
  <c r="L1650" i="1"/>
  <c r="K1650" i="1"/>
  <c r="Q1649" i="1"/>
  <c r="P1649" i="1"/>
  <c r="O1649" i="1"/>
  <c r="N1649" i="1"/>
  <c r="M1649" i="1"/>
  <c r="L1649" i="1"/>
  <c r="K1649" i="1"/>
  <c r="Q1648" i="1"/>
  <c r="P1648" i="1"/>
  <c r="O1648" i="1"/>
  <c r="N1648" i="1"/>
  <c r="M1648" i="1"/>
  <c r="L1648" i="1"/>
  <c r="K1648" i="1"/>
  <c r="Q1647" i="1"/>
  <c r="P1647" i="1"/>
  <c r="O1647" i="1"/>
  <c r="N1647" i="1"/>
  <c r="M1647" i="1"/>
  <c r="L1647" i="1"/>
  <c r="K1647" i="1"/>
  <c r="Q1646" i="1"/>
  <c r="P1646" i="1"/>
  <c r="O1646" i="1"/>
  <c r="N1646" i="1"/>
  <c r="M1646" i="1"/>
  <c r="L1646" i="1"/>
  <c r="K1646" i="1"/>
  <c r="Q1645" i="1"/>
  <c r="P1645" i="1"/>
  <c r="O1645" i="1"/>
  <c r="N1645" i="1"/>
  <c r="M1645" i="1"/>
  <c r="L1645" i="1"/>
  <c r="K1645" i="1"/>
  <c r="Q1644" i="1"/>
  <c r="P1644" i="1"/>
  <c r="O1644" i="1"/>
  <c r="N1644" i="1"/>
  <c r="M1644" i="1"/>
  <c r="L1644" i="1"/>
  <c r="K1644" i="1"/>
  <c r="Q1643" i="1"/>
  <c r="P1643" i="1"/>
  <c r="O1643" i="1"/>
  <c r="N1643" i="1"/>
  <c r="M1643" i="1"/>
  <c r="L1643" i="1"/>
  <c r="K1643" i="1"/>
  <c r="Q1642" i="1"/>
  <c r="P1642" i="1"/>
  <c r="O1642" i="1"/>
  <c r="N1642" i="1"/>
  <c r="M1642" i="1"/>
  <c r="L1642" i="1"/>
  <c r="K1642" i="1"/>
  <c r="Q1641" i="1"/>
  <c r="P1641" i="1"/>
  <c r="O1641" i="1"/>
  <c r="N1641" i="1"/>
  <c r="M1641" i="1"/>
  <c r="L1641" i="1"/>
  <c r="K1641" i="1"/>
  <c r="Q1640" i="1"/>
  <c r="P1640" i="1"/>
  <c r="O1640" i="1"/>
  <c r="N1640" i="1"/>
  <c r="M1640" i="1"/>
  <c r="L1640" i="1"/>
  <c r="K1640" i="1"/>
  <c r="Q1639" i="1"/>
  <c r="P1639" i="1"/>
  <c r="O1639" i="1"/>
  <c r="N1639" i="1"/>
  <c r="M1639" i="1"/>
  <c r="L1639" i="1"/>
  <c r="K1639" i="1"/>
  <c r="Q1638" i="1"/>
  <c r="P1638" i="1"/>
  <c r="O1638" i="1"/>
  <c r="N1638" i="1"/>
  <c r="M1638" i="1"/>
  <c r="L1638" i="1"/>
  <c r="K1638" i="1"/>
  <c r="Q1637" i="1"/>
  <c r="P1637" i="1"/>
  <c r="O1637" i="1"/>
  <c r="N1637" i="1"/>
  <c r="M1637" i="1"/>
  <c r="L1637" i="1"/>
  <c r="K1637" i="1"/>
  <c r="Q1636" i="1"/>
  <c r="P1636" i="1"/>
  <c r="O1636" i="1"/>
  <c r="N1636" i="1"/>
  <c r="M1636" i="1"/>
  <c r="L1636" i="1"/>
  <c r="K1636" i="1"/>
  <c r="Q1635" i="1"/>
  <c r="P1635" i="1"/>
  <c r="O1635" i="1"/>
  <c r="N1635" i="1"/>
  <c r="M1635" i="1"/>
  <c r="L1635" i="1"/>
  <c r="K1635" i="1"/>
  <c r="Q1634" i="1"/>
  <c r="P1634" i="1"/>
  <c r="O1634" i="1"/>
  <c r="N1634" i="1"/>
  <c r="M1634" i="1"/>
  <c r="L1634" i="1"/>
  <c r="K1634" i="1"/>
  <c r="Q1633" i="1"/>
  <c r="P1633" i="1"/>
  <c r="O1633" i="1"/>
  <c r="N1633" i="1"/>
  <c r="M1633" i="1"/>
  <c r="L1633" i="1"/>
  <c r="K1633" i="1"/>
  <c r="Q1632" i="1"/>
  <c r="P1632" i="1"/>
  <c r="O1632" i="1"/>
  <c r="N1632" i="1"/>
  <c r="M1632" i="1"/>
  <c r="L1632" i="1"/>
  <c r="K1632" i="1"/>
  <c r="Q1631" i="1"/>
  <c r="P1631" i="1"/>
  <c r="O1631" i="1"/>
  <c r="N1631" i="1"/>
  <c r="M1631" i="1"/>
  <c r="L1631" i="1"/>
  <c r="K1631" i="1"/>
  <c r="Q1630" i="1"/>
  <c r="P1630" i="1"/>
  <c r="O1630" i="1"/>
  <c r="N1630" i="1"/>
  <c r="M1630" i="1"/>
  <c r="L1630" i="1"/>
  <c r="K1630" i="1"/>
  <c r="Q1629" i="1"/>
  <c r="P1629" i="1"/>
  <c r="O1629" i="1"/>
  <c r="N1629" i="1"/>
  <c r="M1629" i="1"/>
  <c r="L1629" i="1"/>
  <c r="K1629" i="1"/>
  <c r="Q1628" i="1"/>
  <c r="P1628" i="1"/>
  <c r="O1628" i="1"/>
  <c r="N1628" i="1"/>
  <c r="M1628" i="1"/>
  <c r="L1628" i="1"/>
  <c r="K1628" i="1"/>
  <c r="Q1627" i="1"/>
  <c r="P1627" i="1"/>
  <c r="O1627" i="1"/>
  <c r="N1627" i="1"/>
  <c r="M1627" i="1"/>
  <c r="L1627" i="1"/>
  <c r="K1627" i="1"/>
  <c r="Q1626" i="1"/>
  <c r="P1626" i="1"/>
  <c r="O1626" i="1"/>
  <c r="N1626" i="1"/>
  <c r="M1626" i="1"/>
  <c r="L1626" i="1"/>
  <c r="K1626" i="1"/>
  <c r="Q1625" i="1"/>
  <c r="P1625" i="1"/>
  <c r="O1625" i="1"/>
  <c r="N1625" i="1"/>
  <c r="M1625" i="1"/>
  <c r="L1625" i="1"/>
  <c r="K1625" i="1"/>
  <c r="Q1624" i="1"/>
  <c r="P1624" i="1"/>
  <c r="O1624" i="1"/>
  <c r="N1624" i="1"/>
  <c r="M1624" i="1"/>
  <c r="L1624" i="1"/>
  <c r="K1624" i="1"/>
  <c r="Q1623" i="1"/>
  <c r="P1623" i="1"/>
  <c r="O1623" i="1"/>
  <c r="N1623" i="1"/>
  <c r="M1623" i="1"/>
  <c r="L1623" i="1"/>
  <c r="K1623" i="1"/>
  <c r="Q1622" i="1"/>
  <c r="P1622" i="1"/>
  <c r="O1622" i="1"/>
  <c r="N1622" i="1"/>
  <c r="M1622" i="1"/>
  <c r="L1622" i="1"/>
  <c r="K1622" i="1"/>
  <c r="Q1621" i="1"/>
  <c r="P1621" i="1"/>
  <c r="O1621" i="1"/>
  <c r="N1621" i="1"/>
  <c r="M1621" i="1"/>
  <c r="L1621" i="1"/>
  <c r="K1621" i="1"/>
  <c r="Q1620" i="1"/>
  <c r="P1620" i="1"/>
  <c r="O1620" i="1"/>
  <c r="N1620" i="1"/>
  <c r="M1620" i="1"/>
  <c r="L1620" i="1"/>
  <c r="K1620" i="1"/>
  <c r="Q1619" i="1"/>
  <c r="P1619" i="1"/>
  <c r="O1619" i="1"/>
  <c r="N1619" i="1"/>
  <c r="M1619" i="1"/>
  <c r="L1619" i="1"/>
  <c r="K1619" i="1"/>
  <c r="Q1618" i="1"/>
  <c r="P1618" i="1"/>
  <c r="O1618" i="1"/>
  <c r="N1618" i="1"/>
  <c r="M1618" i="1"/>
  <c r="L1618" i="1"/>
  <c r="K1618" i="1"/>
  <c r="Q1617" i="1"/>
  <c r="P1617" i="1"/>
  <c r="O1617" i="1"/>
  <c r="N1617" i="1"/>
  <c r="M1617" i="1"/>
  <c r="L1617" i="1"/>
  <c r="K1617" i="1"/>
  <c r="Q1616" i="1"/>
  <c r="P1616" i="1"/>
  <c r="O1616" i="1"/>
  <c r="N1616" i="1"/>
  <c r="M1616" i="1"/>
  <c r="L1616" i="1"/>
  <c r="K1616" i="1"/>
  <c r="Q1615" i="1"/>
  <c r="P1615" i="1"/>
  <c r="O1615" i="1"/>
  <c r="N1615" i="1"/>
  <c r="M1615" i="1"/>
  <c r="L1615" i="1"/>
  <c r="K1615" i="1"/>
  <c r="Q1614" i="1"/>
  <c r="P1614" i="1"/>
  <c r="O1614" i="1"/>
  <c r="N1614" i="1"/>
  <c r="M1614" i="1"/>
  <c r="L1614" i="1"/>
  <c r="K1614" i="1"/>
  <c r="Q1613" i="1"/>
  <c r="P1613" i="1"/>
  <c r="O1613" i="1"/>
  <c r="N1613" i="1"/>
  <c r="M1613" i="1"/>
  <c r="L1613" i="1"/>
  <c r="K1613" i="1"/>
  <c r="Q1612" i="1"/>
  <c r="P1612" i="1"/>
  <c r="O1612" i="1"/>
  <c r="N1612" i="1"/>
  <c r="M1612" i="1"/>
  <c r="L1612" i="1"/>
  <c r="K1612" i="1"/>
  <c r="Q1611" i="1"/>
  <c r="P1611" i="1"/>
  <c r="O1611" i="1"/>
  <c r="N1611" i="1"/>
  <c r="M1611" i="1"/>
  <c r="L1611" i="1"/>
  <c r="K1611" i="1"/>
  <c r="Q1610" i="1"/>
  <c r="P1610" i="1"/>
  <c r="O1610" i="1"/>
  <c r="N1610" i="1"/>
  <c r="M1610" i="1"/>
  <c r="L1610" i="1"/>
  <c r="K1610" i="1"/>
  <c r="Q1609" i="1"/>
  <c r="P1609" i="1"/>
  <c r="O1609" i="1"/>
  <c r="N1609" i="1"/>
  <c r="M1609" i="1"/>
  <c r="L1609" i="1"/>
  <c r="K1609" i="1"/>
  <c r="Q1608" i="1"/>
  <c r="P1608" i="1"/>
  <c r="O1608" i="1"/>
  <c r="N1608" i="1"/>
  <c r="M1608" i="1"/>
  <c r="L1608" i="1"/>
  <c r="K1608" i="1"/>
  <c r="Q1607" i="1"/>
  <c r="P1607" i="1"/>
  <c r="O1607" i="1"/>
  <c r="N1607" i="1"/>
  <c r="M1607" i="1"/>
  <c r="L1607" i="1"/>
  <c r="K1607" i="1"/>
  <c r="Q1606" i="1"/>
  <c r="P1606" i="1"/>
  <c r="O1606" i="1"/>
  <c r="N1606" i="1"/>
  <c r="M1606" i="1"/>
  <c r="L1606" i="1"/>
  <c r="K1606" i="1"/>
  <c r="Q1605" i="1"/>
  <c r="P1605" i="1"/>
  <c r="O1605" i="1"/>
  <c r="N1605" i="1"/>
  <c r="M1605" i="1"/>
  <c r="L1605" i="1"/>
  <c r="K1605" i="1"/>
  <c r="Q1604" i="1"/>
  <c r="P1604" i="1"/>
  <c r="O1604" i="1"/>
  <c r="N1604" i="1"/>
  <c r="M1604" i="1"/>
  <c r="L1604" i="1"/>
  <c r="K1604" i="1"/>
  <c r="Q1603" i="1"/>
  <c r="P1603" i="1"/>
  <c r="O1603" i="1"/>
  <c r="N1603" i="1"/>
  <c r="M1603" i="1"/>
  <c r="L1603" i="1"/>
  <c r="K1603" i="1"/>
  <c r="Q1602" i="1"/>
  <c r="P1602" i="1"/>
  <c r="O1602" i="1"/>
  <c r="N1602" i="1"/>
  <c r="M1602" i="1"/>
  <c r="L1602" i="1"/>
  <c r="K1602" i="1"/>
  <c r="Q1601" i="1"/>
  <c r="P1601" i="1"/>
  <c r="O1601" i="1"/>
  <c r="N1601" i="1"/>
  <c r="M1601" i="1"/>
  <c r="L1601" i="1"/>
  <c r="K1601" i="1"/>
  <c r="Q1600" i="1"/>
  <c r="P1600" i="1"/>
  <c r="O1600" i="1"/>
  <c r="N1600" i="1"/>
  <c r="M1600" i="1"/>
  <c r="L1600" i="1"/>
  <c r="K1600" i="1"/>
  <c r="Q1599" i="1"/>
  <c r="P1599" i="1"/>
  <c r="O1599" i="1"/>
  <c r="N1599" i="1"/>
  <c r="M1599" i="1"/>
  <c r="L1599" i="1"/>
  <c r="K1599" i="1"/>
  <c r="Q1598" i="1"/>
  <c r="P1598" i="1"/>
  <c r="O1598" i="1"/>
  <c r="N1598" i="1"/>
  <c r="M1598" i="1"/>
  <c r="L1598" i="1"/>
  <c r="K1598" i="1"/>
  <c r="Q1597" i="1"/>
  <c r="P1597" i="1"/>
  <c r="O1597" i="1"/>
  <c r="N1597" i="1"/>
  <c r="M1597" i="1"/>
  <c r="L1597" i="1"/>
  <c r="K1597" i="1"/>
  <c r="Q1596" i="1"/>
  <c r="P1596" i="1"/>
  <c r="O1596" i="1"/>
  <c r="N1596" i="1"/>
  <c r="M1596" i="1"/>
  <c r="L1596" i="1"/>
  <c r="K1596" i="1"/>
  <c r="Q1595" i="1"/>
  <c r="P1595" i="1"/>
  <c r="O1595" i="1"/>
  <c r="N1595" i="1"/>
  <c r="M1595" i="1"/>
  <c r="L1595" i="1"/>
  <c r="K1595" i="1"/>
  <c r="Q1594" i="1"/>
  <c r="P1594" i="1"/>
  <c r="O1594" i="1"/>
  <c r="N1594" i="1"/>
  <c r="M1594" i="1"/>
  <c r="L1594" i="1"/>
  <c r="K1594" i="1"/>
  <c r="Q1593" i="1"/>
  <c r="P1593" i="1"/>
  <c r="O1593" i="1"/>
  <c r="N1593" i="1"/>
  <c r="M1593" i="1"/>
  <c r="L1593" i="1"/>
  <c r="K1593" i="1"/>
  <c r="Q1592" i="1"/>
  <c r="P1592" i="1"/>
  <c r="O1592" i="1"/>
  <c r="N1592" i="1"/>
  <c r="M1592" i="1"/>
  <c r="L1592" i="1"/>
  <c r="K1592" i="1"/>
  <c r="Q1591" i="1"/>
  <c r="P1591" i="1"/>
  <c r="O1591" i="1"/>
  <c r="N1591" i="1"/>
  <c r="M1591" i="1"/>
  <c r="L1591" i="1"/>
  <c r="K1591" i="1"/>
  <c r="Q1590" i="1"/>
  <c r="P1590" i="1"/>
  <c r="O1590" i="1"/>
  <c r="N1590" i="1"/>
  <c r="M1590" i="1"/>
  <c r="L1590" i="1"/>
  <c r="K1590" i="1"/>
  <c r="Q1589" i="1"/>
  <c r="P1589" i="1"/>
  <c r="O1589" i="1"/>
  <c r="N1589" i="1"/>
  <c r="M1589" i="1"/>
  <c r="L1589" i="1"/>
  <c r="K1589" i="1"/>
  <c r="Q1588" i="1"/>
  <c r="P1588" i="1"/>
  <c r="O1588" i="1"/>
  <c r="N1588" i="1"/>
  <c r="M1588" i="1"/>
  <c r="L1588" i="1"/>
  <c r="K1588" i="1"/>
  <c r="Q1587" i="1"/>
  <c r="P1587" i="1"/>
  <c r="O1587" i="1"/>
  <c r="N1587" i="1"/>
  <c r="M1587" i="1"/>
  <c r="L1587" i="1"/>
  <c r="K1587" i="1"/>
  <c r="Q1586" i="1"/>
  <c r="P1586" i="1"/>
  <c r="O1586" i="1"/>
  <c r="N1586" i="1"/>
  <c r="M1586" i="1"/>
  <c r="L1586" i="1"/>
  <c r="K1586" i="1"/>
  <c r="Q1585" i="1"/>
  <c r="P1585" i="1"/>
  <c r="O1585" i="1"/>
  <c r="N1585" i="1"/>
  <c r="M1585" i="1"/>
  <c r="L1585" i="1"/>
  <c r="K1585" i="1"/>
  <c r="Q1584" i="1"/>
  <c r="P1584" i="1"/>
  <c r="O1584" i="1"/>
  <c r="N1584" i="1"/>
  <c r="M1584" i="1"/>
  <c r="L1584" i="1"/>
  <c r="K1584" i="1"/>
  <c r="Q1583" i="1"/>
  <c r="P1583" i="1"/>
  <c r="O1583" i="1"/>
  <c r="N1583" i="1"/>
  <c r="M1583" i="1"/>
  <c r="L1583" i="1"/>
  <c r="K1583" i="1"/>
  <c r="Q1582" i="1"/>
  <c r="P1582" i="1"/>
  <c r="O1582" i="1"/>
  <c r="N1582" i="1"/>
  <c r="M1582" i="1"/>
  <c r="L1582" i="1"/>
  <c r="K1582" i="1"/>
  <c r="Q1581" i="1"/>
  <c r="P1581" i="1"/>
  <c r="O1581" i="1"/>
  <c r="N1581" i="1"/>
  <c r="M1581" i="1"/>
  <c r="L1581" i="1"/>
  <c r="K1581" i="1"/>
  <c r="Q1580" i="1"/>
  <c r="P1580" i="1"/>
  <c r="O1580" i="1"/>
  <c r="N1580" i="1"/>
  <c r="M1580" i="1"/>
  <c r="L1580" i="1"/>
  <c r="K1580" i="1"/>
  <c r="Q1579" i="1"/>
  <c r="P1579" i="1"/>
  <c r="O1579" i="1"/>
  <c r="N1579" i="1"/>
  <c r="M1579" i="1"/>
  <c r="L1579" i="1"/>
  <c r="K1579" i="1"/>
  <c r="Q1578" i="1"/>
  <c r="P1578" i="1"/>
  <c r="O1578" i="1"/>
  <c r="N1578" i="1"/>
  <c r="M1578" i="1"/>
  <c r="L1578" i="1"/>
  <c r="K1578" i="1"/>
  <c r="Q1577" i="1"/>
  <c r="P1577" i="1"/>
  <c r="O1577" i="1"/>
  <c r="N1577" i="1"/>
  <c r="M1577" i="1"/>
  <c r="L1577" i="1"/>
  <c r="K1577" i="1"/>
  <c r="Q1576" i="1"/>
  <c r="P1576" i="1"/>
  <c r="O1576" i="1"/>
  <c r="N1576" i="1"/>
  <c r="M1576" i="1"/>
  <c r="L1576" i="1"/>
  <c r="K1576" i="1"/>
  <c r="Q1575" i="1"/>
  <c r="P1575" i="1"/>
  <c r="O1575" i="1"/>
  <c r="N1575" i="1"/>
  <c r="M1575" i="1"/>
  <c r="L1575" i="1"/>
  <c r="K1575" i="1"/>
  <c r="Q1574" i="1"/>
  <c r="P1574" i="1"/>
  <c r="O1574" i="1"/>
  <c r="N1574" i="1"/>
  <c r="M1574" i="1"/>
  <c r="L1574" i="1"/>
  <c r="K1574" i="1"/>
  <c r="Q1573" i="1"/>
  <c r="P1573" i="1"/>
  <c r="O1573" i="1"/>
  <c r="N1573" i="1"/>
  <c r="M1573" i="1"/>
  <c r="L1573" i="1"/>
  <c r="K1573" i="1"/>
  <c r="Q1572" i="1"/>
  <c r="P1572" i="1"/>
  <c r="O1572" i="1"/>
  <c r="N1572" i="1"/>
  <c r="M1572" i="1"/>
  <c r="L1572" i="1"/>
  <c r="K1572" i="1"/>
  <c r="Q1571" i="1"/>
  <c r="P1571" i="1"/>
  <c r="O1571" i="1"/>
  <c r="N1571" i="1"/>
  <c r="M1571" i="1"/>
  <c r="L1571" i="1"/>
  <c r="K1571" i="1"/>
  <c r="Q1570" i="1"/>
  <c r="P1570" i="1"/>
  <c r="O1570" i="1"/>
  <c r="N1570" i="1"/>
  <c r="M1570" i="1"/>
  <c r="L1570" i="1"/>
  <c r="K1570" i="1"/>
  <c r="Q1569" i="1"/>
  <c r="P1569" i="1"/>
  <c r="O1569" i="1"/>
  <c r="N1569" i="1"/>
  <c r="M1569" i="1"/>
  <c r="L1569" i="1"/>
  <c r="K1569" i="1"/>
  <c r="Q1568" i="1"/>
  <c r="P1568" i="1"/>
  <c r="O1568" i="1"/>
  <c r="N1568" i="1"/>
  <c r="M1568" i="1"/>
  <c r="L1568" i="1"/>
  <c r="K1568" i="1"/>
  <c r="Q1567" i="1"/>
  <c r="P1567" i="1"/>
  <c r="O1567" i="1"/>
  <c r="N1567" i="1"/>
  <c r="M1567" i="1"/>
  <c r="L1567" i="1"/>
  <c r="K1567" i="1"/>
  <c r="Q1566" i="1"/>
  <c r="P1566" i="1"/>
  <c r="O1566" i="1"/>
  <c r="N1566" i="1"/>
  <c r="M1566" i="1"/>
  <c r="L1566" i="1"/>
  <c r="K1566" i="1"/>
  <c r="Q1565" i="1"/>
  <c r="P1565" i="1"/>
  <c r="O1565" i="1"/>
  <c r="N1565" i="1"/>
  <c r="M1565" i="1"/>
  <c r="L1565" i="1"/>
  <c r="K1565" i="1"/>
  <c r="Q1564" i="1"/>
  <c r="P1564" i="1"/>
  <c r="O1564" i="1"/>
  <c r="N1564" i="1"/>
  <c r="M1564" i="1"/>
  <c r="L1564" i="1"/>
  <c r="K1564" i="1"/>
  <c r="Q1563" i="1"/>
  <c r="P1563" i="1"/>
  <c r="O1563" i="1"/>
  <c r="N1563" i="1"/>
  <c r="M1563" i="1"/>
  <c r="L1563" i="1"/>
  <c r="K1563" i="1"/>
  <c r="Q1562" i="1"/>
  <c r="P1562" i="1"/>
  <c r="O1562" i="1"/>
  <c r="N1562" i="1"/>
  <c r="M1562" i="1"/>
  <c r="L1562" i="1"/>
  <c r="K1562" i="1"/>
  <c r="Q1561" i="1"/>
  <c r="P1561" i="1"/>
  <c r="O1561" i="1"/>
  <c r="N1561" i="1"/>
  <c r="M1561" i="1"/>
  <c r="L1561" i="1"/>
  <c r="K1561" i="1"/>
  <c r="Q1560" i="1"/>
  <c r="P1560" i="1"/>
  <c r="O1560" i="1"/>
  <c r="N1560" i="1"/>
  <c r="M1560" i="1"/>
  <c r="L1560" i="1"/>
  <c r="K1560" i="1"/>
  <c r="Q1559" i="1"/>
  <c r="P1559" i="1"/>
  <c r="O1559" i="1"/>
  <c r="N1559" i="1"/>
  <c r="M1559" i="1"/>
  <c r="L1559" i="1"/>
  <c r="K1559" i="1"/>
  <c r="Q1558" i="1"/>
  <c r="P1558" i="1"/>
  <c r="O1558" i="1"/>
  <c r="N1558" i="1"/>
  <c r="M1558" i="1"/>
  <c r="L1558" i="1"/>
  <c r="K1558" i="1"/>
  <c r="Q1557" i="1"/>
  <c r="P1557" i="1"/>
  <c r="O1557" i="1"/>
  <c r="N1557" i="1"/>
  <c r="M1557" i="1"/>
  <c r="L1557" i="1"/>
  <c r="K1557" i="1"/>
  <c r="Q1556" i="1"/>
  <c r="P1556" i="1"/>
  <c r="O1556" i="1"/>
  <c r="N1556" i="1"/>
  <c r="M1556" i="1"/>
  <c r="L1556" i="1"/>
  <c r="K1556" i="1"/>
  <c r="Q1555" i="1"/>
  <c r="P1555" i="1"/>
  <c r="O1555" i="1"/>
  <c r="N1555" i="1"/>
  <c r="M1555" i="1"/>
  <c r="L1555" i="1"/>
  <c r="K1555" i="1"/>
  <c r="Q1554" i="1"/>
  <c r="P1554" i="1"/>
  <c r="O1554" i="1"/>
  <c r="N1554" i="1"/>
  <c r="M1554" i="1"/>
  <c r="L1554" i="1"/>
  <c r="K1554" i="1"/>
  <c r="Q1553" i="1"/>
  <c r="P1553" i="1"/>
  <c r="O1553" i="1"/>
  <c r="N1553" i="1"/>
  <c r="M1553" i="1"/>
  <c r="L1553" i="1"/>
  <c r="K1553" i="1"/>
  <c r="Q1552" i="1"/>
  <c r="P1552" i="1"/>
  <c r="O1552" i="1"/>
  <c r="N1552" i="1"/>
  <c r="M1552" i="1"/>
  <c r="L1552" i="1"/>
  <c r="K1552" i="1"/>
  <c r="Q1551" i="1"/>
  <c r="P1551" i="1"/>
  <c r="O1551" i="1"/>
  <c r="N1551" i="1"/>
  <c r="M1551" i="1"/>
  <c r="L1551" i="1"/>
  <c r="K1551" i="1"/>
  <c r="Q1550" i="1"/>
  <c r="P1550" i="1"/>
  <c r="O1550" i="1"/>
  <c r="N1550" i="1"/>
  <c r="M1550" i="1"/>
  <c r="L1550" i="1"/>
  <c r="K1550" i="1"/>
  <c r="Q1549" i="1"/>
  <c r="P1549" i="1"/>
  <c r="O1549" i="1"/>
  <c r="N1549" i="1"/>
  <c r="M1549" i="1"/>
  <c r="L1549" i="1"/>
  <c r="K1549" i="1"/>
  <c r="Q1548" i="1"/>
  <c r="P1548" i="1"/>
  <c r="O1548" i="1"/>
  <c r="N1548" i="1"/>
  <c r="M1548" i="1"/>
  <c r="L1548" i="1"/>
  <c r="K1548" i="1"/>
  <c r="Q1547" i="1"/>
  <c r="P1547" i="1"/>
  <c r="O1547" i="1"/>
  <c r="N1547" i="1"/>
  <c r="M1547" i="1"/>
  <c r="L1547" i="1"/>
  <c r="K1547" i="1"/>
  <c r="Q1546" i="1"/>
  <c r="P1546" i="1"/>
  <c r="O1546" i="1"/>
  <c r="N1546" i="1"/>
  <c r="M1546" i="1"/>
  <c r="L1546" i="1"/>
  <c r="K1546" i="1"/>
  <c r="Q1545" i="1"/>
  <c r="P1545" i="1"/>
  <c r="O1545" i="1"/>
  <c r="N1545" i="1"/>
  <c r="M1545" i="1"/>
  <c r="L1545" i="1"/>
  <c r="K1545" i="1"/>
  <c r="Q1544" i="1"/>
  <c r="P1544" i="1"/>
  <c r="O1544" i="1"/>
  <c r="N1544" i="1"/>
  <c r="M1544" i="1"/>
  <c r="L1544" i="1"/>
  <c r="K1544" i="1"/>
  <c r="Q1543" i="1"/>
  <c r="P1543" i="1"/>
  <c r="O1543" i="1"/>
  <c r="N1543" i="1"/>
  <c r="M1543" i="1"/>
  <c r="L1543" i="1"/>
  <c r="K1543" i="1"/>
  <c r="Q1542" i="1"/>
  <c r="P1542" i="1"/>
  <c r="O1542" i="1"/>
  <c r="N1542" i="1"/>
  <c r="M1542" i="1"/>
  <c r="L1542" i="1"/>
  <c r="K1542" i="1"/>
  <c r="Q1541" i="1"/>
  <c r="P1541" i="1"/>
  <c r="O1541" i="1"/>
  <c r="N1541" i="1"/>
  <c r="M1541" i="1"/>
  <c r="L1541" i="1"/>
  <c r="K1541" i="1"/>
  <c r="Q1540" i="1"/>
  <c r="P1540" i="1"/>
  <c r="O1540" i="1"/>
  <c r="N1540" i="1"/>
  <c r="M1540" i="1"/>
  <c r="L1540" i="1"/>
  <c r="K1540" i="1"/>
  <c r="Q1539" i="1"/>
  <c r="P1539" i="1"/>
  <c r="O1539" i="1"/>
  <c r="N1539" i="1"/>
  <c r="M1539" i="1"/>
  <c r="L1539" i="1"/>
  <c r="K1539" i="1"/>
  <c r="Q1538" i="1"/>
  <c r="P1538" i="1"/>
  <c r="O1538" i="1"/>
  <c r="N1538" i="1"/>
  <c r="M1538" i="1"/>
  <c r="L1538" i="1"/>
  <c r="K1538" i="1"/>
  <c r="Q1537" i="1"/>
  <c r="P1537" i="1"/>
  <c r="O1537" i="1"/>
  <c r="N1537" i="1"/>
  <c r="M1537" i="1"/>
  <c r="L1537" i="1"/>
  <c r="K1537" i="1"/>
  <c r="Q1536" i="1"/>
  <c r="P1536" i="1"/>
  <c r="O1536" i="1"/>
  <c r="N1536" i="1"/>
  <c r="M1536" i="1"/>
  <c r="L1536" i="1"/>
  <c r="K1536" i="1"/>
  <c r="Q1535" i="1"/>
  <c r="P1535" i="1"/>
  <c r="O1535" i="1"/>
  <c r="N1535" i="1"/>
  <c r="M1535" i="1"/>
  <c r="L1535" i="1"/>
  <c r="K1535" i="1"/>
  <c r="Q1534" i="1"/>
  <c r="P1534" i="1"/>
  <c r="O1534" i="1"/>
  <c r="N1534" i="1"/>
  <c r="M1534" i="1"/>
  <c r="L1534" i="1"/>
  <c r="K1534" i="1"/>
  <c r="Q1533" i="1"/>
  <c r="P1533" i="1"/>
  <c r="O1533" i="1"/>
  <c r="N1533" i="1"/>
  <c r="M1533" i="1"/>
  <c r="L1533" i="1"/>
  <c r="K1533" i="1"/>
  <c r="Q1532" i="1"/>
  <c r="P1532" i="1"/>
  <c r="O1532" i="1"/>
  <c r="N1532" i="1"/>
  <c r="M1532" i="1"/>
  <c r="L1532" i="1"/>
  <c r="K1532" i="1"/>
  <c r="Q1531" i="1"/>
  <c r="P1531" i="1"/>
  <c r="O1531" i="1"/>
  <c r="N1531" i="1"/>
  <c r="M1531" i="1"/>
  <c r="L1531" i="1"/>
  <c r="K1531" i="1"/>
  <c r="Q1530" i="1"/>
  <c r="P1530" i="1"/>
  <c r="O1530" i="1"/>
  <c r="N1530" i="1"/>
  <c r="M1530" i="1"/>
  <c r="L1530" i="1"/>
  <c r="K1530" i="1"/>
  <c r="Q1529" i="1"/>
  <c r="P1529" i="1"/>
  <c r="O1529" i="1"/>
  <c r="N1529" i="1"/>
  <c r="M1529" i="1"/>
  <c r="L1529" i="1"/>
  <c r="K1529" i="1"/>
  <c r="Q1528" i="1"/>
  <c r="P1528" i="1"/>
  <c r="O1528" i="1"/>
  <c r="N1528" i="1"/>
  <c r="M1528" i="1"/>
  <c r="L1528" i="1"/>
  <c r="K1528" i="1"/>
  <c r="Q1527" i="1"/>
  <c r="P1527" i="1"/>
  <c r="O1527" i="1"/>
  <c r="N1527" i="1"/>
  <c r="M1527" i="1"/>
  <c r="L1527" i="1"/>
  <c r="K1527" i="1"/>
  <c r="Q1526" i="1"/>
  <c r="P1526" i="1"/>
  <c r="O1526" i="1"/>
  <c r="N1526" i="1"/>
  <c r="M1526" i="1"/>
  <c r="L1526" i="1"/>
  <c r="K1526" i="1"/>
  <c r="Q1525" i="1"/>
  <c r="P1525" i="1"/>
  <c r="O1525" i="1"/>
  <c r="N1525" i="1"/>
  <c r="M1525" i="1"/>
  <c r="L1525" i="1"/>
  <c r="K1525" i="1"/>
  <c r="Q1524" i="1"/>
  <c r="P1524" i="1"/>
  <c r="O1524" i="1"/>
  <c r="N1524" i="1"/>
  <c r="M1524" i="1"/>
  <c r="L1524" i="1"/>
  <c r="K1524" i="1"/>
  <c r="Q1523" i="1"/>
  <c r="P1523" i="1"/>
  <c r="O1523" i="1"/>
  <c r="N1523" i="1"/>
  <c r="M1523" i="1"/>
  <c r="L1523" i="1"/>
  <c r="K1523" i="1"/>
  <c r="Q1522" i="1"/>
  <c r="P1522" i="1"/>
  <c r="O1522" i="1"/>
  <c r="N1522" i="1"/>
  <c r="M1522" i="1"/>
  <c r="L1522" i="1"/>
  <c r="K1522" i="1"/>
  <c r="Q1521" i="1"/>
  <c r="P1521" i="1"/>
  <c r="O1521" i="1"/>
  <c r="N1521" i="1"/>
  <c r="M1521" i="1"/>
  <c r="L1521" i="1"/>
  <c r="K1521" i="1"/>
  <c r="Q1520" i="1"/>
  <c r="P1520" i="1"/>
  <c r="O1520" i="1"/>
  <c r="N1520" i="1"/>
  <c r="M1520" i="1"/>
  <c r="L1520" i="1"/>
  <c r="K1520" i="1"/>
  <c r="Q1519" i="1"/>
  <c r="P1519" i="1"/>
  <c r="O1519" i="1"/>
  <c r="N1519" i="1"/>
  <c r="M1519" i="1"/>
  <c r="L1519" i="1"/>
  <c r="K1519" i="1"/>
  <c r="Q1518" i="1"/>
  <c r="P1518" i="1"/>
  <c r="O1518" i="1"/>
  <c r="N1518" i="1"/>
  <c r="M1518" i="1"/>
  <c r="L1518" i="1"/>
  <c r="K1518" i="1"/>
  <c r="Q1517" i="1"/>
  <c r="P1517" i="1"/>
  <c r="O1517" i="1"/>
  <c r="N1517" i="1"/>
  <c r="M1517" i="1"/>
  <c r="L1517" i="1"/>
  <c r="K1517" i="1"/>
  <c r="Q1516" i="1"/>
  <c r="P1516" i="1"/>
  <c r="O1516" i="1"/>
  <c r="N1516" i="1"/>
  <c r="M1516" i="1"/>
  <c r="L1516" i="1"/>
  <c r="K1516" i="1"/>
  <c r="Q1515" i="1"/>
  <c r="P1515" i="1"/>
  <c r="O1515" i="1"/>
  <c r="N1515" i="1"/>
  <c r="M1515" i="1"/>
  <c r="L1515" i="1"/>
  <c r="K1515" i="1"/>
  <c r="Q1514" i="1"/>
  <c r="P1514" i="1"/>
  <c r="O1514" i="1"/>
  <c r="N1514" i="1"/>
  <c r="M1514" i="1"/>
  <c r="L1514" i="1"/>
  <c r="K1514" i="1"/>
  <c r="Q1513" i="1"/>
  <c r="P1513" i="1"/>
  <c r="O1513" i="1"/>
  <c r="N1513" i="1"/>
  <c r="M1513" i="1"/>
  <c r="L1513" i="1"/>
  <c r="K1513" i="1"/>
  <c r="Q1512" i="1"/>
  <c r="P1512" i="1"/>
  <c r="O1512" i="1"/>
  <c r="N1512" i="1"/>
  <c r="M1512" i="1"/>
  <c r="L1512" i="1"/>
  <c r="K1512" i="1"/>
  <c r="Q1511" i="1"/>
  <c r="P1511" i="1"/>
  <c r="O1511" i="1"/>
  <c r="N1511" i="1"/>
  <c r="M1511" i="1"/>
  <c r="L1511" i="1"/>
  <c r="K1511" i="1"/>
  <c r="Q1510" i="1"/>
  <c r="P1510" i="1"/>
  <c r="O1510" i="1"/>
  <c r="N1510" i="1"/>
  <c r="M1510" i="1"/>
  <c r="L1510" i="1"/>
  <c r="K1510" i="1"/>
  <c r="Q1509" i="1"/>
  <c r="P1509" i="1"/>
  <c r="O1509" i="1"/>
  <c r="N1509" i="1"/>
  <c r="M1509" i="1"/>
  <c r="L1509" i="1"/>
  <c r="K1509" i="1"/>
  <c r="Q1508" i="1"/>
  <c r="P1508" i="1"/>
  <c r="O1508" i="1"/>
  <c r="N1508" i="1"/>
  <c r="M1508" i="1"/>
  <c r="L1508" i="1"/>
  <c r="K1508" i="1"/>
  <c r="Q1507" i="1"/>
  <c r="P1507" i="1"/>
  <c r="O1507" i="1"/>
  <c r="N1507" i="1"/>
  <c r="M1507" i="1"/>
  <c r="L1507" i="1"/>
  <c r="K1507" i="1"/>
  <c r="Q1506" i="1"/>
  <c r="P1506" i="1"/>
  <c r="O1506" i="1"/>
  <c r="N1506" i="1"/>
  <c r="M1506" i="1"/>
  <c r="L1506" i="1"/>
  <c r="K1506" i="1"/>
  <c r="Q1505" i="1"/>
  <c r="P1505" i="1"/>
  <c r="O1505" i="1"/>
  <c r="N1505" i="1"/>
  <c r="M1505" i="1"/>
  <c r="L1505" i="1"/>
  <c r="K1505" i="1"/>
  <c r="Q1504" i="1"/>
  <c r="P1504" i="1"/>
  <c r="O1504" i="1"/>
  <c r="N1504" i="1"/>
  <c r="M1504" i="1"/>
  <c r="L1504" i="1"/>
  <c r="K1504" i="1"/>
  <c r="Q1503" i="1"/>
  <c r="P1503" i="1"/>
  <c r="O1503" i="1"/>
  <c r="N1503" i="1"/>
  <c r="M1503" i="1"/>
  <c r="L1503" i="1"/>
  <c r="K1503" i="1"/>
  <c r="Q1502" i="1"/>
  <c r="P1502" i="1"/>
  <c r="O1502" i="1"/>
  <c r="N1502" i="1"/>
  <c r="M1502" i="1"/>
  <c r="L1502" i="1"/>
  <c r="K1502" i="1"/>
  <c r="Q1501" i="1"/>
  <c r="P1501" i="1"/>
  <c r="O1501" i="1"/>
  <c r="N1501" i="1"/>
  <c r="M1501" i="1"/>
  <c r="L1501" i="1"/>
  <c r="K1501" i="1"/>
  <c r="Q1500" i="1"/>
  <c r="P1500" i="1"/>
  <c r="O1500" i="1"/>
  <c r="N1500" i="1"/>
  <c r="M1500" i="1"/>
  <c r="L1500" i="1"/>
  <c r="K1500" i="1"/>
  <c r="Q1499" i="1"/>
  <c r="P1499" i="1"/>
  <c r="O1499" i="1"/>
  <c r="N1499" i="1"/>
  <c r="M1499" i="1"/>
  <c r="L1499" i="1"/>
  <c r="K1499" i="1"/>
  <c r="Q1498" i="1"/>
  <c r="P1498" i="1"/>
  <c r="O1498" i="1"/>
  <c r="N1498" i="1"/>
  <c r="M1498" i="1"/>
  <c r="L1498" i="1"/>
  <c r="K1498" i="1"/>
  <c r="Q1497" i="1"/>
  <c r="P1497" i="1"/>
  <c r="O1497" i="1"/>
  <c r="N1497" i="1"/>
  <c r="M1497" i="1"/>
  <c r="L1497" i="1"/>
  <c r="K1497" i="1"/>
  <c r="Q1496" i="1"/>
  <c r="P1496" i="1"/>
  <c r="O1496" i="1"/>
  <c r="N1496" i="1"/>
  <c r="M1496" i="1"/>
  <c r="L1496" i="1"/>
  <c r="K1496" i="1"/>
  <c r="Q1495" i="1"/>
  <c r="P1495" i="1"/>
  <c r="O1495" i="1"/>
  <c r="N1495" i="1"/>
  <c r="M1495" i="1"/>
  <c r="L1495" i="1"/>
  <c r="K1495" i="1"/>
  <c r="Q1494" i="1"/>
  <c r="P1494" i="1"/>
  <c r="O1494" i="1"/>
  <c r="N1494" i="1"/>
  <c r="M1494" i="1"/>
  <c r="L1494" i="1"/>
  <c r="K1494" i="1"/>
  <c r="Q1493" i="1"/>
  <c r="P1493" i="1"/>
  <c r="O1493" i="1"/>
  <c r="N1493" i="1"/>
  <c r="M1493" i="1"/>
  <c r="L1493" i="1"/>
  <c r="K1493" i="1"/>
  <c r="Q1492" i="1"/>
  <c r="P1492" i="1"/>
  <c r="O1492" i="1"/>
  <c r="N1492" i="1"/>
  <c r="M1492" i="1"/>
  <c r="L1492" i="1"/>
  <c r="K1492" i="1"/>
  <c r="Q1491" i="1"/>
  <c r="P1491" i="1"/>
  <c r="O1491" i="1"/>
  <c r="N1491" i="1"/>
  <c r="M1491" i="1"/>
  <c r="L1491" i="1"/>
  <c r="K1491" i="1"/>
  <c r="Q1490" i="1"/>
  <c r="P1490" i="1"/>
  <c r="O1490" i="1"/>
  <c r="N1490" i="1"/>
  <c r="M1490" i="1"/>
  <c r="L1490" i="1"/>
  <c r="K1490" i="1"/>
  <c r="Q1489" i="1"/>
  <c r="P1489" i="1"/>
  <c r="O1489" i="1"/>
  <c r="N1489" i="1"/>
  <c r="M1489" i="1"/>
  <c r="L1489" i="1"/>
  <c r="K1489" i="1"/>
  <c r="Q1488" i="1"/>
  <c r="P1488" i="1"/>
  <c r="O1488" i="1"/>
  <c r="N1488" i="1"/>
  <c r="M1488" i="1"/>
  <c r="L1488" i="1"/>
  <c r="K1488" i="1"/>
  <c r="Q1487" i="1"/>
  <c r="P1487" i="1"/>
  <c r="O1487" i="1"/>
  <c r="N1487" i="1"/>
  <c r="M1487" i="1"/>
  <c r="L1487" i="1"/>
  <c r="K1487" i="1"/>
  <c r="Q1486" i="1"/>
  <c r="P1486" i="1"/>
  <c r="O1486" i="1"/>
  <c r="N1486" i="1"/>
  <c r="M1486" i="1"/>
  <c r="L1486" i="1"/>
  <c r="K1486" i="1"/>
  <c r="Q1485" i="1"/>
  <c r="P1485" i="1"/>
  <c r="O1485" i="1"/>
  <c r="N1485" i="1"/>
  <c r="M1485" i="1"/>
  <c r="L1485" i="1"/>
  <c r="K1485" i="1"/>
  <c r="Q1484" i="1"/>
  <c r="P1484" i="1"/>
  <c r="O1484" i="1"/>
  <c r="N1484" i="1"/>
  <c r="M1484" i="1"/>
  <c r="L1484" i="1"/>
  <c r="K1484" i="1"/>
  <c r="Q1483" i="1"/>
  <c r="P1483" i="1"/>
  <c r="O1483" i="1"/>
  <c r="N1483" i="1"/>
  <c r="M1483" i="1"/>
  <c r="L1483" i="1"/>
  <c r="K1483" i="1"/>
  <c r="Q1482" i="1"/>
  <c r="P1482" i="1"/>
  <c r="O1482" i="1"/>
  <c r="N1482" i="1"/>
  <c r="M1482" i="1"/>
  <c r="L1482" i="1"/>
  <c r="K1482" i="1"/>
  <c r="Q1481" i="1"/>
  <c r="P1481" i="1"/>
  <c r="O1481" i="1"/>
  <c r="N1481" i="1"/>
  <c r="M1481" i="1"/>
  <c r="L1481" i="1"/>
  <c r="K1481" i="1"/>
  <c r="Q1480" i="1"/>
  <c r="P1480" i="1"/>
  <c r="O1480" i="1"/>
  <c r="N1480" i="1"/>
  <c r="M1480" i="1"/>
  <c r="L1480" i="1"/>
  <c r="K1480" i="1"/>
  <c r="Q1479" i="1"/>
  <c r="P1479" i="1"/>
  <c r="O1479" i="1"/>
  <c r="N1479" i="1"/>
  <c r="M1479" i="1"/>
  <c r="L1479" i="1"/>
  <c r="K1479" i="1"/>
  <c r="Q1478" i="1"/>
  <c r="P1478" i="1"/>
  <c r="O1478" i="1"/>
  <c r="N1478" i="1"/>
  <c r="M1478" i="1"/>
  <c r="L1478" i="1"/>
  <c r="K1478" i="1"/>
  <c r="Q1477" i="1"/>
  <c r="P1477" i="1"/>
  <c r="O1477" i="1"/>
  <c r="N1477" i="1"/>
  <c r="M1477" i="1"/>
  <c r="L1477" i="1"/>
  <c r="K1477" i="1"/>
  <c r="Q1476" i="1"/>
  <c r="P1476" i="1"/>
  <c r="O1476" i="1"/>
  <c r="N1476" i="1"/>
  <c r="M1476" i="1"/>
  <c r="L1476" i="1"/>
  <c r="K1476" i="1"/>
  <c r="Q1475" i="1"/>
  <c r="P1475" i="1"/>
  <c r="O1475" i="1"/>
  <c r="N1475" i="1"/>
  <c r="M1475" i="1"/>
  <c r="L1475" i="1"/>
  <c r="K1475" i="1"/>
  <c r="Q1474" i="1"/>
  <c r="P1474" i="1"/>
  <c r="O1474" i="1"/>
  <c r="N1474" i="1"/>
  <c r="M1474" i="1"/>
  <c r="L1474" i="1"/>
  <c r="K1474" i="1"/>
  <c r="Q1473" i="1"/>
  <c r="P1473" i="1"/>
  <c r="O1473" i="1"/>
  <c r="N1473" i="1"/>
  <c r="M1473" i="1"/>
  <c r="L1473" i="1"/>
  <c r="K1473" i="1"/>
  <c r="Q1472" i="1"/>
  <c r="P1472" i="1"/>
  <c r="O1472" i="1"/>
  <c r="N1472" i="1"/>
  <c r="M1472" i="1"/>
  <c r="L1472" i="1"/>
  <c r="K1472" i="1"/>
  <c r="Q1471" i="1"/>
  <c r="P1471" i="1"/>
  <c r="O1471" i="1"/>
  <c r="N1471" i="1"/>
  <c r="M1471" i="1"/>
  <c r="L1471" i="1"/>
  <c r="K1471" i="1"/>
  <c r="Q1470" i="1"/>
  <c r="P1470" i="1"/>
  <c r="O1470" i="1"/>
  <c r="N1470" i="1"/>
  <c r="M1470" i="1"/>
  <c r="L1470" i="1"/>
  <c r="K1470" i="1"/>
  <c r="Q1469" i="1"/>
  <c r="P1469" i="1"/>
  <c r="O1469" i="1"/>
  <c r="N1469" i="1"/>
  <c r="M1469" i="1"/>
  <c r="L1469" i="1"/>
  <c r="K1469" i="1"/>
  <c r="Q1468" i="1"/>
  <c r="P1468" i="1"/>
  <c r="O1468" i="1"/>
  <c r="N1468" i="1"/>
  <c r="M1468" i="1"/>
  <c r="L1468" i="1"/>
  <c r="K1468" i="1"/>
  <c r="Q1467" i="1"/>
  <c r="P1467" i="1"/>
  <c r="O1467" i="1"/>
  <c r="N1467" i="1"/>
  <c r="M1467" i="1"/>
  <c r="L1467" i="1"/>
  <c r="K1467" i="1"/>
  <c r="Q1466" i="1"/>
  <c r="P1466" i="1"/>
  <c r="O1466" i="1"/>
  <c r="N1466" i="1"/>
  <c r="M1466" i="1"/>
  <c r="L1466" i="1"/>
  <c r="K1466" i="1"/>
  <c r="Q1465" i="1"/>
  <c r="P1465" i="1"/>
  <c r="O1465" i="1"/>
  <c r="N1465" i="1"/>
  <c r="M1465" i="1"/>
  <c r="L1465" i="1"/>
  <c r="K1465" i="1"/>
  <c r="Q1464" i="1"/>
  <c r="P1464" i="1"/>
  <c r="O1464" i="1"/>
  <c r="N1464" i="1"/>
  <c r="M1464" i="1"/>
  <c r="L1464" i="1"/>
  <c r="K1464" i="1"/>
  <c r="Q1463" i="1"/>
  <c r="P1463" i="1"/>
  <c r="O1463" i="1"/>
  <c r="N1463" i="1"/>
  <c r="M1463" i="1"/>
  <c r="L1463" i="1"/>
  <c r="K1463" i="1"/>
  <c r="Q1462" i="1"/>
  <c r="P1462" i="1"/>
  <c r="O1462" i="1"/>
  <c r="N1462" i="1"/>
  <c r="M1462" i="1"/>
  <c r="L1462" i="1"/>
  <c r="K1462" i="1"/>
  <c r="Q1461" i="1"/>
  <c r="P1461" i="1"/>
  <c r="O1461" i="1"/>
  <c r="N1461" i="1"/>
  <c r="M1461" i="1"/>
  <c r="L1461" i="1"/>
  <c r="K1461" i="1"/>
  <c r="Q1460" i="1"/>
  <c r="P1460" i="1"/>
  <c r="O1460" i="1"/>
  <c r="N1460" i="1"/>
  <c r="M1460" i="1"/>
  <c r="L1460" i="1"/>
  <c r="K1460" i="1"/>
  <c r="Q1459" i="1"/>
  <c r="P1459" i="1"/>
  <c r="O1459" i="1"/>
  <c r="N1459" i="1"/>
  <c r="M1459" i="1"/>
  <c r="L1459" i="1"/>
  <c r="K1459" i="1"/>
  <c r="Q1458" i="1"/>
  <c r="P1458" i="1"/>
  <c r="O1458" i="1"/>
  <c r="N1458" i="1"/>
  <c r="M1458" i="1"/>
  <c r="L1458" i="1"/>
  <c r="K1458" i="1"/>
  <c r="Q1457" i="1"/>
  <c r="P1457" i="1"/>
  <c r="O1457" i="1"/>
  <c r="N1457" i="1"/>
  <c r="M1457" i="1"/>
  <c r="L1457" i="1"/>
  <c r="K1457" i="1"/>
  <c r="Q1456" i="1"/>
  <c r="P1456" i="1"/>
  <c r="O1456" i="1"/>
  <c r="N1456" i="1"/>
  <c r="M1456" i="1"/>
  <c r="L1456" i="1"/>
  <c r="K1456" i="1"/>
  <c r="Q1455" i="1"/>
  <c r="P1455" i="1"/>
  <c r="O1455" i="1"/>
  <c r="N1455" i="1"/>
  <c r="M1455" i="1"/>
  <c r="L1455" i="1"/>
  <c r="K1455" i="1"/>
  <c r="Q1454" i="1"/>
  <c r="P1454" i="1"/>
  <c r="O1454" i="1"/>
  <c r="N1454" i="1"/>
  <c r="M1454" i="1"/>
  <c r="L1454" i="1"/>
  <c r="K1454" i="1"/>
  <c r="Q1453" i="1"/>
  <c r="P1453" i="1"/>
  <c r="O1453" i="1"/>
  <c r="N1453" i="1"/>
  <c r="M1453" i="1"/>
  <c r="L1453" i="1"/>
  <c r="K1453" i="1"/>
  <c r="Q1452" i="1"/>
  <c r="P1452" i="1"/>
  <c r="O1452" i="1"/>
  <c r="N1452" i="1"/>
  <c r="M1452" i="1"/>
  <c r="L1452" i="1"/>
  <c r="K1452" i="1"/>
  <c r="Q1451" i="1"/>
  <c r="P1451" i="1"/>
  <c r="O1451" i="1"/>
  <c r="N1451" i="1"/>
  <c r="M1451" i="1"/>
  <c r="L1451" i="1"/>
  <c r="K1451" i="1"/>
  <c r="Q1450" i="1"/>
  <c r="P1450" i="1"/>
  <c r="O1450" i="1"/>
  <c r="N1450" i="1"/>
  <c r="M1450" i="1"/>
  <c r="L1450" i="1"/>
  <c r="K1450" i="1"/>
  <c r="Q1449" i="1"/>
  <c r="P1449" i="1"/>
  <c r="O1449" i="1"/>
  <c r="N1449" i="1"/>
  <c r="M1449" i="1"/>
  <c r="L1449" i="1"/>
  <c r="K1449" i="1"/>
  <c r="Q1448" i="1"/>
  <c r="P1448" i="1"/>
  <c r="O1448" i="1"/>
  <c r="N1448" i="1"/>
  <c r="M1448" i="1"/>
  <c r="L1448" i="1"/>
  <c r="K1448" i="1"/>
  <c r="Q1447" i="1"/>
  <c r="P1447" i="1"/>
  <c r="O1447" i="1"/>
  <c r="N1447" i="1"/>
  <c r="M1447" i="1"/>
  <c r="L1447" i="1"/>
  <c r="K1447" i="1"/>
  <c r="Q1446" i="1"/>
  <c r="P1446" i="1"/>
  <c r="O1446" i="1"/>
  <c r="N1446" i="1"/>
  <c r="M1446" i="1"/>
  <c r="L1446" i="1"/>
  <c r="K1446" i="1"/>
  <c r="Q1445" i="1"/>
  <c r="P1445" i="1"/>
  <c r="O1445" i="1"/>
  <c r="N1445" i="1"/>
  <c r="M1445" i="1"/>
  <c r="L1445" i="1"/>
  <c r="K1445" i="1"/>
  <c r="Q1444" i="1"/>
  <c r="P1444" i="1"/>
  <c r="O1444" i="1"/>
  <c r="N1444" i="1"/>
  <c r="M1444" i="1"/>
  <c r="L1444" i="1"/>
  <c r="K1444" i="1"/>
  <c r="Q1443" i="1"/>
  <c r="P1443" i="1"/>
  <c r="O1443" i="1"/>
  <c r="N1443" i="1"/>
  <c r="M1443" i="1"/>
  <c r="L1443" i="1"/>
  <c r="K1443" i="1"/>
  <c r="Q1442" i="1"/>
  <c r="P1442" i="1"/>
  <c r="O1442" i="1"/>
  <c r="N1442" i="1"/>
  <c r="M1442" i="1"/>
  <c r="L1442" i="1"/>
  <c r="K1442" i="1"/>
  <c r="Q1441" i="1"/>
  <c r="P1441" i="1"/>
  <c r="O1441" i="1"/>
  <c r="N1441" i="1"/>
  <c r="M1441" i="1"/>
  <c r="L1441" i="1"/>
  <c r="K1441" i="1"/>
  <c r="Q1440" i="1"/>
  <c r="P1440" i="1"/>
  <c r="O1440" i="1"/>
  <c r="N1440" i="1"/>
  <c r="M1440" i="1"/>
  <c r="L1440" i="1"/>
  <c r="K1440" i="1"/>
  <c r="Q1439" i="1"/>
  <c r="P1439" i="1"/>
  <c r="O1439" i="1"/>
  <c r="N1439" i="1"/>
  <c r="M1439" i="1"/>
  <c r="L1439" i="1"/>
  <c r="K1439" i="1"/>
  <c r="Q1438" i="1"/>
  <c r="P1438" i="1"/>
  <c r="O1438" i="1"/>
  <c r="N1438" i="1"/>
  <c r="M1438" i="1"/>
  <c r="L1438" i="1"/>
  <c r="K1438" i="1"/>
  <c r="Q1437" i="1"/>
  <c r="P1437" i="1"/>
  <c r="O1437" i="1"/>
  <c r="N1437" i="1"/>
  <c r="M1437" i="1"/>
  <c r="L1437" i="1"/>
  <c r="K1437" i="1"/>
  <c r="Q1436" i="1"/>
  <c r="P1436" i="1"/>
  <c r="O1436" i="1"/>
  <c r="N1436" i="1"/>
  <c r="M1436" i="1"/>
  <c r="L1436" i="1"/>
  <c r="K1436" i="1"/>
  <c r="Q1435" i="1"/>
  <c r="P1435" i="1"/>
  <c r="O1435" i="1"/>
  <c r="N1435" i="1"/>
  <c r="M1435" i="1"/>
  <c r="L1435" i="1"/>
  <c r="K1435" i="1"/>
  <c r="Q1434" i="1"/>
  <c r="P1434" i="1"/>
  <c r="O1434" i="1"/>
  <c r="N1434" i="1"/>
  <c r="M1434" i="1"/>
  <c r="L1434" i="1"/>
  <c r="K1434" i="1"/>
  <c r="Q1433" i="1"/>
  <c r="P1433" i="1"/>
  <c r="O1433" i="1"/>
  <c r="N1433" i="1"/>
  <c r="M1433" i="1"/>
  <c r="L1433" i="1"/>
  <c r="K1433" i="1"/>
  <c r="Q1432" i="1"/>
  <c r="P1432" i="1"/>
  <c r="O1432" i="1"/>
  <c r="N1432" i="1"/>
  <c r="M1432" i="1"/>
  <c r="L1432" i="1"/>
  <c r="K1432" i="1"/>
  <c r="Q1431" i="1"/>
  <c r="P1431" i="1"/>
  <c r="O1431" i="1"/>
  <c r="N1431" i="1"/>
  <c r="M1431" i="1"/>
  <c r="L1431" i="1"/>
  <c r="K1431" i="1"/>
  <c r="Q1430" i="1"/>
  <c r="P1430" i="1"/>
  <c r="O1430" i="1"/>
  <c r="N1430" i="1"/>
  <c r="M1430" i="1"/>
  <c r="L1430" i="1"/>
  <c r="K1430" i="1"/>
  <c r="Q1429" i="1"/>
  <c r="P1429" i="1"/>
  <c r="O1429" i="1"/>
  <c r="N1429" i="1"/>
  <c r="M1429" i="1"/>
  <c r="L1429" i="1"/>
  <c r="K1429" i="1"/>
  <c r="Q1428" i="1"/>
  <c r="P1428" i="1"/>
  <c r="O1428" i="1"/>
  <c r="N1428" i="1"/>
  <c r="M1428" i="1"/>
  <c r="L1428" i="1"/>
  <c r="K1428" i="1"/>
  <c r="Q1427" i="1"/>
  <c r="P1427" i="1"/>
  <c r="O1427" i="1"/>
  <c r="N1427" i="1"/>
  <c r="M1427" i="1"/>
  <c r="L1427" i="1"/>
  <c r="K1427" i="1"/>
  <c r="Q1426" i="1"/>
  <c r="P1426" i="1"/>
  <c r="O1426" i="1"/>
  <c r="N1426" i="1"/>
  <c r="M1426" i="1"/>
  <c r="L1426" i="1"/>
  <c r="K1426" i="1"/>
  <c r="Q1425" i="1"/>
  <c r="P1425" i="1"/>
  <c r="O1425" i="1"/>
  <c r="N1425" i="1"/>
  <c r="M1425" i="1"/>
  <c r="L1425" i="1"/>
  <c r="K1425" i="1"/>
  <c r="Q1424" i="1"/>
  <c r="P1424" i="1"/>
  <c r="O1424" i="1"/>
  <c r="N1424" i="1"/>
  <c r="M1424" i="1"/>
  <c r="L1424" i="1"/>
  <c r="K1424" i="1"/>
  <c r="Q1423" i="1"/>
  <c r="P1423" i="1"/>
  <c r="O1423" i="1"/>
  <c r="N1423" i="1"/>
  <c r="M1423" i="1"/>
  <c r="L1423" i="1"/>
  <c r="K1423" i="1"/>
  <c r="Q1422" i="1"/>
  <c r="P1422" i="1"/>
  <c r="O1422" i="1"/>
  <c r="N1422" i="1"/>
  <c r="M1422" i="1"/>
  <c r="L1422" i="1"/>
  <c r="K1422" i="1"/>
  <c r="Q1421" i="1"/>
  <c r="P1421" i="1"/>
  <c r="O1421" i="1"/>
  <c r="N1421" i="1"/>
  <c r="M1421" i="1"/>
  <c r="L1421" i="1"/>
  <c r="K1421" i="1"/>
  <c r="Q1420" i="1"/>
  <c r="P1420" i="1"/>
  <c r="O1420" i="1"/>
  <c r="N1420" i="1"/>
  <c r="M1420" i="1"/>
  <c r="L1420" i="1"/>
  <c r="K1420" i="1"/>
  <c r="Q1419" i="1"/>
  <c r="P1419" i="1"/>
  <c r="O1419" i="1"/>
  <c r="N1419" i="1"/>
  <c r="M1419" i="1"/>
  <c r="L1419" i="1"/>
  <c r="K1419" i="1"/>
  <c r="Q1418" i="1"/>
  <c r="P1418" i="1"/>
  <c r="O1418" i="1"/>
  <c r="N1418" i="1"/>
  <c r="M1418" i="1"/>
  <c r="L1418" i="1"/>
  <c r="K1418" i="1"/>
  <c r="Q1417" i="1"/>
  <c r="P1417" i="1"/>
  <c r="O1417" i="1"/>
  <c r="N1417" i="1"/>
  <c r="M1417" i="1"/>
  <c r="L1417" i="1"/>
  <c r="K1417" i="1"/>
  <c r="Q1416" i="1"/>
  <c r="P1416" i="1"/>
  <c r="O1416" i="1"/>
  <c r="N1416" i="1"/>
  <c r="M1416" i="1"/>
  <c r="L1416" i="1"/>
  <c r="K1416" i="1"/>
  <c r="Q1415" i="1"/>
  <c r="P1415" i="1"/>
  <c r="O1415" i="1"/>
  <c r="N1415" i="1"/>
  <c r="M1415" i="1"/>
  <c r="L1415" i="1"/>
  <c r="K1415" i="1"/>
  <c r="Q1414" i="1"/>
  <c r="P1414" i="1"/>
  <c r="O1414" i="1"/>
  <c r="N1414" i="1"/>
  <c r="M1414" i="1"/>
  <c r="L1414" i="1"/>
  <c r="K1414" i="1"/>
  <c r="Q1413" i="1"/>
  <c r="P1413" i="1"/>
  <c r="O1413" i="1"/>
  <c r="N1413" i="1"/>
  <c r="M1413" i="1"/>
  <c r="L1413" i="1"/>
  <c r="K1413" i="1"/>
  <c r="Q1412" i="1"/>
  <c r="P1412" i="1"/>
  <c r="O1412" i="1"/>
  <c r="N1412" i="1"/>
  <c r="M1412" i="1"/>
  <c r="L1412" i="1"/>
  <c r="K1412" i="1"/>
  <c r="Q1411" i="1"/>
  <c r="P1411" i="1"/>
  <c r="O1411" i="1"/>
  <c r="N1411" i="1"/>
  <c r="M1411" i="1"/>
  <c r="L1411" i="1"/>
  <c r="K1411" i="1"/>
  <c r="Q1410" i="1"/>
  <c r="P1410" i="1"/>
  <c r="O1410" i="1"/>
  <c r="N1410" i="1"/>
  <c r="M1410" i="1"/>
  <c r="L1410" i="1"/>
  <c r="K1410" i="1"/>
  <c r="Q1409" i="1"/>
  <c r="P1409" i="1"/>
  <c r="O1409" i="1"/>
  <c r="N1409" i="1"/>
  <c r="M1409" i="1"/>
  <c r="L1409" i="1"/>
  <c r="K1409" i="1"/>
  <c r="Q1408" i="1"/>
  <c r="P1408" i="1"/>
  <c r="O1408" i="1"/>
  <c r="N1408" i="1"/>
  <c r="M1408" i="1"/>
  <c r="L1408" i="1"/>
  <c r="K1408" i="1"/>
  <c r="Q1407" i="1"/>
  <c r="P1407" i="1"/>
  <c r="O1407" i="1"/>
  <c r="N1407" i="1"/>
  <c r="M1407" i="1"/>
  <c r="L1407" i="1"/>
  <c r="K1407" i="1"/>
  <c r="Q1406" i="1"/>
  <c r="P1406" i="1"/>
  <c r="O1406" i="1"/>
  <c r="N1406" i="1"/>
  <c r="M1406" i="1"/>
  <c r="L1406" i="1"/>
  <c r="K1406" i="1"/>
  <c r="Q1405" i="1"/>
  <c r="P1405" i="1"/>
  <c r="O1405" i="1"/>
  <c r="N1405" i="1"/>
  <c r="M1405" i="1"/>
  <c r="L1405" i="1"/>
  <c r="K1405" i="1"/>
  <c r="Q1404" i="1"/>
  <c r="P1404" i="1"/>
  <c r="O1404" i="1"/>
  <c r="N1404" i="1"/>
  <c r="M1404" i="1"/>
  <c r="L1404" i="1"/>
  <c r="K1404" i="1"/>
  <c r="Q1403" i="1"/>
  <c r="P1403" i="1"/>
  <c r="O1403" i="1"/>
  <c r="N1403" i="1"/>
  <c r="M1403" i="1"/>
  <c r="L1403" i="1"/>
  <c r="K1403" i="1"/>
  <c r="Q1402" i="1"/>
  <c r="P1402" i="1"/>
  <c r="O1402" i="1"/>
  <c r="N1402" i="1"/>
  <c r="M1402" i="1"/>
  <c r="L1402" i="1"/>
  <c r="K1402" i="1"/>
  <c r="Q1401" i="1"/>
  <c r="P1401" i="1"/>
  <c r="O1401" i="1"/>
  <c r="N1401" i="1"/>
  <c r="M1401" i="1"/>
  <c r="L1401" i="1"/>
  <c r="K1401" i="1"/>
  <c r="Q1400" i="1"/>
  <c r="P1400" i="1"/>
  <c r="O1400" i="1"/>
  <c r="N1400" i="1"/>
  <c r="M1400" i="1"/>
  <c r="L1400" i="1"/>
  <c r="K1400" i="1"/>
  <c r="Q1399" i="1"/>
  <c r="P1399" i="1"/>
  <c r="O1399" i="1"/>
  <c r="N1399" i="1"/>
  <c r="M1399" i="1"/>
  <c r="L1399" i="1"/>
  <c r="K1399" i="1"/>
  <c r="Q1398" i="1"/>
  <c r="P1398" i="1"/>
  <c r="O1398" i="1"/>
  <c r="N1398" i="1"/>
  <c r="M1398" i="1"/>
  <c r="L1398" i="1"/>
  <c r="K1398" i="1"/>
  <c r="Q1397" i="1"/>
  <c r="P1397" i="1"/>
  <c r="O1397" i="1"/>
  <c r="N1397" i="1"/>
  <c r="M1397" i="1"/>
  <c r="L1397" i="1"/>
  <c r="K1397" i="1"/>
  <c r="Q1396" i="1"/>
  <c r="P1396" i="1"/>
  <c r="O1396" i="1"/>
  <c r="N1396" i="1"/>
  <c r="M1396" i="1"/>
  <c r="L1396" i="1"/>
  <c r="K1396" i="1"/>
  <c r="Q1395" i="1"/>
  <c r="P1395" i="1"/>
  <c r="O1395" i="1"/>
  <c r="N1395" i="1"/>
  <c r="M1395" i="1"/>
  <c r="L1395" i="1"/>
  <c r="K1395" i="1"/>
  <c r="Q1394" i="1"/>
  <c r="P1394" i="1"/>
  <c r="O1394" i="1"/>
  <c r="N1394" i="1"/>
  <c r="M1394" i="1"/>
  <c r="L1394" i="1"/>
  <c r="K1394" i="1"/>
  <c r="Q1393" i="1"/>
  <c r="P1393" i="1"/>
  <c r="O1393" i="1"/>
  <c r="N1393" i="1"/>
  <c r="M1393" i="1"/>
  <c r="L1393" i="1"/>
  <c r="K1393" i="1"/>
  <c r="Q1392" i="1"/>
  <c r="P1392" i="1"/>
  <c r="O1392" i="1"/>
  <c r="N1392" i="1"/>
  <c r="M1392" i="1"/>
  <c r="L1392" i="1"/>
  <c r="K1392" i="1"/>
  <c r="Q1391" i="1"/>
  <c r="P1391" i="1"/>
  <c r="O1391" i="1"/>
  <c r="N1391" i="1"/>
  <c r="M1391" i="1"/>
  <c r="L1391" i="1"/>
  <c r="K1391" i="1"/>
  <c r="Q1390" i="1"/>
  <c r="P1390" i="1"/>
  <c r="O1390" i="1"/>
  <c r="N1390" i="1"/>
  <c r="M1390" i="1"/>
  <c r="L1390" i="1"/>
  <c r="K1390" i="1"/>
  <c r="Q1389" i="1"/>
  <c r="P1389" i="1"/>
  <c r="O1389" i="1"/>
  <c r="N1389" i="1"/>
  <c r="M1389" i="1"/>
  <c r="L1389" i="1"/>
  <c r="K1389" i="1"/>
  <c r="Q1388" i="1"/>
  <c r="P1388" i="1"/>
  <c r="O1388" i="1"/>
  <c r="N1388" i="1"/>
  <c r="M1388" i="1"/>
  <c r="L1388" i="1"/>
  <c r="K1388" i="1"/>
  <c r="Q1387" i="1"/>
  <c r="P1387" i="1"/>
  <c r="O1387" i="1"/>
  <c r="N1387" i="1"/>
  <c r="M1387" i="1"/>
  <c r="L1387" i="1"/>
  <c r="K1387" i="1"/>
  <c r="Q1386" i="1"/>
  <c r="P1386" i="1"/>
  <c r="O1386" i="1"/>
  <c r="N1386" i="1"/>
  <c r="M1386" i="1"/>
  <c r="L1386" i="1"/>
  <c r="K1386" i="1"/>
  <c r="Q1385" i="1"/>
  <c r="P1385" i="1"/>
  <c r="O1385" i="1"/>
  <c r="N1385" i="1"/>
  <c r="M1385" i="1"/>
  <c r="L1385" i="1"/>
  <c r="K1385" i="1"/>
  <c r="Q1384" i="1"/>
  <c r="P1384" i="1"/>
  <c r="O1384" i="1"/>
  <c r="N1384" i="1"/>
  <c r="M1384" i="1"/>
  <c r="L1384" i="1"/>
  <c r="K1384" i="1"/>
  <c r="Q1383" i="1"/>
  <c r="P1383" i="1"/>
  <c r="O1383" i="1"/>
  <c r="N1383" i="1"/>
  <c r="M1383" i="1"/>
  <c r="L1383" i="1"/>
  <c r="K1383" i="1"/>
  <c r="Q1382" i="1"/>
  <c r="P1382" i="1"/>
  <c r="O1382" i="1"/>
  <c r="N1382" i="1"/>
  <c r="M1382" i="1"/>
  <c r="L1382" i="1"/>
  <c r="K1382" i="1"/>
  <c r="Q1381" i="1"/>
  <c r="P1381" i="1"/>
  <c r="O1381" i="1"/>
  <c r="N1381" i="1"/>
  <c r="M1381" i="1"/>
  <c r="L1381" i="1"/>
  <c r="K1381" i="1"/>
  <c r="Q1380" i="1"/>
  <c r="P1380" i="1"/>
  <c r="O1380" i="1"/>
  <c r="N1380" i="1"/>
  <c r="M1380" i="1"/>
  <c r="L1380" i="1"/>
  <c r="K1380" i="1"/>
  <c r="Q1379" i="1"/>
  <c r="P1379" i="1"/>
  <c r="O1379" i="1"/>
  <c r="N1379" i="1"/>
  <c r="M1379" i="1"/>
  <c r="L1379" i="1"/>
  <c r="K1379" i="1"/>
  <c r="Q1378" i="1"/>
  <c r="P1378" i="1"/>
  <c r="O1378" i="1"/>
  <c r="N1378" i="1"/>
  <c r="M1378" i="1"/>
  <c r="L1378" i="1"/>
  <c r="K1378" i="1"/>
  <c r="Q1377" i="1"/>
  <c r="P1377" i="1"/>
  <c r="O1377" i="1"/>
  <c r="N1377" i="1"/>
  <c r="M1377" i="1"/>
  <c r="L1377" i="1"/>
  <c r="K1377" i="1"/>
  <c r="Q1376" i="1"/>
  <c r="P1376" i="1"/>
  <c r="O1376" i="1"/>
  <c r="N1376" i="1"/>
  <c r="M1376" i="1"/>
  <c r="L1376" i="1"/>
  <c r="K1376" i="1"/>
  <c r="Q1375" i="1"/>
  <c r="P1375" i="1"/>
  <c r="O1375" i="1"/>
  <c r="N1375" i="1"/>
  <c r="M1375" i="1"/>
  <c r="L1375" i="1"/>
  <c r="K1375" i="1"/>
  <c r="Q1374" i="1"/>
  <c r="P1374" i="1"/>
  <c r="O1374" i="1"/>
  <c r="N1374" i="1"/>
  <c r="M1374" i="1"/>
  <c r="L1374" i="1"/>
  <c r="K1374" i="1"/>
  <c r="Q1373" i="1"/>
  <c r="P1373" i="1"/>
  <c r="O1373" i="1"/>
  <c r="N1373" i="1"/>
  <c r="M1373" i="1"/>
  <c r="L1373" i="1"/>
  <c r="K1373" i="1"/>
  <c r="Q1372" i="1"/>
  <c r="P1372" i="1"/>
  <c r="O1372" i="1"/>
  <c r="N1372" i="1"/>
  <c r="M1372" i="1"/>
  <c r="L1372" i="1"/>
  <c r="K1372" i="1"/>
  <c r="Q1371" i="1"/>
  <c r="P1371" i="1"/>
  <c r="O1371" i="1"/>
  <c r="N1371" i="1"/>
  <c r="M1371" i="1"/>
  <c r="L1371" i="1"/>
  <c r="K1371" i="1"/>
  <c r="Q1370" i="1"/>
  <c r="P1370" i="1"/>
  <c r="O1370" i="1"/>
  <c r="N1370" i="1"/>
  <c r="M1370" i="1"/>
  <c r="L1370" i="1"/>
  <c r="K1370" i="1"/>
  <c r="Q1369" i="1"/>
  <c r="P1369" i="1"/>
  <c r="O1369" i="1"/>
  <c r="N1369" i="1"/>
  <c r="M1369" i="1"/>
  <c r="L1369" i="1"/>
  <c r="K1369" i="1"/>
  <c r="Q1368" i="1"/>
  <c r="P1368" i="1"/>
  <c r="O1368" i="1"/>
  <c r="N1368" i="1"/>
  <c r="M1368" i="1"/>
  <c r="L1368" i="1"/>
  <c r="K1368" i="1"/>
  <c r="Q1367" i="1"/>
  <c r="P1367" i="1"/>
  <c r="O1367" i="1"/>
  <c r="N1367" i="1"/>
  <c r="M1367" i="1"/>
  <c r="L1367" i="1"/>
  <c r="K1367" i="1"/>
  <c r="Q1366" i="1"/>
  <c r="P1366" i="1"/>
  <c r="O1366" i="1"/>
  <c r="N1366" i="1"/>
  <c r="M1366" i="1"/>
  <c r="L1366" i="1"/>
  <c r="K1366" i="1"/>
  <c r="Q1365" i="1"/>
  <c r="P1365" i="1"/>
  <c r="O1365" i="1"/>
  <c r="N1365" i="1"/>
  <c r="M1365" i="1"/>
  <c r="L1365" i="1"/>
  <c r="K1365" i="1"/>
  <c r="Q1364" i="1"/>
  <c r="P1364" i="1"/>
  <c r="O1364" i="1"/>
  <c r="N1364" i="1"/>
  <c r="M1364" i="1"/>
  <c r="L1364" i="1"/>
  <c r="K1364" i="1"/>
  <c r="Q1363" i="1"/>
  <c r="P1363" i="1"/>
  <c r="O1363" i="1"/>
  <c r="N1363" i="1"/>
  <c r="M1363" i="1"/>
  <c r="L1363" i="1"/>
  <c r="K1363" i="1"/>
  <c r="Q1362" i="1"/>
  <c r="P1362" i="1"/>
  <c r="O1362" i="1"/>
  <c r="N1362" i="1"/>
  <c r="M1362" i="1"/>
  <c r="L1362" i="1"/>
  <c r="K1362" i="1"/>
  <c r="Q1361" i="1"/>
  <c r="P1361" i="1"/>
  <c r="O1361" i="1"/>
  <c r="N1361" i="1"/>
  <c r="M1361" i="1"/>
  <c r="L1361" i="1"/>
  <c r="K1361" i="1"/>
  <c r="Q1360" i="1"/>
  <c r="P1360" i="1"/>
  <c r="O1360" i="1"/>
  <c r="N1360" i="1"/>
  <c r="M1360" i="1"/>
  <c r="L1360" i="1"/>
  <c r="K1360" i="1"/>
  <c r="Q1359" i="1"/>
  <c r="P1359" i="1"/>
  <c r="O1359" i="1"/>
  <c r="N1359" i="1"/>
  <c r="M1359" i="1"/>
  <c r="L1359" i="1"/>
  <c r="K1359" i="1"/>
  <c r="Q1358" i="1"/>
  <c r="P1358" i="1"/>
  <c r="O1358" i="1"/>
  <c r="N1358" i="1"/>
  <c r="M1358" i="1"/>
  <c r="L1358" i="1"/>
  <c r="K1358" i="1"/>
  <c r="Q1357" i="1"/>
  <c r="P1357" i="1"/>
  <c r="O1357" i="1"/>
  <c r="N1357" i="1"/>
  <c r="M1357" i="1"/>
  <c r="L1357" i="1"/>
  <c r="K1357" i="1"/>
  <c r="Q1356" i="1"/>
  <c r="P1356" i="1"/>
  <c r="O1356" i="1"/>
  <c r="N1356" i="1"/>
  <c r="M1356" i="1"/>
  <c r="L1356" i="1"/>
  <c r="K1356" i="1"/>
  <c r="Q1355" i="1"/>
  <c r="P1355" i="1"/>
  <c r="O1355" i="1"/>
  <c r="N1355" i="1"/>
  <c r="M1355" i="1"/>
  <c r="L1355" i="1"/>
  <c r="K1355" i="1"/>
  <c r="Q1354" i="1"/>
  <c r="P1354" i="1"/>
  <c r="O1354" i="1"/>
  <c r="N1354" i="1"/>
  <c r="M1354" i="1"/>
  <c r="L1354" i="1"/>
  <c r="K1354" i="1"/>
  <c r="Q1353" i="1"/>
  <c r="P1353" i="1"/>
  <c r="O1353" i="1"/>
  <c r="N1353" i="1"/>
  <c r="M1353" i="1"/>
  <c r="L1353" i="1"/>
  <c r="K1353" i="1"/>
  <c r="Q1352" i="1"/>
  <c r="P1352" i="1"/>
  <c r="O1352" i="1"/>
  <c r="N1352" i="1"/>
  <c r="M1352" i="1"/>
  <c r="L1352" i="1"/>
  <c r="K1352" i="1"/>
  <c r="Q1351" i="1"/>
  <c r="P1351" i="1"/>
  <c r="O1351" i="1"/>
  <c r="N1351" i="1"/>
  <c r="M1351" i="1"/>
  <c r="L1351" i="1"/>
  <c r="K1351" i="1"/>
  <c r="Q1350" i="1"/>
  <c r="P1350" i="1"/>
  <c r="O1350" i="1"/>
  <c r="N1350" i="1"/>
  <c r="M1350" i="1"/>
  <c r="L1350" i="1"/>
  <c r="K1350" i="1"/>
  <c r="Q1349" i="1"/>
  <c r="P1349" i="1"/>
  <c r="O1349" i="1"/>
  <c r="N1349" i="1"/>
  <c r="M1349" i="1"/>
  <c r="L1349" i="1"/>
  <c r="K1349" i="1"/>
  <c r="Q1348" i="1"/>
  <c r="P1348" i="1"/>
  <c r="O1348" i="1"/>
  <c r="N1348" i="1"/>
  <c r="M1348" i="1"/>
  <c r="L1348" i="1"/>
  <c r="K1348" i="1"/>
  <c r="Q1347" i="1"/>
  <c r="P1347" i="1"/>
  <c r="O1347" i="1"/>
  <c r="N1347" i="1"/>
  <c r="M1347" i="1"/>
  <c r="L1347" i="1"/>
  <c r="K1347" i="1"/>
  <c r="Q1346" i="1"/>
  <c r="P1346" i="1"/>
  <c r="O1346" i="1"/>
  <c r="N1346" i="1"/>
  <c r="M1346" i="1"/>
  <c r="L1346" i="1"/>
  <c r="K1346" i="1"/>
  <c r="Q1345" i="1"/>
  <c r="P1345" i="1"/>
  <c r="O1345" i="1"/>
  <c r="N1345" i="1"/>
  <c r="M1345" i="1"/>
  <c r="L1345" i="1"/>
  <c r="K1345" i="1"/>
  <c r="Q1344" i="1"/>
  <c r="P1344" i="1"/>
  <c r="O1344" i="1"/>
  <c r="N1344" i="1"/>
  <c r="M1344" i="1"/>
  <c r="L1344" i="1"/>
  <c r="K1344" i="1"/>
  <c r="Q1343" i="1"/>
  <c r="P1343" i="1"/>
  <c r="O1343" i="1"/>
  <c r="N1343" i="1"/>
  <c r="M1343" i="1"/>
  <c r="L1343" i="1"/>
  <c r="K1343" i="1"/>
  <c r="Q1342" i="1"/>
  <c r="P1342" i="1"/>
  <c r="O1342" i="1"/>
  <c r="N1342" i="1"/>
  <c r="M1342" i="1"/>
  <c r="L1342" i="1"/>
  <c r="K1342" i="1"/>
  <c r="Q1341" i="1"/>
  <c r="P1341" i="1"/>
  <c r="O1341" i="1"/>
  <c r="N1341" i="1"/>
  <c r="M1341" i="1"/>
  <c r="L1341" i="1"/>
  <c r="K1341" i="1"/>
  <c r="Q1340" i="1"/>
  <c r="P1340" i="1"/>
  <c r="O1340" i="1"/>
  <c r="N1340" i="1"/>
  <c r="M1340" i="1"/>
  <c r="L1340" i="1"/>
  <c r="K1340" i="1"/>
  <c r="Q1339" i="1"/>
  <c r="P1339" i="1"/>
  <c r="O1339" i="1"/>
  <c r="N1339" i="1"/>
  <c r="M1339" i="1"/>
  <c r="L1339" i="1"/>
  <c r="K1339" i="1"/>
  <c r="Q1338" i="1"/>
  <c r="P1338" i="1"/>
  <c r="O1338" i="1"/>
  <c r="N1338" i="1"/>
  <c r="M1338" i="1"/>
  <c r="L1338" i="1"/>
  <c r="K1338" i="1"/>
  <c r="Q1337" i="1"/>
  <c r="P1337" i="1"/>
  <c r="O1337" i="1"/>
  <c r="N1337" i="1"/>
  <c r="M1337" i="1"/>
  <c r="L1337" i="1"/>
  <c r="K1337" i="1"/>
  <c r="Q1336" i="1"/>
  <c r="P1336" i="1"/>
  <c r="O1336" i="1"/>
  <c r="N1336" i="1"/>
  <c r="M1336" i="1"/>
  <c r="L1336" i="1"/>
  <c r="K1336" i="1"/>
  <c r="Q1335" i="1"/>
  <c r="P1335" i="1"/>
  <c r="O1335" i="1"/>
  <c r="N1335" i="1"/>
  <c r="M1335" i="1"/>
  <c r="L1335" i="1"/>
  <c r="K1335" i="1"/>
  <c r="Q1334" i="1"/>
  <c r="P1334" i="1"/>
  <c r="O1334" i="1"/>
  <c r="N1334" i="1"/>
  <c r="M1334" i="1"/>
  <c r="L1334" i="1"/>
  <c r="K1334" i="1"/>
  <c r="Q1333" i="1"/>
  <c r="P1333" i="1"/>
  <c r="O1333" i="1"/>
  <c r="N1333" i="1"/>
  <c r="M1333" i="1"/>
  <c r="L1333" i="1"/>
  <c r="K1333" i="1"/>
  <c r="Q1332" i="1"/>
  <c r="P1332" i="1"/>
  <c r="O1332" i="1"/>
  <c r="N1332" i="1"/>
  <c r="M1332" i="1"/>
  <c r="L1332" i="1"/>
  <c r="K1332" i="1"/>
  <c r="Q1331" i="1"/>
  <c r="P1331" i="1"/>
  <c r="O1331" i="1"/>
  <c r="N1331" i="1"/>
  <c r="M1331" i="1"/>
  <c r="L1331" i="1"/>
  <c r="K1331" i="1"/>
  <c r="Q1330" i="1"/>
  <c r="P1330" i="1"/>
  <c r="O1330" i="1"/>
  <c r="N1330" i="1"/>
  <c r="M1330" i="1"/>
  <c r="L1330" i="1"/>
  <c r="K1330" i="1"/>
  <c r="Q1329" i="1"/>
  <c r="P1329" i="1"/>
  <c r="O1329" i="1"/>
  <c r="N1329" i="1"/>
  <c r="M1329" i="1"/>
  <c r="L1329" i="1"/>
  <c r="K1329" i="1"/>
  <c r="Q1328" i="1"/>
  <c r="P1328" i="1"/>
  <c r="O1328" i="1"/>
  <c r="N1328" i="1"/>
  <c r="M1328" i="1"/>
  <c r="L1328" i="1"/>
  <c r="K1328" i="1"/>
  <c r="Q1327" i="1"/>
  <c r="P1327" i="1"/>
  <c r="O1327" i="1"/>
  <c r="N1327" i="1"/>
  <c r="M1327" i="1"/>
  <c r="L1327" i="1"/>
  <c r="K1327" i="1"/>
  <c r="Q1326" i="1"/>
  <c r="P1326" i="1"/>
  <c r="O1326" i="1"/>
  <c r="N1326" i="1"/>
  <c r="M1326" i="1"/>
  <c r="L1326" i="1"/>
  <c r="K1326" i="1"/>
  <c r="Q1325" i="1"/>
  <c r="P1325" i="1"/>
  <c r="O1325" i="1"/>
  <c r="N1325" i="1"/>
  <c r="M1325" i="1"/>
  <c r="L1325" i="1"/>
  <c r="K1325" i="1"/>
  <c r="Q1324" i="1"/>
  <c r="P1324" i="1"/>
  <c r="O1324" i="1"/>
  <c r="N1324" i="1"/>
  <c r="M1324" i="1"/>
  <c r="L1324" i="1"/>
  <c r="K1324" i="1"/>
  <c r="Q1323" i="1"/>
  <c r="P1323" i="1"/>
  <c r="O1323" i="1"/>
  <c r="N1323" i="1"/>
  <c r="M1323" i="1"/>
  <c r="L1323" i="1"/>
  <c r="K1323" i="1"/>
  <c r="Q1322" i="1"/>
  <c r="P1322" i="1"/>
  <c r="O1322" i="1"/>
  <c r="N1322" i="1"/>
  <c r="M1322" i="1"/>
  <c r="L1322" i="1"/>
  <c r="K1322" i="1"/>
  <c r="Q1321" i="1"/>
  <c r="P1321" i="1"/>
  <c r="O1321" i="1"/>
  <c r="N1321" i="1"/>
  <c r="M1321" i="1"/>
  <c r="L1321" i="1"/>
  <c r="K1321" i="1"/>
  <c r="Q1320" i="1"/>
  <c r="P1320" i="1"/>
  <c r="O1320" i="1"/>
  <c r="N1320" i="1"/>
  <c r="M1320" i="1"/>
  <c r="L1320" i="1"/>
  <c r="K1320" i="1"/>
  <c r="Q1319" i="1"/>
  <c r="P1319" i="1"/>
  <c r="O1319" i="1"/>
  <c r="N1319" i="1"/>
  <c r="M1319" i="1"/>
  <c r="L1319" i="1"/>
  <c r="K1319" i="1"/>
  <c r="Q1318" i="1"/>
  <c r="P1318" i="1"/>
  <c r="O1318" i="1"/>
  <c r="N1318" i="1"/>
  <c r="M1318" i="1"/>
  <c r="L1318" i="1"/>
  <c r="K1318" i="1"/>
  <c r="Q1317" i="1"/>
  <c r="P1317" i="1"/>
  <c r="O1317" i="1"/>
  <c r="N1317" i="1"/>
  <c r="M1317" i="1"/>
  <c r="L1317" i="1"/>
  <c r="K1317" i="1"/>
  <c r="Q1316" i="1"/>
  <c r="P1316" i="1"/>
  <c r="O1316" i="1"/>
  <c r="N1316" i="1"/>
  <c r="M1316" i="1"/>
  <c r="L1316" i="1"/>
  <c r="K1316" i="1"/>
  <c r="Q1315" i="1"/>
  <c r="P1315" i="1"/>
  <c r="O1315" i="1"/>
  <c r="N1315" i="1"/>
  <c r="M1315" i="1"/>
  <c r="L1315" i="1"/>
  <c r="K1315" i="1"/>
  <c r="Q1314" i="1"/>
  <c r="P1314" i="1"/>
  <c r="O1314" i="1"/>
  <c r="N1314" i="1"/>
  <c r="M1314" i="1"/>
  <c r="L1314" i="1"/>
  <c r="K1314" i="1"/>
  <c r="Q1313" i="1"/>
  <c r="P1313" i="1"/>
  <c r="O1313" i="1"/>
  <c r="N1313" i="1"/>
  <c r="M1313" i="1"/>
  <c r="L1313" i="1"/>
  <c r="K1313" i="1"/>
  <c r="Q1312" i="1"/>
  <c r="P1312" i="1"/>
  <c r="O1312" i="1"/>
  <c r="N1312" i="1"/>
  <c r="M1312" i="1"/>
  <c r="L1312" i="1"/>
  <c r="K1312" i="1"/>
  <c r="Q1311" i="1"/>
  <c r="P1311" i="1"/>
  <c r="O1311" i="1"/>
  <c r="N1311" i="1"/>
  <c r="M1311" i="1"/>
  <c r="L1311" i="1"/>
  <c r="K1311" i="1"/>
  <c r="Q1310" i="1"/>
  <c r="P1310" i="1"/>
  <c r="O1310" i="1"/>
  <c r="N1310" i="1"/>
  <c r="M1310" i="1"/>
  <c r="L1310" i="1"/>
  <c r="K1310" i="1"/>
  <c r="Q1309" i="1"/>
  <c r="P1309" i="1"/>
  <c r="O1309" i="1"/>
  <c r="N1309" i="1"/>
  <c r="M1309" i="1"/>
  <c r="L1309" i="1"/>
  <c r="K1309" i="1"/>
  <c r="Q1308" i="1"/>
  <c r="P1308" i="1"/>
  <c r="O1308" i="1"/>
  <c r="N1308" i="1"/>
  <c r="M1308" i="1"/>
  <c r="L1308" i="1"/>
  <c r="K1308" i="1"/>
  <c r="Q1307" i="1"/>
  <c r="P1307" i="1"/>
  <c r="O1307" i="1"/>
  <c r="N1307" i="1"/>
  <c r="M1307" i="1"/>
  <c r="L1307" i="1"/>
  <c r="K1307" i="1"/>
  <c r="Q1306" i="1"/>
  <c r="P1306" i="1"/>
  <c r="O1306" i="1"/>
  <c r="N1306" i="1"/>
  <c r="M1306" i="1"/>
  <c r="L1306" i="1"/>
  <c r="K1306" i="1"/>
  <c r="Q1305" i="1"/>
  <c r="P1305" i="1"/>
  <c r="O1305" i="1"/>
  <c r="N1305" i="1"/>
  <c r="M1305" i="1"/>
  <c r="L1305" i="1"/>
  <c r="K1305" i="1"/>
  <c r="Q1304" i="1"/>
  <c r="P1304" i="1"/>
  <c r="O1304" i="1"/>
  <c r="N1304" i="1"/>
  <c r="M1304" i="1"/>
  <c r="L1304" i="1"/>
  <c r="K1304" i="1"/>
  <c r="Q1303" i="1"/>
  <c r="P1303" i="1"/>
  <c r="O1303" i="1"/>
  <c r="N1303" i="1"/>
  <c r="M1303" i="1"/>
  <c r="L1303" i="1"/>
  <c r="K1303" i="1"/>
  <c r="Q1302" i="1"/>
  <c r="P1302" i="1"/>
  <c r="O1302" i="1"/>
  <c r="N1302" i="1"/>
  <c r="M1302" i="1"/>
  <c r="L1302" i="1"/>
  <c r="K1302" i="1"/>
  <c r="Q1301" i="1"/>
  <c r="P1301" i="1"/>
  <c r="O1301" i="1"/>
  <c r="N1301" i="1"/>
  <c r="M1301" i="1"/>
  <c r="L1301" i="1"/>
  <c r="K1301" i="1"/>
  <c r="Q1300" i="1"/>
  <c r="P1300" i="1"/>
  <c r="O1300" i="1"/>
  <c r="N1300" i="1"/>
  <c r="M1300" i="1"/>
  <c r="L1300" i="1"/>
  <c r="K1300" i="1"/>
  <c r="Q1299" i="1"/>
  <c r="P1299" i="1"/>
  <c r="O1299" i="1"/>
  <c r="N1299" i="1"/>
  <c r="M1299" i="1"/>
  <c r="L1299" i="1"/>
  <c r="K1299" i="1"/>
  <c r="Q1298" i="1"/>
  <c r="P1298" i="1"/>
  <c r="O1298" i="1"/>
  <c r="N1298" i="1"/>
  <c r="M1298" i="1"/>
  <c r="L1298" i="1"/>
  <c r="K1298" i="1"/>
  <c r="Q1297" i="1"/>
  <c r="P1297" i="1"/>
  <c r="O1297" i="1"/>
  <c r="N1297" i="1"/>
  <c r="M1297" i="1"/>
  <c r="L1297" i="1"/>
  <c r="K1297" i="1"/>
  <c r="Q1296" i="1"/>
  <c r="P1296" i="1"/>
  <c r="O1296" i="1"/>
  <c r="N1296" i="1"/>
  <c r="M1296" i="1"/>
  <c r="L1296" i="1"/>
  <c r="K1296" i="1"/>
  <c r="Q1295" i="1"/>
  <c r="P1295" i="1"/>
  <c r="O1295" i="1"/>
  <c r="N1295" i="1"/>
  <c r="M1295" i="1"/>
  <c r="L1295" i="1"/>
  <c r="K1295" i="1"/>
  <c r="Q1294" i="1"/>
  <c r="P1294" i="1"/>
  <c r="O1294" i="1"/>
  <c r="N1294" i="1"/>
  <c r="M1294" i="1"/>
  <c r="L1294" i="1"/>
  <c r="K1294" i="1"/>
  <c r="Q1293" i="1"/>
  <c r="P1293" i="1"/>
  <c r="O1293" i="1"/>
  <c r="N1293" i="1"/>
  <c r="M1293" i="1"/>
  <c r="L1293" i="1"/>
  <c r="K1293" i="1"/>
  <c r="Q1292" i="1"/>
  <c r="P1292" i="1"/>
  <c r="O1292" i="1"/>
  <c r="N1292" i="1"/>
  <c r="M1292" i="1"/>
  <c r="L1292" i="1"/>
  <c r="K1292" i="1"/>
  <c r="Q1291" i="1"/>
  <c r="P1291" i="1"/>
  <c r="O1291" i="1"/>
  <c r="N1291" i="1"/>
  <c r="M1291" i="1"/>
  <c r="L1291" i="1"/>
  <c r="K1291" i="1"/>
  <c r="Q1290" i="1"/>
  <c r="P1290" i="1"/>
  <c r="O1290" i="1"/>
  <c r="N1290" i="1"/>
  <c r="M1290" i="1"/>
  <c r="L1290" i="1"/>
  <c r="K1290" i="1"/>
  <c r="Q1289" i="1"/>
  <c r="P1289" i="1"/>
  <c r="O1289" i="1"/>
  <c r="N1289" i="1"/>
  <c r="M1289" i="1"/>
  <c r="L1289" i="1"/>
  <c r="K1289" i="1"/>
  <c r="Q1288" i="1"/>
  <c r="P1288" i="1"/>
  <c r="O1288" i="1"/>
  <c r="N1288" i="1"/>
  <c r="M1288" i="1"/>
  <c r="L1288" i="1"/>
  <c r="K1288" i="1"/>
  <c r="Q1287" i="1"/>
  <c r="P1287" i="1"/>
  <c r="O1287" i="1"/>
  <c r="N1287" i="1"/>
  <c r="M1287" i="1"/>
  <c r="L1287" i="1"/>
  <c r="K1287" i="1"/>
  <c r="Q1286" i="1"/>
  <c r="P1286" i="1"/>
  <c r="O1286" i="1"/>
  <c r="N1286" i="1"/>
  <c r="M1286" i="1"/>
  <c r="L1286" i="1"/>
  <c r="K1286" i="1"/>
  <c r="Q1285" i="1"/>
  <c r="P1285" i="1"/>
  <c r="O1285" i="1"/>
  <c r="N1285" i="1"/>
  <c r="M1285" i="1"/>
  <c r="L1285" i="1"/>
  <c r="K1285" i="1"/>
  <c r="Q1284" i="1"/>
  <c r="P1284" i="1"/>
  <c r="O1284" i="1"/>
  <c r="N1284" i="1"/>
  <c r="M1284" i="1"/>
  <c r="L1284" i="1"/>
  <c r="K1284" i="1"/>
  <c r="Q1283" i="1"/>
  <c r="P1283" i="1"/>
  <c r="O1283" i="1"/>
  <c r="N1283" i="1"/>
  <c r="M1283" i="1"/>
  <c r="L1283" i="1"/>
  <c r="K1283" i="1"/>
  <c r="Q1282" i="1"/>
  <c r="P1282" i="1"/>
  <c r="O1282" i="1"/>
  <c r="N1282" i="1"/>
  <c r="M1282" i="1"/>
  <c r="L1282" i="1"/>
  <c r="K1282" i="1"/>
  <c r="Q1281" i="1"/>
  <c r="P1281" i="1"/>
  <c r="O1281" i="1"/>
  <c r="N1281" i="1"/>
  <c r="M1281" i="1"/>
  <c r="L1281" i="1"/>
  <c r="K1281" i="1"/>
  <c r="Q1280" i="1"/>
  <c r="P1280" i="1"/>
  <c r="O1280" i="1"/>
  <c r="N1280" i="1"/>
  <c r="M1280" i="1"/>
  <c r="L1280" i="1"/>
  <c r="K1280" i="1"/>
  <c r="Q1279" i="1"/>
  <c r="P1279" i="1"/>
  <c r="O1279" i="1"/>
  <c r="N1279" i="1"/>
  <c r="M1279" i="1"/>
  <c r="L1279" i="1"/>
  <c r="K1279" i="1"/>
  <c r="Q1278" i="1"/>
  <c r="P1278" i="1"/>
  <c r="O1278" i="1"/>
  <c r="N1278" i="1"/>
  <c r="M1278" i="1"/>
  <c r="L1278" i="1"/>
  <c r="K1278" i="1"/>
  <c r="Q1277" i="1"/>
  <c r="P1277" i="1"/>
  <c r="O1277" i="1"/>
  <c r="N1277" i="1"/>
  <c r="M1277" i="1"/>
  <c r="L1277" i="1"/>
  <c r="K1277" i="1"/>
  <c r="Q1276" i="1"/>
  <c r="P1276" i="1"/>
  <c r="O1276" i="1"/>
  <c r="N1276" i="1"/>
  <c r="M1276" i="1"/>
  <c r="L1276" i="1"/>
  <c r="K1276" i="1"/>
  <c r="Q1275" i="1"/>
  <c r="P1275" i="1"/>
  <c r="O1275" i="1"/>
  <c r="N1275" i="1"/>
  <c r="M1275" i="1"/>
  <c r="L1275" i="1"/>
  <c r="K1275" i="1"/>
  <c r="Q1274" i="1"/>
  <c r="P1274" i="1"/>
  <c r="O1274" i="1"/>
  <c r="N1274" i="1"/>
  <c r="M1274" i="1"/>
  <c r="L1274" i="1"/>
  <c r="K1274" i="1"/>
  <c r="Q1273" i="1"/>
  <c r="P1273" i="1"/>
  <c r="O1273" i="1"/>
  <c r="N1273" i="1"/>
  <c r="M1273" i="1"/>
  <c r="L1273" i="1"/>
  <c r="K1273" i="1"/>
  <c r="Q1272" i="1"/>
  <c r="P1272" i="1"/>
  <c r="O1272" i="1"/>
  <c r="N1272" i="1"/>
  <c r="M1272" i="1"/>
  <c r="L1272" i="1"/>
  <c r="K1272" i="1"/>
  <c r="Q1271" i="1"/>
  <c r="P1271" i="1"/>
  <c r="O1271" i="1"/>
  <c r="N1271" i="1"/>
  <c r="M1271" i="1"/>
  <c r="L1271" i="1"/>
  <c r="K1271" i="1"/>
  <c r="Q1270" i="1"/>
  <c r="P1270" i="1"/>
  <c r="O1270" i="1"/>
  <c r="N1270" i="1"/>
  <c r="M1270" i="1"/>
  <c r="L1270" i="1"/>
  <c r="K1270" i="1"/>
  <c r="Q1269" i="1"/>
  <c r="P1269" i="1"/>
  <c r="O1269" i="1"/>
  <c r="N1269" i="1"/>
  <c r="M1269" i="1"/>
  <c r="L1269" i="1"/>
  <c r="K1269" i="1"/>
  <c r="Q1268" i="1"/>
  <c r="P1268" i="1"/>
  <c r="O1268" i="1"/>
  <c r="N1268" i="1"/>
  <c r="M1268" i="1"/>
  <c r="L1268" i="1"/>
  <c r="K1268" i="1"/>
  <c r="Q1267" i="1"/>
  <c r="P1267" i="1"/>
  <c r="O1267" i="1"/>
  <c r="N1267" i="1"/>
  <c r="M1267" i="1"/>
  <c r="L1267" i="1"/>
  <c r="K1267" i="1"/>
  <c r="Q1266" i="1"/>
  <c r="P1266" i="1"/>
  <c r="O1266" i="1"/>
  <c r="N1266" i="1"/>
  <c r="M1266" i="1"/>
  <c r="L1266" i="1"/>
  <c r="K1266" i="1"/>
  <c r="Q1265" i="1"/>
  <c r="P1265" i="1"/>
  <c r="O1265" i="1"/>
  <c r="N1265" i="1"/>
  <c r="M1265" i="1"/>
  <c r="L1265" i="1"/>
  <c r="K1265" i="1"/>
  <c r="Q1264" i="1"/>
  <c r="P1264" i="1"/>
  <c r="O1264" i="1"/>
  <c r="N1264" i="1"/>
  <c r="M1264" i="1"/>
  <c r="L1264" i="1"/>
  <c r="K1264" i="1"/>
  <c r="Q1263" i="1"/>
  <c r="P1263" i="1"/>
  <c r="O1263" i="1"/>
  <c r="N1263" i="1"/>
  <c r="M1263" i="1"/>
  <c r="L1263" i="1"/>
  <c r="K1263" i="1"/>
  <c r="Q1262" i="1"/>
  <c r="P1262" i="1"/>
  <c r="O1262" i="1"/>
  <c r="N1262" i="1"/>
  <c r="M1262" i="1"/>
  <c r="L1262" i="1"/>
  <c r="K1262" i="1"/>
  <c r="Q1261" i="1"/>
  <c r="P1261" i="1"/>
  <c r="O1261" i="1"/>
  <c r="N1261" i="1"/>
  <c r="M1261" i="1"/>
  <c r="L1261" i="1"/>
  <c r="K1261" i="1"/>
  <c r="Q1260" i="1"/>
  <c r="P1260" i="1"/>
  <c r="O1260" i="1"/>
  <c r="N1260" i="1"/>
  <c r="M1260" i="1"/>
  <c r="L1260" i="1"/>
  <c r="K1260" i="1"/>
  <c r="Q1259" i="1"/>
  <c r="P1259" i="1"/>
  <c r="O1259" i="1"/>
  <c r="N1259" i="1"/>
  <c r="M1259" i="1"/>
  <c r="L1259" i="1"/>
  <c r="K1259" i="1"/>
  <c r="Q1258" i="1"/>
  <c r="P1258" i="1"/>
  <c r="O1258" i="1"/>
  <c r="N1258" i="1"/>
  <c r="M1258" i="1"/>
  <c r="L1258" i="1"/>
  <c r="K1258" i="1"/>
  <c r="Q1257" i="1"/>
  <c r="P1257" i="1"/>
  <c r="O1257" i="1"/>
  <c r="N1257" i="1"/>
  <c r="M1257" i="1"/>
  <c r="L1257" i="1"/>
  <c r="K1257" i="1"/>
  <c r="Q1256" i="1"/>
  <c r="P1256" i="1"/>
  <c r="O1256" i="1"/>
  <c r="N1256" i="1"/>
  <c r="M1256" i="1"/>
  <c r="L1256" i="1"/>
  <c r="K1256" i="1"/>
  <c r="Q1255" i="1"/>
  <c r="P1255" i="1"/>
  <c r="O1255" i="1"/>
  <c r="N1255" i="1"/>
  <c r="M1255" i="1"/>
  <c r="L1255" i="1"/>
  <c r="K1255" i="1"/>
  <c r="Q1254" i="1"/>
  <c r="P1254" i="1"/>
  <c r="O1254" i="1"/>
  <c r="N1254" i="1"/>
  <c r="M1254" i="1"/>
  <c r="L1254" i="1"/>
  <c r="K1254" i="1"/>
  <c r="Q1253" i="1"/>
  <c r="P1253" i="1"/>
  <c r="O1253" i="1"/>
  <c r="N1253" i="1"/>
  <c r="M1253" i="1"/>
  <c r="L1253" i="1"/>
  <c r="K1253" i="1"/>
  <c r="Q1252" i="1"/>
  <c r="P1252" i="1"/>
  <c r="O1252" i="1"/>
  <c r="N1252" i="1"/>
  <c r="M1252" i="1"/>
  <c r="L1252" i="1"/>
  <c r="K1252" i="1"/>
  <c r="Q1251" i="1"/>
  <c r="P1251" i="1"/>
  <c r="O1251" i="1"/>
  <c r="N1251" i="1"/>
  <c r="M1251" i="1"/>
  <c r="L1251" i="1"/>
  <c r="K1251" i="1"/>
  <c r="Q1250" i="1"/>
  <c r="P1250" i="1"/>
  <c r="O1250" i="1"/>
  <c r="N1250" i="1"/>
  <c r="M1250" i="1"/>
  <c r="L1250" i="1"/>
  <c r="K1250" i="1"/>
  <c r="Q1249" i="1"/>
  <c r="P1249" i="1"/>
  <c r="O1249" i="1"/>
  <c r="N1249" i="1"/>
  <c r="M1249" i="1"/>
  <c r="L1249" i="1"/>
  <c r="K1249" i="1"/>
  <c r="Q1248" i="1"/>
  <c r="P1248" i="1"/>
  <c r="O1248" i="1"/>
  <c r="N1248" i="1"/>
  <c r="M1248" i="1"/>
  <c r="L1248" i="1"/>
  <c r="K1248" i="1"/>
  <c r="Q1247" i="1"/>
  <c r="P1247" i="1"/>
  <c r="O1247" i="1"/>
  <c r="N1247" i="1"/>
  <c r="M1247" i="1"/>
  <c r="L1247" i="1"/>
  <c r="K1247" i="1"/>
  <c r="Q1246" i="1"/>
  <c r="P1246" i="1"/>
  <c r="O1246" i="1"/>
  <c r="N1246" i="1"/>
  <c r="M1246" i="1"/>
  <c r="L1246" i="1"/>
  <c r="K1246" i="1"/>
  <c r="Q1245" i="1"/>
  <c r="P1245" i="1"/>
  <c r="O1245" i="1"/>
  <c r="N1245" i="1"/>
  <c r="M1245" i="1"/>
  <c r="L1245" i="1"/>
  <c r="K1245" i="1"/>
  <c r="Q1244" i="1"/>
  <c r="P1244" i="1"/>
  <c r="O1244" i="1"/>
  <c r="N1244" i="1"/>
  <c r="M1244" i="1"/>
  <c r="L1244" i="1"/>
  <c r="K1244" i="1"/>
  <c r="Q1243" i="1"/>
  <c r="P1243" i="1"/>
  <c r="O1243" i="1"/>
  <c r="N1243" i="1"/>
  <c r="M1243" i="1"/>
  <c r="L1243" i="1"/>
  <c r="K1243" i="1"/>
  <c r="Q1242" i="1"/>
  <c r="P1242" i="1"/>
  <c r="O1242" i="1"/>
  <c r="N1242" i="1"/>
  <c r="M1242" i="1"/>
  <c r="L1242" i="1"/>
  <c r="K1242" i="1"/>
  <c r="Q1241" i="1"/>
  <c r="P1241" i="1"/>
  <c r="O1241" i="1"/>
  <c r="N1241" i="1"/>
  <c r="M1241" i="1"/>
  <c r="L1241" i="1"/>
  <c r="K1241" i="1"/>
  <c r="Q1240" i="1"/>
  <c r="P1240" i="1"/>
  <c r="O1240" i="1"/>
  <c r="N1240" i="1"/>
  <c r="M1240" i="1"/>
  <c r="L1240" i="1"/>
  <c r="K1240" i="1"/>
  <c r="Q1239" i="1"/>
  <c r="P1239" i="1"/>
  <c r="O1239" i="1"/>
  <c r="N1239" i="1"/>
  <c r="M1239" i="1"/>
  <c r="L1239" i="1"/>
  <c r="K1239" i="1"/>
  <c r="Q1238" i="1"/>
  <c r="P1238" i="1"/>
  <c r="O1238" i="1"/>
  <c r="N1238" i="1"/>
  <c r="M1238" i="1"/>
  <c r="L1238" i="1"/>
  <c r="K1238" i="1"/>
  <c r="Q1237" i="1"/>
  <c r="P1237" i="1"/>
  <c r="O1237" i="1"/>
  <c r="N1237" i="1"/>
  <c r="M1237" i="1"/>
  <c r="L1237" i="1"/>
  <c r="K1237" i="1"/>
  <c r="Q1236" i="1"/>
  <c r="P1236" i="1"/>
  <c r="O1236" i="1"/>
  <c r="N1236" i="1"/>
  <c r="M1236" i="1"/>
  <c r="L1236" i="1"/>
  <c r="K1236" i="1"/>
  <c r="Q1235" i="1"/>
  <c r="P1235" i="1"/>
  <c r="O1235" i="1"/>
  <c r="N1235" i="1"/>
  <c r="M1235" i="1"/>
  <c r="L1235" i="1"/>
  <c r="K1235" i="1"/>
  <c r="Q1234" i="1"/>
  <c r="P1234" i="1"/>
  <c r="O1234" i="1"/>
  <c r="N1234" i="1"/>
  <c r="M1234" i="1"/>
  <c r="L1234" i="1"/>
  <c r="K1234" i="1"/>
  <c r="Q1233" i="1"/>
  <c r="P1233" i="1"/>
  <c r="O1233" i="1"/>
  <c r="N1233" i="1"/>
  <c r="M1233" i="1"/>
  <c r="L1233" i="1"/>
  <c r="K1233" i="1"/>
  <c r="Q1232" i="1"/>
  <c r="P1232" i="1"/>
  <c r="O1232" i="1"/>
  <c r="N1232" i="1"/>
  <c r="M1232" i="1"/>
  <c r="L1232" i="1"/>
  <c r="K1232" i="1"/>
  <c r="Q1231" i="1"/>
  <c r="P1231" i="1"/>
  <c r="O1231" i="1"/>
  <c r="N1231" i="1"/>
  <c r="M1231" i="1"/>
  <c r="L1231" i="1"/>
  <c r="K1231" i="1"/>
  <c r="Q1230" i="1"/>
  <c r="P1230" i="1"/>
  <c r="O1230" i="1"/>
  <c r="N1230" i="1"/>
  <c r="M1230" i="1"/>
  <c r="L1230" i="1"/>
  <c r="K1230" i="1"/>
  <c r="Q1229" i="1"/>
  <c r="P1229" i="1"/>
  <c r="O1229" i="1"/>
  <c r="N1229" i="1"/>
  <c r="M1229" i="1"/>
  <c r="L1229" i="1"/>
  <c r="K1229" i="1"/>
  <c r="Q1228" i="1"/>
  <c r="P1228" i="1"/>
  <c r="O1228" i="1"/>
  <c r="N1228" i="1"/>
  <c r="M1228" i="1"/>
  <c r="L1228" i="1"/>
  <c r="K1228" i="1"/>
  <c r="Q1227" i="1"/>
  <c r="P1227" i="1"/>
  <c r="O1227" i="1"/>
  <c r="N1227" i="1"/>
  <c r="M1227" i="1"/>
  <c r="L1227" i="1"/>
  <c r="K1227" i="1"/>
  <c r="Q1226" i="1"/>
  <c r="P1226" i="1"/>
  <c r="O1226" i="1"/>
  <c r="N1226" i="1"/>
  <c r="M1226" i="1"/>
  <c r="L1226" i="1"/>
  <c r="K1226" i="1"/>
  <c r="Q1225" i="1"/>
  <c r="P1225" i="1"/>
  <c r="O1225" i="1"/>
  <c r="N1225" i="1"/>
  <c r="M1225" i="1"/>
  <c r="L1225" i="1"/>
  <c r="K1225" i="1"/>
  <c r="Q1224" i="1"/>
  <c r="P1224" i="1"/>
  <c r="O1224" i="1"/>
  <c r="N1224" i="1"/>
  <c r="M1224" i="1"/>
  <c r="L1224" i="1"/>
  <c r="K1224" i="1"/>
  <c r="Q1223" i="1"/>
  <c r="P1223" i="1"/>
  <c r="O1223" i="1"/>
  <c r="N1223" i="1"/>
  <c r="M1223" i="1"/>
  <c r="L1223" i="1"/>
  <c r="K1223" i="1"/>
  <c r="Q1222" i="1"/>
  <c r="P1222" i="1"/>
  <c r="O1222" i="1"/>
  <c r="N1222" i="1"/>
  <c r="M1222" i="1"/>
  <c r="L1222" i="1"/>
  <c r="K1222" i="1"/>
  <c r="Q1221" i="1"/>
  <c r="P1221" i="1"/>
  <c r="O1221" i="1"/>
  <c r="N1221" i="1"/>
  <c r="M1221" i="1"/>
  <c r="L1221" i="1"/>
  <c r="K1221" i="1"/>
  <c r="Q1220" i="1"/>
  <c r="P1220" i="1"/>
  <c r="O1220" i="1"/>
  <c r="N1220" i="1"/>
  <c r="M1220" i="1"/>
  <c r="L1220" i="1"/>
  <c r="K1220" i="1"/>
  <c r="Q1219" i="1"/>
  <c r="P1219" i="1"/>
  <c r="O1219" i="1"/>
  <c r="N1219" i="1"/>
  <c r="M1219" i="1"/>
  <c r="L1219" i="1"/>
  <c r="K1219" i="1"/>
  <c r="Q1218" i="1"/>
  <c r="P1218" i="1"/>
  <c r="O1218" i="1"/>
  <c r="N1218" i="1"/>
  <c r="M1218" i="1"/>
  <c r="L1218" i="1"/>
  <c r="K1218" i="1"/>
  <c r="Q1217" i="1"/>
  <c r="P1217" i="1"/>
  <c r="O1217" i="1"/>
  <c r="N1217" i="1"/>
  <c r="M1217" i="1"/>
  <c r="L1217" i="1"/>
  <c r="K1217" i="1"/>
  <c r="Q1216" i="1"/>
  <c r="P1216" i="1"/>
  <c r="O1216" i="1"/>
  <c r="N1216" i="1"/>
  <c r="M1216" i="1"/>
  <c r="L1216" i="1"/>
  <c r="K1216" i="1"/>
  <c r="Q1215" i="1"/>
  <c r="P1215" i="1"/>
  <c r="O1215" i="1"/>
  <c r="N1215" i="1"/>
  <c r="M1215" i="1"/>
  <c r="L1215" i="1"/>
  <c r="K1215" i="1"/>
  <c r="Q1214" i="1"/>
  <c r="P1214" i="1"/>
  <c r="O1214" i="1"/>
  <c r="N1214" i="1"/>
  <c r="M1214" i="1"/>
  <c r="L1214" i="1"/>
  <c r="K1214" i="1"/>
  <c r="Q1213" i="1"/>
  <c r="P1213" i="1"/>
  <c r="O1213" i="1"/>
  <c r="N1213" i="1"/>
  <c r="M1213" i="1"/>
  <c r="L1213" i="1"/>
  <c r="K1213" i="1"/>
  <c r="Q1212" i="1"/>
  <c r="P1212" i="1"/>
  <c r="O1212" i="1"/>
  <c r="N1212" i="1"/>
  <c r="M1212" i="1"/>
  <c r="L1212" i="1"/>
  <c r="K1212" i="1"/>
  <c r="Q1211" i="1"/>
  <c r="P1211" i="1"/>
  <c r="O1211" i="1"/>
  <c r="N1211" i="1"/>
  <c r="M1211" i="1"/>
  <c r="L1211" i="1"/>
  <c r="K1211" i="1"/>
  <c r="Q1210" i="1"/>
  <c r="P1210" i="1"/>
  <c r="O1210" i="1"/>
  <c r="N1210" i="1"/>
  <c r="M1210" i="1"/>
  <c r="L1210" i="1"/>
  <c r="K1210" i="1"/>
  <c r="Q1209" i="1"/>
  <c r="P1209" i="1"/>
  <c r="O1209" i="1"/>
  <c r="N1209" i="1"/>
  <c r="M1209" i="1"/>
  <c r="L1209" i="1"/>
  <c r="K1209" i="1"/>
  <c r="Q1208" i="1"/>
  <c r="P1208" i="1"/>
  <c r="O1208" i="1"/>
  <c r="N1208" i="1"/>
  <c r="M1208" i="1"/>
  <c r="L1208" i="1"/>
  <c r="K1208" i="1"/>
  <c r="Q1207" i="1"/>
  <c r="P1207" i="1"/>
  <c r="O1207" i="1"/>
  <c r="N1207" i="1"/>
  <c r="M1207" i="1"/>
  <c r="L1207" i="1"/>
  <c r="K1207" i="1"/>
  <c r="Q1206" i="1"/>
  <c r="P1206" i="1"/>
  <c r="O1206" i="1"/>
  <c r="N1206" i="1"/>
  <c r="M1206" i="1"/>
  <c r="L1206" i="1"/>
  <c r="K1206" i="1"/>
  <c r="Q1205" i="1"/>
  <c r="P1205" i="1"/>
  <c r="O1205" i="1"/>
  <c r="N1205" i="1"/>
  <c r="M1205" i="1"/>
  <c r="L1205" i="1"/>
  <c r="K1205" i="1"/>
  <c r="Q1204" i="1"/>
  <c r="P1204" i="1"/>
  <c r="O1204" i="1"/>
  <c r="N1204" i="1"/>
  <c r="M1204" i="1"/>
  <c r="L1204" i="1"/>
  <c r="K1204" i="1"/>
  <c r="Q1203" i="1"/>
  <c r="P1203" i="1"/>
  <c r="O1203" i="1"/>
  <c r="N1203" i="1"/>
  <c r="M1203" i="1"/>
  <c r="L1203" i="1"/>
  <c r="K1203" i="1"/>
  <c r="Q1202" i="1"/>
  <c r="P1202" i="1"/>
  <c r="O1202" i="1"/>
  <c r="N1202" i="1"/>
  <c r="M1202" i="1"/>
  <c r="L1202" i="1"/>
  <c r="K1202" i="1"/>
  <c r="Q1201" i="1"/>
  <c r="P1201" i="1"/>
  <c r="O1201" i="1"/>
  <c r="N1201" i="1"/>
  <c r="M1201" i="1"/>
  <c r="L1201" i="1"/>
  <c r="K1201" i="1"/>
  <c r="Q1200" i="1"/>
  <c r="P1200" i="1"/>
  <c r="O1200" i="1"/>
  <c r="N1200" i="1"/>
  <c r="M1200" i="1"/>
  <c r="L1200" i="1"/>
  <c r="K1200" i="1"/>
  <c r="Q1199" i="1"/>
  <c r="P1199" i="1"/>
  <c r="O1199" i="1"/>
  <c r="N1199" i="1"/>
  <c r="M1199" i="1"/>
  <c r="L1199" i="1"/>
  <c r="K1199" i="1"/>
  <c r="Q1198" i="1"/>
  <c r="P1198" i="1"/>
  <c r="O1198" i="1"/>
  <c r="N1198" i="1"/>
  <c r="M1198" i="1"/>
  <c r="L1198" i="1"/>
  <c r="K1198" i="1"/>
  <c r="Q1197" i="1"/>
  <c r="P1197" i="1"/>
  <c r="O1197" i="1"/>
  <c r="N1197" i="1"/>
  <c r="M1197" i="1"/>
  <c r="L1197" i="1"/>
  <c r="K1197" i="1"/>
  <c r="Q1196" i="1"/>
  <c r="P1196" i="1"/>
  <c r="O1196" i="1"/>
  <c r="N1196" i="1"/>
  <c r="M1196" i="1"/>
  <c r="L1196" i="1"/>
  <c r="K1196" i="1"/>
  <c r="Q1195" i="1"/>
  <c r="P1195" i="1"/>
  <c r="O1195" i="1"/>
  <c r="N1195" i="1"/>
  <c r="M1195" i="1"/>
  <c r="L1195" i="1"/>
  <c r="K1195" i="1"/>
  <c r="Q1194" i="1"/>
  <c r="P1194" i="1"/>
  <c r="O1194" i="1"/>
  <c r="N1194" i="1"/>
  <c r="M1194" i="1"/>
  <c r="L1194" i="1"/>
  <c r="K1194" i="1"/>
  <c r="Q1193" i="1"/>
  <c r="P1193" i="1"/>
  <c r="O1193" i="1"/>
  <c r="N1193" i="1"/>
  <c r="M1193" i="1"/>
  <c r="L1193" i="1"/>
  <c r="K1193" i="1"/>
  <c r="Q1192" i="1"/>
  <c r="P1192" i="1"/>
  <c r="O1192" i="1"/>
  <c r="N1192" i="1"/>
  <c r="M1192" i="1"/>
  <c r="L1192" i="1"/>
  <c r="K1192" i="1"/>
  <c r="Q1191" i="1"/>
  <c r="P1191" i="1"/>
  <c r="O1191" i="1"/>
  <c r="N1191" i="1"/>
  <c r="M1191" i="1"/>
  <c r="L1191" i="1"/>
  <c r="K1191" i="1"/>
  <c r="Q1190" i="1"/>
  <c r="P1190" i="1"/>
  <c r="O1190" i="1"/>
  <c r="N1190" i="1"/>
  <c r="M1190" i="1"/>
  <c r="L1190" i="1"/>
  <c r="K1190" i="1"/>
  <c r="Q1189" i="1"/>
  <c r="P1189" i="1"/>
  <c r="O1189" i="1"/>
  <c r="N1189" i="1"/>
  <c r="M1189" i="1"/>
  <c r="L1189" i="1"/>
  <c r="K1189" i="1"/>
  <c r="Q1188" i="1"/>
  <c r="P1188" i="1"/>
  <c r="O1188" i="1"/>
  <c r="N1188" i="1"/>
  <c r="M1188" i="1"/>
  <c r="L1188" i="1"/>
  <c r="K1188" i="1"/>
  <c r="Q1187" i="1"/>
  <c r="P1187" i="1"/>
  <c r="O1187" i="1"/>
  <c r="N1187" i="1"/>
  <c r="M1187" i="1"/>
  <c r="L1187" i="1"/>
  <c r="K1187" i="1"/>
  <c r="Q1186" i="1"/>
  <c r="P1186" i="1"/>
  <c r="O1186" i="1"/>
  <c r="N1186" i="1"/>
  <c r="M1186" i="1"/>
  <c r="L1186" i="1"/>
  <c r="K1186" i="1"/>
  <c r="Q1185" i="1"/>
  <c r="P1185" i="1"/>
  <c r="O1185" i="1"/>
  <c r="N1185" i="1"/>
  <c r="M1185" i="1"/>
  <c r="L1185" i="1"/>
  <c r="K1185" i="1"/>
  <c r="Q1184" i="1"/>
  <c r="P1184" i="1"/>
  <c r="O1184" i="1"/>
  <c r="N1184" i="1"/>
  <c r="M1184" i="1"/>
  <c r="L1184" i="1"/>
  <c r="K1184" i="1"/>
  <c r="Q1183" i="1"/>
  <c r="P1183" i="1"/>
  <c r="O1183" i="1"/>
  <c r="N1183" i="1"/>
  <c r="M1183" i="1"/>
  <c r="L1183" i="1"/>
  <c r="K1183" i="1"/>
  <c r="Q1182" i="1"/>
  <c r="P1182" i="1"/>
  <c r="O1182" i="1"/>
  <c r="N1182" i="1"/>
  <c r="M1182" i="1"/>
  <c r="L1182" i="1"/>
  <c r="K1182" i="1"/>
  <c r="Q1181" i="1"/>
  <c r="P1181" i="1"/>
  <c r="O1181" i="1"/>
  <c r="N1181" i="1"/>
  <c r="M1181" i="1"/>
  <c r="L1181" i="1"/>
  <c r="K1181" i="1"/>
  <c r="Q1180" i="1"/>
  <c r="P1180" i="1"/>
  <c r="O1180" i="1"/>
  <c r="N1180" i="1"/>
  <c r="M1180" i="1"/>
  <c r="L1180" i="1"/>
  <c r="K1180" i="1"/>
  <c r="Q1179" i="1"/>
  <c r="P1179" i="1"/>
  <c r="O1179" i="1"/>
  <c r="N1179" i="1"/>
  <c r="M1179" i="1"/>
  <c r="L1179" i="1"/>
  <c r="K1179" i="1"/>
  <c r="Q1178" i="1"/>
  <c r="P1178" i="1"/>
  <c r="O1178" i="1"/>
  <c r="N1178" i="1"/>
  <c r="M1178" i="1"/>
  <c r="L1178" i="1"/>
  <c r="K1178" i="1"/>
  <c r="Q1177" i="1"/>
  <c r="P1177" i="1"/>
  <c r="O1177" i="1"/>
  <c r="N1177" i="1"/>
  <c r="M1177" i="1"/>
  <c r="L1177" i="1"/>
  <c r="K1177" i="1"/>
  <c r="Q1176" i="1"/>
  <c r="P1176" i="1"/>
  <c r="O1176" i="1"/>
  <c r="N1176" i="1"/>
  <c r="M1176" i="1"/>
  <c r="L1176" i="1"/>
  <c r="K1176" i="1"/>
  <c r="Q1175" i="1"/>
  <c r="P1175" i="1"/>
  <c r="O1175" i="1"/>
  <c r="N1175" i="1"/>
  <c r="M1175" i="1"/>
  <c r="L1175" i="1"/>
  <c r="K1175" i="1"/>
  <c r="Q1174" i="1"/>
  <c r="P1174" i="1"/>
  <c r="O1174" i="1"/>
  <c r="N1174" i="1"/>
  <c r="M1174" i="1"/>
  <c r="L1174" i="1"/>
  <c r="K1174" i="1"/>
  <c r="Q1173" i="1"/>
  <c r="P1173" i="1"/>
  <c r="O1173" i="1"/>
  <c r="N1173" i="1"/>
  <c r="M1173" i="1"/>
  <c r="L1173" i="1"/>
  <c r="K1173" i="1"/>
  <c r="Q1172" i="1"/>
  <c r="P1172" i="1"/>
  <c r="O1172" i="1"/>
  <c r="N1172" i="1"/>
  <c r="M1172" i="1"/>
  <c r="L1172" i="1"/>
  <c r="K1172" i="1"/>
  <c r="Q1171" i="1"/>
  <c r="P1171" i="1"/>
  <c r="O1171" i="1"/>
  <c r="N1171" i="1"/>
  <c r="M1171" i="1"/>
  <c r="L1171" i="1"/>
  <c r="K1171" i="1"/>
  <c r="Q1170" i="1"/>
  <c r="P1170" i="1"/>
  <c r="O1170" i="1"/>
  <c r="N1170" i="1"/>
  <c r="M1170" i="1"/>
  <c r="L1170" i="1"/>
  <c r="K1170" i="1"/>
  <c r="Q1169" i="1"/>
  <c r="P1169" i="1"/>
  <c r="O1169" i="1"/>
  <c r="N1169" i="1"/>
  <c r="M1169" i="1"/>
  <c r="L1169" i="1"/>
  <c r="K1169" i="1"/>
  <c r="Q1168" i="1"/>
  <c r="P1168" i="1"/>
  <c r="O1168" i="1"/>
  <c r="N1168" i="1"/>
  <c r="M1168" i="1"/>
  <c r="L1168" i="1"/>
  <c r="K1168" i="1"/>
  <c r="Q1167" i="1"/>
  <c r="P1167" i="1"/>
  <c r="O1167" i="1"/>
  <c r="N1167" i="1"/>
  <c r="M1167" i="1"/>
  <c r="L1167" i="1"/>
  <c r="K1167" i="1"/>
  <c r="Q1166" i="1"/>
  <c r="P1166" i="1"/>
  <c r="O1166" i="1"/>
  <c r="N1166" i="1"/>
  <c r="M1166" i="1"/>
  <c r="L1166" i="1"/>
  <c r="K1166" i="1"/>
  <c r="Q1165" i="1"/>
  <c r="P1165" i="1"/>
  <c r="O1165" i="1"/>
  <c r="N1165" i="1"/>
  <c r="M1165" i="1"/>
  <c r="L1165" i="1"/>
  <c r="K1165" i="1"/>
  <c r="Q1164" i="1"/>
  <c r="P1164" i="1"/>
  <c r="O1164" i="1"/>
  <c r="N1164" i="1"/>
  <c r="M1164" i="1"/>
  <c r="L1164" i="1"/>
  <c r="K1164" i="1"/>
  <c r="Q1163" i="1"/>
  <c r="P1163" i="1"/>
  <c r="O1163" i="1"/>
  <c r="N1163" i="1"/>
  <c r="M1163" i="1"/>
  <c r="L1163" i="1"/>
  <c r="K1163" i="1"/>
  <c r="Q1162" i="1"/>
  <c r="P1162" i="1"/>
  <c r="O1162" i="1"/>
  <c r="N1162" i="1"/>
  <c r="M1162" i="1"/>
  <c r="L1162" i="1"/>
  <c r="K1162" i="1"/>
  <c r="Q1161" i="1"/>
  <c r="P1161" i="1"/>
  <c r="O1161" i="1"/>
  <c r="N1161" i="1"/>
  <c r="M1161" i="1"/>
  <c r="L1161" i="1"/>
  <c r="K1161" i="1"/>
  <c r="Q1160" i="1"/>
  <c r="P1160" i="1"/>
  <c r="O1160" i="1"/>
  <c r="N1160" i="1"/>
  <c r="M1160" i="1"/>
  <c r="L1160" i="1"/>
  <c r="K1160" i="1"/>
  <c r="Q1159" i="1"/>
  <c r="P1159" i="1"/>
  <c r="O1159" i="1"/>
  <c r="N1159" i="1"/>
  <c r="M1159" i="1"/>
  <c r="L1159" i="1"/>
  <c r="K1159" i="1"/>
  <c r="Q1158" i="1"/>
  <c r="P1158" i="1"/>
  <c r="O1158" i="1"/>
  <c r="N1158" i="1"/>
  <c r="M1158" i="1"/>
  <c r="L1158" i="1"/>
  <c r="K1158" i="1"/>
  <c r="Q1157" i="1"/>
  <c r="P1157" i="1"/>
  <c r="O1157" i="1"/>
  <c r="N1157" i="1"/>
  <c r="M1157" i="1"/>
  <c r="L1157" i="1"/>
  <c r="K1157" i="1"/>
  <c r="Q1156" i="1"/>
  <c r="P1156" i="1"/>
  <c r="O1156" i="1"/>
  <c r="N1156" i="1"/>
  <c r="M1156" i="1"/>
  <c r="L1156" i="1"/>
  <c r="K1156" i="1"/>
  <c r="Q1155" i="1"/>
  <c r="P1155" i="1"/>
  <c r="O1155" i="1"/>
  <c r="N1155" i="1"/>
  <c r="M1155" i="1"/>
  <c r="L1155" i="1"/>
  <c r="K1155" i="1"/>
  <c r="Q1154" i="1"/>
  <c r="P1154" i="1"/>
  <c r="O1154" i="1"/>
  <c r="N1154" i="1"/>
  <c r="M1154" i="1"/>
  <c r="L1154" i="1"/>
  <c r="K1154" i="1"/>
  <c r="Q1153" i="1"/>
  <c r="P1153" i="1"/>
  <c r="O1153" i="1"/>
  <c r="N1153" i="1"/>
  <c r="M1153" i="1"/>
  <c r="L1153" i="1"/>
  <c r="K1153" i="1"/>
  <c r="Q1152" i="1"/>
  <c r="P1152" i="1"/>
  <c r="O1152" i="1"/>
  <c r="N1152" i="1"/>
  <c r="M1152" i="1"/>
  <c r="L1152" i="1"/>
  <c r="K1152" i="1"/>
  <c r="Q1151" i="1"/>
  <c r="P1151" i="1"/>
  <c r="O1151" i="1"/>
  <c r="N1151" i="1"/>
  <c r="M1151" i="1"/>
  <c r="L1151" i="1"/>
  <c r="K1151" i="1"/>
  <c r="Q1150" i="1"/>
  <c r="P1150" i="1"/>
  <c r="O1150" i="1"/>
  <c r="N1150" i="1"/>
  <c r="M1150" i="1"/>
  <c r="L1150" i="1"/>
  <c r="K1150" i="1"/>
  <c r="Q1149" i="1"/>
  <c r="P1149" i="1"/>
  <c r="O1149" i="1"/>
  <c r="N1149" i="1"/>
  <c r="M1149" i="1"/>
  <c r="L1149" i="1"/>
  <c r="K1149" i="1"/>
  <c r="Q1148" i="1"/>
  <c r="P1148" i="1"/>
  <c r="O1148" i="1"/>
  <c r="N1148" i="1"/>
  <c r="M1148" i="1"/>
  <c r="L1148" i="1"/>
  <c r="K1148" i="1"/>
  <c r="Q1147" i="1"/>
  <c r="P1147" i="1"/>
  <c r="O1147" i="1"/>
  <c r="N1147" i="1"/>
  <c r="M1147" i="1"/>
  <c r="L1147" i="1"/>
  <c r="K1147" i="1"/>
  <c r="Q1146" i="1"/>
  <c r="P1146" i="1"/>
  <c r="O1146" i="1"/>
  <c r="N1146" i="1"/>
  <c r="M1146" i="1"/>
  <c r="L1146" i="1"/>
  <c r="K1146" i="1"/>
  <c r="Q1145" i="1"/>
  <c r="P1145" i="1"/>
  <c r="O1145" i="1"/>
  <c r="N1145" i="1"/>
  <c r="M1145" i="1"/>
  <c r="L1145" i="1"/>
  <c r="K1145" i="1"/>
  <c r="Q1144" i="1"/>
  <c r="P1144" i="1"/>
  <c r="O1144" i="1"/>
  <c r="N1144" i="1"/>
  <c r="M1144" i="1"/>
  <c r="L1144" i="1"/>
  <c r="K1144" i="1"/>
  <c r="Q1143" i="1"/>
  <c r="P1143" i="1"/>
  <c r="O1143" i="1"/>
  <c r="N1143" i="1"/>
  <c r="M1143" i="1"/>
  <c r="L1143" i="1"/>
  <c r="K1143" i="1"/>
  <c r="Q1142" i="1"/>
  <c r="P1142" i="1"/>
  <c r="O1142" i="1"/>
  <c r="N1142" i="1"/>
  <c r="M1142" i="1"/>
  <c r="L1142" i="1"/>
  <c r="K1142" i="1"/>
  <c r="Q1141" i="1"/>
  <c r="P1141" i="1"/>
  <c r="O1141" i="1"/>
  <c r="N1141" i="1"/>
  <c r="M1141" i="1"/>
  <c r="L1141" i="1"/>
  <c r="K1141" i="1"/>
  <c r="Q1140" i="1"/>
  <c r="P1140" i="1"/>
  <c r="O1140" i="1"/>
  <c r="N1140" i="1"/>
  <c r="M1140" i="1"/>
  <c r="L1140" i="1"/>
  <c r="K1140" i="1"/>
  <c r="Q1139" i="1"/>
  <c r="P1139" i="1"/>
  <c r="O1139" i="1"/>
  <c r="N1139" i="1"/>
  <c r="M1139" i="1"/>
  <c r="L1139" i="1"/>
  <c r="K1139" i="1"/>
  <c r="Q1138" i="1"/>
  <c r="P1138" i="1"/>
  <c r="O1138" i="1"/>
  <c r="N1138" i="1"/>
  <c r="M1138" i="1"/>
  <c r="L1138" i="1"/>
  <c r="K1138" i="1"/>
  <c r="Q1137" i="1"/>
  <c r="P1137" i="1"/>
  <c r="O1137" i="1"/>
  <c r="N1137" i="1"/>
  <c r="M1137" i="1"/>
  <c r="L1137" i="1"/>
  <c r="K1137" i="1"/>
  <c r="Q1136" i="1"/>
  <c r="P1136" i="1"/>
  <c r="O1136" i="1"/>
  <c r="N1136" i="1"/>
  <c r="M1136" i="1"/>
  <c r="L1136" i="1"/>
  <c r="K1136" i="1"/>
  <c r="Q1135" i="1"/>
  <c r="P1135" i="1"/>
  <c r="O1135" i="1"/>
  <c r="N1135" i="1"/>
  <c r="M1135" i="1"/>
  <c r="L1135" i="1"/>
  <c r="K1135" i="1"/>
  <c r="Q1134" i="1"/>
  <c r="P1134" i="1"/>
  <c r="O1134" i="1"/>
  <c r="N1134" i="1"/>
  <c r="M1134" i="1"/>
  <c r="L1134" i="1"/>
  <c r="K1134" i="1"/>
  <c r="Q1133" i="1"/>
  <c r="P1133" i="1"/>
  <c r="O1133" i="1"/>
  <c r="N1133" i="1"/>
  <c r="M1133" i="1"/>
  <c r="L1133" i="1"/>
  <c r="K1133" i="1"/>
  <c r="Q1132" i="1"/>
  <c r="P1132" i="1"/>
  <c r="O1132" i="1"/>
  <c r="N1132" i="1"/>
  <c r="M1132" i="1"/>
  <c r="L1132" i="1"/>
  <c r="K1132" i="1"/>
  <c r="Q1131" i="1"/>
  <c r="P1131" i="1"/>
  <c r="O1131" i="1"/>
  <c r="N1131" i="1"/>
  <c r="M1131" i="1"/>
  <c r="L1131" i="1"/>
  <c r="K1131" i="1"/>
  <c r="Q1130" i="1"/>
  <c r="P1130" i="1"/>
  <c r="O1130" i="1"/>
  <c r="N1130" i="1"/>
  <c r="M1130" i="1"/>
  <c r="L1130" i="1"/>
  <c r="K1130" i="1"/>
  <c r="Q1129" i="1"/>
  <c r="P1129" i="1"/>
  <c r="O1129" i="1"/>
  <c r="N1129" i="1"/>
  <c r="M1129" i="1"/>
  <c r="L1129" i="1"/>
  <c r="K1129" i="1"/>
  <c r="Q1128" i="1"/>
  <c r="P1128" i="1"/>
  <c r="O1128" i="1"/>
  <c r="N1128" i="1"/>
  <c r="M1128" i="1"/>
  <c r="L1128" i="1"/>
  <c r="K1128" i="1"/>
  <c r="Q1127" i="1"/>
  <c r="P1127" i="1"/>
  <c r="O1127" i="1"/>
  <c r="N1127" i="1"/>
  <c r="M1127" i="1"/>
  <c r="L1127" i="1"/>
  <c r="K1127" i="1"/>
  <c r="Q1126" i="1"/>
  <c r="P1126" i="1"/>
  <c r="O1126" i="1"/>
  <c r="N1126" i="1"/>
  <c r="M1126" i="1"/>
  <c r="L1126" i="1"/>
  <c r="K1126" i="1"/>
  <c r="Q1125" i="1"/>
  <c r="P1125" i="1"/>
  <c r="O1125" i="1"/>
  <c r="N1125" i="1"/>
  <c r="M1125" i="1"/>
  <c r="L1125" i="1"/>
  <c r="K1125" i="1"/>
  <c r="Q1124" i="1"/>
  <c r="P1124" i="1"/>
  <c r="O1124" i="1"/>
  <c r="N1124" i="1"/>
  <c r="M1124" i="1"/>
  <c r="L1124" i="1"/>
  <c r="K1124" i="1"/>
  <c r="Q1123" i="1"/>
  <c r="P1123" i="1"/>
  <c r="O1123" i="1"/>
  <c r="N1123" i="1"/>
  <c r="M1123" i="1"/>
  <c r="L1123" i="1"/>
  <c r="K1123" i="1"/>
  <c r="Q1122" i="1"/>
  <c r="P1122" i="1"/>
  <c r="O1122" i="1"/>
  <c r="N1122" i="1"/>
  <c r="M1122" i="1"/>
  <c r="L1122" i="1"/>
  <c r="K1122" i="1"/>
  <c r="Q1121" i="1"/>
  <c r="P1121" i="1"/>
  <c r="O1121" i="1"/>
  <c r="N1121" i="1"/>
  <c r="M1121" i="1"/>
  <c r="L1121" i="1"/>
  <c r="K1121" i="1"/>
  <c r="Q1120" i="1"/>
  <c r="P1120" i="1"/>
  <c r="O1120" i="1"/>
  <c r="N1120" i="1"/>
  <c r="M1120" i="1"/>
  <c r="L1120" i="1"/>
  <c r="K1120" i="1"/>
  <c r="Q1119" i="1"/>
  <c r="P1119" i="1"/>
  <c r="O1119" i="1"/>
  <c r="N1119" i="1"/>
  <c r="M1119" i="1"/>
  <c r="L1119" i="1"/>
  <c r="K1119" i="1"/>
  <c r="Q1118" i="1"/>
  <c r="P1118" i="1"/>
  <c r="O1118" i="1"/>
  <c r="N1118" i="1"/>
  <c r="M1118" i="1"/>
  <c r="L1118" i="1"/>
  <c r="K1118" i="1"/>
  <c r="Q1117" i="1"/>
  <c r="P1117" i="1"/>
  <c r="O1117" i="1"/>
  <c r="N1117" i="1"/>
  <c r="M1117" i="1"/>
  <c r="L1117" i="1"/>
  <c r="K1117" i="1"/>
  <c r="Q1116" i="1"/>
  <c r="P1116" i="1"/>
  <c r="O1116" i="1"/>
  <c r="N1116" i="1"/>
  <c r="M1116" i="1"/>
  <c r="L1116" i="1"/>
  <c r="K1116" i="1"/>
  <c r="Q1115" i="1"/>
  <c r="P1115" i="1"/>
  <c r="O1115" i="1"/>
  <c r="N1115" i="1"/>
  <c r="M1115" i="1"/>
  <c r="L1115" i="1"/>
  <c r="K1115" i="1"/>
  <c r="Q1114" i="1"/>
  <c r="P1114" i="1"/>
  <c r="O1114" i="1"/>
  <c r="N1114" i="1"/>
  <c r="M1114" i="1"/>
  <c r="L1114" i="1"/>
  <c r="K1114" i="1"/>
  <c r="Q1113" i="1"/>
  <c r="P1113" i="1"/>
  <c r="O1113" i="1"/>
  <c r="N1113" i="1"/>
  <c r="M1113" i="1"/>
  <c r="L1113" i="1"/>
  <c r="K1113" i="1"/>
  <c r="Q1112" i="1"/>
  <c r="P1112" i="1"/>
  <c r="O1112" i="1"/>
  <c r="N1112" i="1"/>
  <c r="M1112" i="1"/>
  <c r="L1112" i="1"/>
  <c r="K1112" i="1"/>
  <c r="Q1111" i="1"/>
  <c r="P1111" i="1"/>
  <c r="O1111" i="1"/>
  <c r="N1111" i="1"/>
  <c r="M1111" i="1"/>
  <c r="L1111" i="1"/>
  <c r="K1111" i="1"/>
  <c r="Q1110" i="1"/>
  <c r="P1110" i="1"/>
  <c r="O1110" i="1"/>
  <c r="N1110" i="1"/>
  <c r="M1110" i="1"/>
  <c r="L1110" i="1"/>
  <c r="K1110" i="1"/>
  <c r="Q1109" i="1"/>
  <c r="P1109" i="1"/>
  <c r="O1109" i="1"/>
  <c r="N1109" i="1"/>
  <c r="M1109" i="1"/>
  <c r="L1109" i="1"/>
  <c r="K1109" i="1"/>
  <c r="Q1108" i="1"/>
  <c r="P1108" i="1"/>
  <c r="O1108" i="1"/>
  <c r="N1108" i="1"/>
  <c r="M1108" i="1"/>
  <c r="L1108" i="1"/>
  <c r="K1108" i="1"/>
  <c r="Q1107" i="1"/>
  <c r="P1107" i="1"/>
  <c r="O1107" i="1"/>
  <c r="N1107" i="1"/>
  <c r="M1107" i="1"/>
  <c r="L1107" i="1"/>
  <c r="K1107" i="1"/>
  <c r="Q1106" i="1"/>
  <c r="P1106" i="1"/>
  <c r="O1106" i="1"/>
  <c r="N1106" i="1"/>
  <c r="M1106" i="1"/>
  <c r="L1106" i="1"/>
  <c r="K1106" i="1"/>
  <c r="Q1105" i="1"/>
  <c r="P1105" i="1"/>
  <c r="O1105" i="1"/>
  <c r="N1105" i="1"/>
  <c r="M1105" i="1"/>
  <c r="L1105" i="1"/>
  <c r="K1105" i="1"/>
  <c r="Q1104" i="1"/>
  <c r="P1104" i="1"/>
  <c r="O1104" i="1"/>
  <c r="N1104" i="1"/>
  <c r="M1104" i="1"/>
  <c r="L1104" i="1"/>
  <c r="K1104" i="1"/>
  <c r="Q1103" i="1"/>
  <c r="P1103" i="1"/>
  <c r="O1103" i="1"/>
  <c r="N1103" i="1"/>
  <c r="M1103" i="1"/>
  <c r="L1103" i="1"/>
  <c r="K1103" i="1"/>
  <c r="Q1102" i="1"/>
  <c r="P1102" i="1"/>
  <c r="O1102" i="1"/>
  <c r="N1102" i="1"/>
  <c r="M1102" i="1"/>
  <c r="L1102" i="1"/>
  <c r="K1102" i="1"/>
  <c r="Q1101" i="1"/>
  <c r="P1101" i="1"/>
  <c r="O1101" i="1"/>
  <c r="N1101" i="1"/>
  <c r="M1101" i="1"/>
  <c r="L1101" i="1"/>
  <c r="K1101" i="1"/>
  <c r="Q1100" i="1"/>
  <c r="P1100" i="1"/>
  <c r="O1100" i="1"/>
  <c r="N1100" i="1"/>
  <c r="M1100" i="1"/>
  <c r="L1100" i="1"/>
  <c r="K1100" i="1"/>
  <c r="Q1099" i="1"/>
  <c r="P1099" i="1"/>
  <c r="O1099" i="1"/>
  <c r="N1099" i="1"/>
  <c r="M1099" i="1"/>
  <c r="L1099" i="1"/>
  <c r="K1099" i="1"/>
  <c r="Q1098" i="1"/>
  <c r="P1098" i="1"/>
  <c r="O1098" i="1"/>
  <c r="N1098" i="1"/>
  <c r="M1098" i="1"/>
  <c r="L1098" i="1"/>
  <c r="K1098" i="1"/>
  <c r="Q1097" i="1"/>
  <c r="P1097" i="1"/>
  <c r="O1097" i="1"/>
  <c r="N1097" i="1"/>
  <c r="M1097" i="1"/>
  <c r="L1097" i="1"/>
  <c r="K1097" i="1"/>
  <c r="Q1096" i="1"/>
  <c r="P1096" i="1"/>
  <c r="O1096" i="1"/>
  <c r="N1096" i="1"/>
  <c r="M1096" i="1"/>
  <c r="L1096" i="1"/>
  <c r="K1096" i="1"/>
  <c r="Q1095" i="1"/>
  <c r="P1095" i="1"/>
  <c r="O1095" i="1"/>
  <c r="N1095" i="1"/>
  <c r="M1095" i="1"/>
  <c r="L1095" i="1"/>
  <c r="K1095" i="1"/>
  <c r="Q1094" i="1"/>
  <c r="P1094" i="1"/>
  <c r="O1094" i="1"/>
  <c r="N1094" i="1"/>
  <c r="M1094" i="1"/>
  <c r="L1094" i="1"/>
  <c r="K1094" i="1"/>
  <c r="Q1093" i="1"/>
  <c r="P1093" i="1"/>
  <c r="O1093" i="1"/>
  <c r="N1093" i="1"/>
  <c r="M1093" i="1"/>
  <c r="L1093" i="1"/>
  <c r="K1093" i="1"/>
  <c r="Q1092" i="1"/>
  <c r="P1092" i="1"/>
  <c r="O1092" i="1"/>
  <c r="N1092" i="1"/>
  <c r="M1092" i="1"/>
  <c r="L1092" i="1"/>
  <c r="K1092" i="1"/>
  <c r="Q1091" i="1"/>
  <c r="P1091" i="1"/>
  <c r="O1091" i="1"/>
  <c r="N1091" i="1"/>
  <c r="M1091" i="1"/>
  <c r="L1091" i="1"/>
  <c r="K1091" i="1"/>
  <c r="Q1090" i="1"/>
  <c r="P1090" i="1"/>
  <c r="O1090" i="1"/>
  <c r="N1090" i="1"/>
  <c r="M1090" i="1"/>
  <c r="L1090" i="1"/>
  <c r="K1090" i="1"/>
  <c r="Q1089" i="1"/>
  <c r="P1089" i="1"/>
  <c r="O1089" i="1"/>
  <c r="N1089" i="1"/>
  <c r="M1089" i="1"/>
  <c r="L1089" i="1"/>
  <c r="K1089" i="1"/>
  <c r="Q1088" i="1"/>
  <c r="P1088" i="1"/>
  <c r="O1088" i="1"/>
  <c r="N1088" i="1"/>
  <c r="M1088" i="1"/>
  <c r="L1088" i="1"/>
  <c r="K1088" i="1"/>
  <c r="Q1087" i="1"/>
  <c r="P1087" i="1"/>
  <c r="O1087" i="1"/>
  <c r="N1087" i="1"/>
  <c r="M1087" i="1"/>
  <c r="L1087" i="1"/>
  <c r="K1087" i="1"/>
  <c r="Q1086" i="1"/>
  <c r="P1086" i="1"/>
  <c r="O1086" i="1"/>
  <c r="N1086" i="1"/>
  <c r="M1086" i="1"/>
  <c r="L1086" i="1"/>
  <c r="K1086" i="1"/>
  <c r="Q1085" i="1"/>
  <c r="P1085" i="1"/>
  <c r="O1085" i="1"/>
  <c r="N1085" i="1"/>
  <c r="M1085" i="1"/>
  <c r="L1085" i="1"/>
  <c r="K1085" i="1"/>
  <c r="Q1084" i="1"/>
  <c r="P1084" i="1"/>
  <c r="O1084" i="1"/>
  <c r="N1084" i="1"/>
  <c r="M1084" i="1"/>
  <c r="L1084" i="1"/>
  <c r="K1084" i="1"/>
  <c r="Q1083" i="1"/>
  <c r="P1083" i="1"/>
  <c r="O1083" i="1"/>
  <c r="N1083" i="1"/>
  <c r="M1083" i="1"/>
  <c r="L1083" i="1"/>
  <c r="K1083" i="1"/>
  <c r="Q1082" i="1"/>
  <c r="P1082" i="1"/>
  <c r="O1082" i="1"/>
  <c r="N1082" i="1"/>
  <c r="M1082" i="1"/>
  <c r="L1082" i="1"/>
  <c r="K1082" i="1"/>
  <c r="Q1081" i="1"/>
  <c r="P1081" i="1"/>
  <c r="O1081" i="1"/>
  <c r="N1081" i="1"/>
  <c r="M1081" i="1"/>
  <c r="L1081" i="1"/>
  <c r="K1081" i="1"/>
  <c r="Q1080" i="1"/>
  <c r="P1080" i="1"/>
  <c r="O1080" i="1"/>
  <c r="N1080" i="1"/>
  <c r="M1080" i="1"/>
  <c r="L1080" i="1"/>
  <c r="K1080" i="1"/>
  <c r="Q1079" i="1"/>
  <c r="P1079" i="1"/>
  <c r="O1079" i="1"/>
  <c r="N1079" i="1"/>
  <c r="M1079" i="1"/>
  <c r="L1079" i="1"/>
  <c r="K1079" i="1"/>
  <c r="Q1078" i="1"/>
  <c r="P1078" i="1"/>
  <c r="O1078" i="1"/>
  <c r="N1078" i="1"/>
  <c r="M1078" i="1"/>
  <c r="L1078" i="1"/>
  <c r="K1078" i="1"/>
  <c r="Q1077" i="1"/>
  <c r="P1077" i="1"/>
  <c r="O1077" i="1"/>
  <c r="N1077" i="1"/>
  <c r="M1077" i="1"/>
  <c r="L1077" i="1"/>
  <c r="K1077" i="1"/>
  <c r="Q1076" i="1"/>
  <c r="P1076" i="1"/>
  <c r="O1076" i="1"/>
  <c r="N1076" i="1"/>
  <c r="M1076" i="1"/>
  <c r="L1076" i="1"/>
  <c r="K1076" i="1"/>
  <c r="Q1075" i="1"/>
  <c r="P1075" i="1"/>
  <c r="O1075" i="1"/>
  <c r="N1075" i="1"/>
  <c r="M1075" i="1"/>
  <c r="L1075" i="1"/>
  <c r="K1075" i="1"/>
  <c r="Q1074" i="1"/>
  <c r="P1074" i="1"/>
  <c r="O1074" i="1"/>
  <c r="N1074" i="1"/>
  <c r="M1074" i="1"/>
  <c r="L1074" i="1"/>
  <c r="K1074" i="1"/>
  <c r="Q1073" i="1"/>
  <c r="P1073" i="1"/>
  <c r="O1073" i="1"/>
  <c r="N1073" i="1"/>
  <c r="M1073" i="1"/>
  <c r="L1073" i="1"/>
  <c r="K1073" i="1"/>
  <c r="Q1072" i="1"/>
  <c r="P1072" i="1"/>
  <c r="O1072" i="1"/>
  <c r="N1072" i="1"/>
  <c r="M1072" i="1"/>
  <c r="L1072" i="1"/>
  <c r="K1072" i="1"/>
  <c r="Q1071" i="1"/>
  <c r="P1071" i="1"/>
  <c r="O1071" i="1"/>
  <c r="N1071" i="1"/>
  <c r="M1071" i="1"/>
  <c r="L1071" i="1"/>
  <c r="K1071" i="1"/>
  <c r="Q1070" i="1"/>
  <c r="P1070" i="1"/>
  <c r="O1070" i="1"/>
  <c r="N1070" i="1"/>
  <c r="M1070" i="1"/>
  <c r="L1070" i="1"/>
  <c r="K1070" i="1"/>
  <c r="Q1069" i="1"/>
  <c r="P1069" i="1"/>
  <c r="O1069" i="1"/>
  <c r="N1069" i="1"/>
  <c r="M1069" i="1"/>
  <c r="L1069" i="1"/>
  <c r="K1069" i="1"/>
  <c r="Q1068" i="1"/>
  <c r="P1068" i="1"/>
  <c r="O1068" i="1"/>
  <c r="N1068" i="1"/>
  <c r="M1068" i="1"/>
  <c r="L1068" i="1"/>
  <c r="K1068" i="1"/>
  <c r="Q1067" i="1"/>
  <c r="P1067" i="1"/>
  <c r="O1067" i="1"/>
  <c r="N1067" i="1"/>
  <c r="M1067" i="1"/>
  <c r="L1067" i="1"/>
  <c r="K1067" i="1"/>
  <c r="Q1066" i="1"/>
  <c r="P1066" i="1"/>
  <c r="O1066" i="1"/>
  <c r="N1066" i="1"/>
  <c r="M1066" i="1"/>
  <c r="L1066" i="1"/>
  <c r="K1066" i="1"/>
  <c r="Q1065" i="1"/>
  <c r="P1065" i="1"/>
  <c r="O1065" i="1"/>
  <c r="N1065" i="1"/>
  <c r="M1065" i="1"/>
  <c r="L1065" i="1"/>
  <c r="K1065" i="1"/>
  <c r="Q1064" i="1"/>
  <c r="P1064" i="1"/>
  <c r="O1064" i="1"/>
  <c r="N1064" i="1"/>
  <c r="M1064" i="1"/>
  <c r="L1064" i="1"/>
  <c r="K1064" i="1"/>
  <c r="Q1063" i="1"/>
  <c r="P1063" i="1"/>
  <c r="O1063" i="1"/>
  <c r="N1063" i="1"/>
  <c r="M1063" i="1"/>
  <c r="L1063" i="1"/>
  <c r="K1063" i="1"/>
  <c r="Q1062" i="1"/>
  <c r="P1062" i="1"/>
  <c r="O1062" i="1"/>
  <c r="N1062" i="1"/>
  <c r="M1062" i="1"/>
  <c r="L1062" i="1"/>
  <c r="K1062" i="1"/>
  <c r="Q1061" i="1"/>
  <c r="P1061" i="1"/>
  <c r="O1061" i="1"/>
  <c r="N1061" i="1"/>
  <c r="M1061" i="1"/>
  <c r="L1061" i="1"/>
  <c r="K1061" i="1"/>
  <c r="Q1060" i="1"/>
  <c r="P1060" i="1"/>
  <c r="O1060" i="1"/>
  <c r="N1060" i="1"/>
  <c r="M1060" i="1"/>
  <c r="L1060" i="1"/>
  <c r="K1060" i="1"/>
  <c r="Q1059" i="1"/>
  <c r="P1059" i="1"/>
  <c r="O1059" i="1"/>
  <c r="N1059" i="1"/>
  <c r="M1059" i="1"/>
  <c r="L1059" i="1"/>
  <c r="K1059" i="1"/>
  <c r="Q1058" i="1"/>
  <c r="P1058" i="1"/>
  <c r="O1058" i="1"/>
  <c r="N1058" i="1"/>
  <c r="M1058" i="1"/>
  <c r="L1058" i="1"/>
  <c r="K1058" i="1"/>
  <c r="Q1057" i="1"/>
  <c r="P1057" i="1"/>
  <c r="O1057" i="1"/>
  <c r="N1057" i="1"/>
  <c r="M1057" i="1"/>
  <c r="L1057" i="1"/>
  <c r="K1057" i="1"/>
  <c r="Q1056" i="1"/>
  <c r="P1056" i="1"/>
  <c r="O1056" i="1"/>
  <c r="N1056" i="1"/>
  <c r="M1056" i="1"/>
  <c r="L1056" i="1"/>
  <c r="K1056" i="1"/>
  <c r="Q1055" i="1"/>
  <c r="P1055" i="1"/>
  <c r="O1055" i="1"/>
  <c r="N1055" i="1"/>
  <c r="M1055" i="1"/>
  <c r="L1055" i="1"/>
  <c r="K1055" i="1"/>
  <c r="Q1054" i="1"/>
  <c r="P1054" i="1"/>
  <c r="O1054" i="1"/>
  <c r="N1054" i="1"/>
  <c r="M1054" i="1"/>
  <c r="L1054" i="1"/>
  <c r="K1054" i="1"/>
  <c r="Q1053" i="1"/>
  <c r="P1053" i="1"/>
  <c r="O1053" i="1"/>
  <c r="N1053" i="1"/>
  <c r="M1053" i="1"/>
  <c r="L1053" i="1"/>
  <c r="K1053" i="1"/>
  <c r="Q1052" i="1"/>
  <c r="P1052" i="1"/>
  <c r="O1052" i="1"/>
  <c r="N1052" i="1"/>
  <c r="M1052" i="1"/>
  <c r="L1052" i="1"/>
  <c r="K1052" i="1"/>
  <c r="Q1051" i="1"/>
  <c r="P1051" i="1"/>
  <c r="O1051" i="1"/>
  <c r="N1051" i="1"/>
  <c r="M1051" i="1"/>
  <c r="L1051" i="1"/>
  <c r="K1051" i="1"/>
  <c r="Q1050" i="1"/>
  <c r="P1050" i="1"/>
  <c r="O1050" i="1"/>
  <c r="N1050" i="1"/>
  <c r="M1050" i="1"/>
  <c r="L1050" i="1"/>
  <c r="K1050" i="1"/>
  <c r="Q1049" i="1"/>
  <c r="P1049" i="1"/>
  <c r="O1049" i="1"/>
  <c r="N1049" i="1"/>
  <c r="M1049" i="1"/>
  <c r="L1049" i="1"/>
  <c r="K1049" i="1"/>
  <c r="Q1048" i="1"/>
  <c r="P1048" i="1"/>
  <c r="O1048" i="1"/>
  <c r="N1048" i="1"/>
  <c r="M1048" i="1"/>
  <c r="L1048" i="1"/>
  <c r="K1048" i="1"/>
  <c r="Q1047" i="1"/>
  <c r="P1047" i="1"/>
  <c r="O1047" i="1"/>
  <c r="N1047" i="1"/>
  <c r="M1047" i="1"/>
  <c r="L1047" i="1"/>
  <c r="K1047" i="1"/>
  <c r="Q1046" i="1"/>
  <c r="P1046" i="1"/>
  <c r="O1046" i="1"/>
  <c r="N1046" i="1"/>
  <c r="M1046" i="1"/>
  <c r="L1046" i="1"/>
  <c r="K1046" i="1"/>
  <c r="Q1045" i="1"/>
  <c r="P1045" i="1"/>
  <c r="O1045" i="1"/>
  <c r="N1045" i="1"/>
  <c r="M1045" i="1"/>
  <c r="L1045" i="1"/>
  <c r="K1045" i="1"/>
  <c r="Q1044" i="1"/>
  <c r="P1044" i="1"/>
  <c r="O1044" i="1"/>
  <c r="N1044" i="1"/>
  <c r="M1044" i="1"/>
  <c r="L1044" i="1"/>
  <c r="K1044" i="1"/>
  <c r="Q1043" i="1"/>
  <c r="P1043" i="1"/>
  <c r="O1043" i="1"/>
  <c r="N1043" i="1"/>
  <c r="M1043" i="1"/>
  <c r="L1043" i="1"/>
  <c r="K1043" i="1"/>
  <c r="Q1042" i="1"/>
  <c r="P1042" i="1"/>
  <c r="O1042" i="1"/>
  <c r="N1042" i="1"/>
  <c r="M1042" i="1"/>
  <c r="L1042" i="1"/>
  <c r="K1042" i="1"/>
  <c r="Q1041" i="1"/>
  <c r="P1041" i="1"/>
  <c r="O1041" i="1"/>
  <c r="N1041" i="1"/>
  <c r="M1041" i="1"/>
  <c r="L1041" i="1"/>
  <c r="K1041" i="1"/>
  <c r="Q1040" i="1"/>
  <c r="P1040" i="1"/>
  <c r="O1040" i="1"/>
  <c r="N1040" i="1"/>
  <c r="M1040" i="1"/>
  <c r="L1040" i="1"/>
  <c r="K1040" i="1"/>
  <c r="Q1039" i="1"/>
  <c r="P1039" i="1"/>
  <c r="O1039" i="1"/>
  <c r="N1039" i="1"/>
  <c r="M1039" i="1"/>
  <c r="L1039" i="1"/>
  <c r="K1039" i="1"/>
  <c r="Q1038" i="1"/>
  <c r="P1038" i="1"/>
  <c r="O1038" i="1"/>
  <c r="N1038" i="1"/>
  <c r="M1038" i="1"/>
  <c r="L1038" i="1"/>
  <c r="K1038" i="1"/>
  <c r="Q1037" i="1"/>
  <c r="P1037" i="1"/>
  <c r="O1037" i="1"/>
  <c r="N1037" i="1"/>
  <c r="M1037" i="1"/>
  <c r="L1037" i="1"/>
  <c r="K1037" i="1"/>
  <c r="Q1036" i="1"/>
  <c r="P1036" i="1"/>
  <c r="O1036" i="1"/>
  <c r="N1036" i="1"/>
  <c r="M1036" i="1"/>
  <c r="L1036" i="1"/>
  <c r="K1036" i="1"/>
  <c r="Q1035" i="1"/>
  <c r="P1035" i="1"/>
  <c r="O1035" i="1"/>
  <c r="N1035" i="1"/>
  <c r="M1035" i="1"/>
  <c r="L1035" i="1"/>
  <c r="K1035" i="1"/>
  <c r="Q1034" i="1"/>
  <c r="P1034" i="1"/>
  <c r="O1034" i="1"/>
  <c r="N1034" i="1"/>
  <c r="M1034" i="1"/>
  <c r="L1034" i="1"/>
  <c r="K1034" i="1"/>
  <c r="Q1033" i="1"/>
  <c r="P1033" i="1"/>
  <c r="O1033" i="1"/>
  <c r="N1033" i="1"/>
  <c r="M1033" i="1"/>
  <c r="L1033" i="1"/>
  <c r="K1033" i="1"/>
  <c r="Q1032" i="1"/>
  <c r="P1032" i="1"/>
  <c r="O1032" i="1"/>
  <c r="N1032" i="1"/>
  <c r="M1032" i="1"/>
  <c r="L1032" i="1"/>
  <c r="K1032" i="1"/>
  <c r="Q1031" i="1"/>
  <c r="P1031" i="1"/>
  <c r="O1031" i="1"/>
  <c r="N1031" i="1"/>
  <c r="M1031" i="1"/>
  <c r="L1031" i="1"/>
  <c r="K1031" i="1"/>
  <c r="Q1030" i="1"/>
  <c r="P1030" i="1"/>
  <c r="O1030" i="1"/>
  <c r="N1030" i="1"/>
  <c r="M1030" i="1"/>
  <c r="L1030" i="1"/>
  <c r="K1030" i="1"/>
  <c r="Q1029" i="1"/>
  <c r="P1029" i="1"/>
  <c r="O1029" i="1"/>
  <c r="N1029" i="1"/>
  <c r="M1029" i="1"/>
  <c r="L1029" i="1"/>
  <c r="K1029" i="1"/>
  <c r="Q1028" i="1"/>
  <c r="P1028" i="1"/>
  <c r="O1028" i="1"/>
  <c r="N1028" i="1"/>
  <c r="M1028" i="1"/>
  <c r="L1028" i="1"/>
  <c r="K1028" i="1"/>
  <c r="Q1027" i="1"/>
  <c r="P1027" i="1"/>
  <c r="O1027" i="1"/>
  <c r="N1027" i="1"/>
  <c r="M1027" i="1"/>
  <c r="L1027" i="1"/>
  <c r="K1027" i="1"/>
  <c r="Q1026" i="1"/>
  <c r="P1026" i="1"/>
  <c r="O1026" i="1"/>
  <c r="N1026" i="1"/>
  <c r="M1026" i="1"/>
  <c r="L1026" i="1"/>
  <c r="K1026" i="1"/>
  <c r="Q1025" i="1"/>
  <c r="P1025" i="1"/>
  <c r="O1025" i="1"/>
  <c r="N1025" i="1"/>
  <c r="M1025" i="1"/>
  <c r="L1025" i="1"/>
  <c r="K1025" i="1"/>
  <c r="Q1024" i="1"/>
  <c r="P1024" i="1"/>
  <c r="O1024" i="1"/>
  <c r="N1024" i="1"/>
  <c r="M1024" i="1"/>
  <c r="L1024" i="1"/>
  <c r="K1024" i="1"/>
  <c r="Q1023" i="1"/>
  <c r="P1023" i="1"/>
  <c r="O1023" i="1"/>
  <c r="N1023" i="1"/>
  <c r="M1023" i="1"/>
  <c r="L1023" i="1"/>
  <c r="K1023" i="1"/>
  <c r="Q1022" i="1"/>
  <c r="P1022" i="1"/>
  <c r="O1022" i="1"/>
  <c r="N1022" i="1"/>
  <c r="M1022" i="1"/>
  <c r="L1022" i="1"/>
  <c r="K1022" i="1"/>
  <c r="Q1021" i="1"/>
  <c r="P1021" i="1"/>
  <c r="O1021" i="1"/>
  <c r="N1021" i="1"/>
  <c r="M1021" i="1"/>
  <c r="L1021" i="1"/>
  <c r="K1021" i="1"/>
  <c r="Q1020" i="1"/>
  <c r="P1020" i="1"/>
  <c r="O1020" i="1"/>
  <c r="N1020" i="1"/>
  <c r="M1020" i="1"/>
  <c r="L1020" i="1"/>
  <c r="K1020" i="1"/>
  <c r="Q1019" i="1"/>
  <c r="P1019" i="1"/>
  <c r="O1019" i="1"/>
  <c r="N1019" i="1"/>
  <c r="M1019" i="1"/>
  <c r="L1019" i="1"/>
  <c r="K1019" i="1"/>
  <c r="Q1018" i="1"/>
  <c r="P1018" i="1"/>
  <c r="O1018" i="1"/>
  <c r="N1018" i="1"/>
  <c r="M1018" i="1"/>
  <c r="L1018" i="1"/>
  <c r="K1018" i="1"/>
  <c r="Q1017" i="1"/>
  <c r="P1017" i="1"/>
  <c r="O1017" i="1"/>
  <c r="N1017" i="1"/>
  <c r="M1017" i="1"/>
  <c r="L1017" i="1"/>
  <c r="K1017" i="1"/>
  <c r="Q1016" i="1"/>
  <c r="P1016" i="1"/>
  <c r="O1016" i="1"/>
  <c r="N1016" i="1"/>
  <c r="M1016" i="1"/>
  <c r="L1016" i="1"/>
  <c r="K1016" i="1"/>
  <c r="Q1015" i="1"/>
  <c r="P1015" i="1"/>
  <c r="O1015" i="1"/>
  <c r="N1015" i="1"/>
  <c r="M1015" i="1"/>
  <c r="L1015" i="1"/>
  <c r="K1015" i="1"/>
  <c r="Q1014" i="1"/>
  <c r="P1014" i="1"/>
  <c r="O1014" i="1"/>
  <c r="N1014" i="1"/>
  <c r="M1014" i="1"/>
  <c r="L1014" i="1"/>
  <c r="K1014" i="1"/>
  <c r="Q1013" i="1"/>
  <c r="P1013" i="1"/>
  <c r="O1013" i="1"/>
  <c r="N1013" i="1"/>
  <c r="M1013" i="1"/>
  <c r="L1013" i="1"/>
  <c r="K1013" i="1"/>
  <c r="Q1012" i="1"/>
  <c r="P1012" i="1"/>
  <c r="O1012" i="1"/>
  <c r="N1012" i="1"/>
  <c r="M1012" i="1"/>
  <c r="L1012" i="1"/>
  <c r="K1012" i="1"/>
  <c r="Q1011" i="1"/>
  <c r="P1011" i="1"/>
  <c r="O1011" i="1"/>
  <c r="N1011" i="1"/>
  <c r="M1011" i="1"/>
  <c r="L1011" i="1"/>
  <c r="K1011" i="1"/>
  <c r="Q1010" i="1"/>
  <c r="P1010" i="1"/>
  <c r="O1010" i="1"/>
  <c r="N1010" i="1"/>
  <c r="M1010" i="1"/>
  <c r="L1010" i="1"/>
  <c r="K1010" i="1"/>
  <c r="Q1009" i="1"/>
  <c r="P1009" i="1"/>
  <c r="O1009" i="1"/>
  <c r="N1009" i="1"/>
  <c r="M1009" i="1"/>
  <c r="L1009" i="1"/>
  <c r="K1009" i="1"/>
  <c r="Q1008" i="1"/>
  <c r="P1008" i="1"/>
  <c r="O1008" i="1"/>
  <c r="N1008" i="1"/>
  <c r="M1008" i="1"/>
  <c r="L1008" i="1"/>
  <c r="K1008" i="1"/>
  <c r="Q1007" i="1"/>
  <c r="P1007" i="1"/>
  <c r="O1007" i="1"/>
  <c r="N1007" i="1"/>
  <c r="M1007" i="1"/>
  <c r="L1007" i="1"/>
  <c r="K1007" i="1"/>
  <c r="Q1006" i="1"/>
  <c r="P1006" i="1"/>
  <c r="O1006" i="1"/>
  <c r="N1006" i="1"/>
  <c r="M1006" i="1"/>
  <c r="L1006" i="1"/>
  <c r="K1006" i="1"/>
  <c r="Q1005" i="1"/>
  <c r="P1005" i="1"/>
  <c r="O1005" i="1"/>
  <c r="N1005" i="1"/>
  <c r="M1005" i="1"/>
  <c r="L1005" i="1"/>
  <c r="K1005" i="1"/>
  <c r="Q1004" i="1"/>
  <c r="P1004" i="1"/>
  <c r="O1004" i="1"/>
  <c r="N1004" i="1"/>
  <c r="M1004" i="1"/>
  <c r="L1004" i="1"/>
  <c r="K1004" i="1"/>
  <c r="Q1003" i="1"/>
  <c r="P1003" i="1"/>
  <c r="O1003" i="1"/>
  <c r="N1003" i="1"/>
  <c r="M1003" i="1"/>
  <c r="L1003" i="1"/>
  <c r="K1003" i="1"/>
  <c r="Q1002" i="1"/>
  <c r="P1002" i="1"/>
  <c r="O1002" i="1"/>
  <c r="N1002" i="1"/>
  <c r="M1002" i="1"/>
  <c r="L1002" i="1"/>
  <c r="K1002" i="1"/>
  <c r="Q1001" i="1"/>
  <c r="P1001" i="1"/>
  <c r="O1001" i="1"/>
  <c r="N1001" i="1"/>
  <c r="M1001" i="1"/>
  <c r="L1001" i="1"/>
  <c r="K1001" i="1"/>
  <c r="Q1000" i="1"/>
  <c r="P1000" i="1"/>
  <c r="O1000" i="1"/>
  <c r="N1000" i="1"/>
  <c r="M1000" i="1"/>
  <c r="L1000" i="1"/>
  <c r="K1000" i="1"/>
  <c r="Q999" i="1"/>
  <c r="P999" i="1"/>
  <c r="O999" i="1"/>
  <c r="N999" i="1"/>
  <c r="M999" i="1"/>
  <c r="L999" i="1"/>
  <c r="K999" i="1"/>
  <c r="Q998" i="1"/>
  <c r="P998" i="1"/>
  <c r="O998" i="1"/>
  <c r="N998" i="1"/>
  <c r="M998" i="1"/>
  <c r="L998" i="1"/>
  <c r="K998" i="1"/>
  <c r="Q997" i="1"/>
  <c r="P997" i="1"/>
  <c r="O997" i="1"/>
  <c r="N997" i="1"/>
  <c r="M997" i="1"/>
  <c r="L997" i="1"/>
  <c r="K997" i="1"/>
  <c r="Q996" i="1"/>
  <c r="P996" i="1"/>
  <c r="O996" i="1"/>
  <c r="N996" i="1"/>
  <c r="M996" i="1"/>
  <c r="L996" i="1"/>
  <c r="K996" i="1"/>
  <c r="Q995" i="1"/>
  <c r="P995" i="1"/>
  <c r="O995" i="1"/>
  <c r="N995" i="1"/>
  <c r="M995" i="1"/>
  <c r="L995" i="1"/>
  <c r="K995" i="1"/>
  <c r="Q994" i="1"/>
  <c r="P994" i="1"/>
  <c r="O994" i="1"/>
  <c r="N994" i="1"/>
  <c r="M994" i="1"/>
  <c r="L994" i="1"/>
  <c r="K994" i="1"/>
  <c r="Q993" i="1"/>
  <c r="P993" i="1"/>
  <c r="O993" i="1"/>
  <c r="N993" i="1"/>
  <c r="M993" i="1"/>
  <c r="L993" i="1"/>
  <c r="K993" i="1"/>
  <c r="Q992" i="1"/>
  <c r="P992" i="1"/>
  <c r="O992" i="1"/>
  <c r="N992" i="1"/>
  <c r="M992" i="1"/>
  <c r="L992" i="1"/>
  <c r="K992" i="1"/>
  <c r="Q991" i="1"/>
  <c r="P991" i="1"/>
  <c r="O991" i="1"/>
  <c r="N991" i="1"/>
  <c r="M991" i="1"/>
  <c r="L991" i="1"/>
  <c r="K991" i="1"/>
  <c r="Q990" i="1"/>
  <c r="P990" i="1"/>
  <c r="O990" i="1"/>
  <c r="N990" i="1"/>
  <c r="M990" i="1"/>
  <c r="L990" i="1"/>
  <c r="K990" i="1"/>
  <c r="Q989" i="1"/>
  <c r="P989" i="1"/>
  <c r="O989" i="1"/>
  <c r="N989" i="1"/>
  <c r="M989" i="1"/>
  <c r="L989" i="1"/>
  <c r="K989" i="1"/>
  <c r="Q988" i="1"/>
  <c r="P988" i="1"/>
  <c r="O988" i="1"/>
  <c r="N988" i="1"/>
  <c r="M988" i="1"/>
  <c r="L988" i="1"/>
  <c r="K988" i="1"/>
  <c r="Q987" i="1"/>
  <c r="P987" i="1"/>
  <c r="O987" i="1"/>
  <c r="N987" i="1"/>
  <c r="M987" i="1"/>
  <c r="L987" i="1"/>
  <c r="K987" i="1"/>
  <c r="Q986" i="1"/>
  <c r="P986" i="1"/>
  <c r="O986" i="1"/>
  <c r="N986" i="1"/>
  <c r="M986" i="1"/>
  <c r="L986" i="1"/>
  <c r="K986" i="1"/>
  <c r="Q985" i="1"/>
  <c r="P985" i="1"/>
  <c r="O985" i="1"/>
  <c r="N985" i="1"/>
  <c r="M985" i="1"/>
  <c r="L985" i="1"/>
  <c r="K985" i="1"/>
  <c r="Q984" i="1"/>
  <c r="P984" i="1"/>
  <c r="O984" i="1"/>
  <c r="N984" i="1"/>
  <c r="M984" i="1"/>
  <c r="L984" i="1"/>
  <c r="K984" i="1"/>
  <c r="Q983" i="1"/>
  <c r="P983" i="1"/>
  <c r="O983" i="1"/>
  <c r="N983" i="1"/>
  <c r="M983" i="1"/>
  <c r="L983" i="1"/>
  <c r="K983" i="1"/>
  <c r="Q982" i="1"/>
  <c r="P982" i="1"/>
  <c r="O982" i="1"/>
  <c r="N982" i="1"/>
  <c r="M982" i="1"/>
  <c r="L982" i="1"/>
  <c r="K982" i="1"/>
  <c r="Q981" i="1"/>
  <c r="P981" i="1"/>
  <c r="O981" i="1"/>
  <c r="N981" i="1"/>
  <c r="M981" i="1"/>
  <c r="L981" i="1"/>
  <c r="K981" i="1"/>
  <c r="Q980" i="1"/>
  <c r="P980" i="1"/>
  <c r="O980" i="1"/>
  <c r="N980" i="1"/>
  <c r="M980" i="1"/>
  <c r="L980" i="1"/>
  <c r="K980" i="1"/>
  <c r="Q979" i="1"/>
  <c r="P979" i="1"/>
  <c r="O979" i="1"/>
  <c r="N979" i="1"/>
  <c r="M979" i="1"/>
  <c r="L979" i="1"/>
  <c r="K979" i="1"/>
  <c r="Q978" i="1"/>
  <c r="P978" i="1"/>
  <c r="O978" i="1"/>
  <c r="N978" i="1"/>
  <c r="M978" i="1"/>
  <c r="L978" i="1"/>
  <c r="K978" i="1"/>
  <c r="Q977" i="1"/>
  <c r="P977" i="1"/>
  <c r="O977" i="1"/>
  <c r="N977" i="1"/>
  <c r="M977" i="1"/>
  <c r="L977" i="1"/>
  <c r="K977" i="1"/>
  <c r="Q976" i="1"/>
  <c r="P976" i="1"/>
  <c r="O976" i="1"/>
  <c r="N976" i="1"/>
  <c r="M976" i="1"/>
  <c r="L976" i="1"/>
  <c r="K976" i="1"/>
  <c r="Q975" i="1"/>
  <c r="P975" i="1"/>
  <c r="O975" i="1"/>
  <c r="N975" i="1"/>
  <c r="M975" i="1"/>
  <c r="L975" i="1"/>
  <c r="K975" i="1"/>
  <c r="Q974" i="1"/>
  <c r="P974" i="1"/>
  <c r="O974" i="1"/>
  <c r="N974" i="1"/>
  <c r="M974" i="1"/>
  <c r="L974" i="1"/>
  <c r="K974" i="1"/>
  <c r="Q973" i="1"/>
  <c r="P973" i="1"/>
  <c r="O973" i="1"/>
  <c r="N973" i="1"/>
  <c r="M973" i="1"/>
  <c r="L973" i="1"/>
  <c r="K973" i="1"/>
  <c r="Q972" i="1"/>
  <c r="P972" i="1"/>
  <c r="O972" i="1"/>
  <c r="N972" i="1"/>
  <c r="M972" i="1"/>
  <c r="L972" i="1"/>
  <c r="K972" i="1"/>
  <c r="Q971" i="1"/>
  <c r="P971" i="1"/>
  <c r="O971" i="1"/>
  <c r="N971" i="1"/>
  <c r="M971" i="1"/>
  <c r="L971" i="1"/>
  <c r="K971" i="1"/>
  <c r="Q970" i="1"/>
  <c r="P970" i="1"/>
  <c r="O970" i="1"/>
  <c r="N970" i="1"/>
  <c r="M970" i="1"/>
  <c r="L970" i="1"/>
  <c r="K970" i="1"/>
  <c r="Q969" i="1"/>
  <c r="P969" i="1"/>
  <c r="O969" i="1"/>
  <c r="N969" i="1"/>
  <c r="M969" i="1"/>
  <c r="L969" i="1"/>
  <c r="K969" i="1"/>
  <c r="Q968" i="1"/>
  <c r="P968" i="1"/>
  <c r="O968" i="1"/>
  <c r="N968" i="1"/>
  <c r="M968" i="1"/>
  <c r="L968" i="1"/>
  <c r="K968" i="1"/>
  <c r="Q967" i="1"/>
  <c r="P967" i="1"/>
  <c r="O967" i="1"/>
  <c r="N967" i="1"/>
  <c r="M967" i="1"/>
  <c r="L967" i="1"/>
  <c r="K967" i="1"/>
  <c r="Q966" i="1"/>
  <c r="P966" i="1"/>
  <c r="O966" i="1"/>
  <c r="N966" i="1"/>
  <c r="M966" i="1"/>
  <c r="L966" i="1"/>
  <c r="K966" i="1"/>
  <c r="Q965" i="1"/>
  <c r="P965" i="1"/>
  <c r="O965" i="1"/>
  <c r="N965" i="1"/>
  <c r="M965" i="1"/>
  <c r="L965" i="1"/>
  <c r="K965" i="1"/>
  <c r="Q964" i="1"/>
  <c r="P964" i="1"/>
  <c r="O964" i="1"/>
  <c r="N964" i="1"/>
  <c r="M964" i="1"/>
  <c r="L964" i="1"/>
  <c r="K964" i="1"/>
  <c r="Q963" i="1"/>
  <c r="P963" i="1"/>
  <c r="O963" i="1"/>
  <c r="N963" i="1"/>
  <c r="M963" i="1"/>
  <c r="L963" i="1"/>
  <c r="K963" i="1"/>
  <c r="Q962" i="1"/>
  <c r="P962" i="1"/>
  <c r="O962" i="1"/>
  <c r="N962" i="1"/>
  <c r="M962" i="1"/>
  <c r="L962" i="1"/>
  <c r="K962" i="1"/>
  <c r="Q961" i="1"/>
  <c r="P961" i="1"/>
  <c r="O961" i="1"/>
  <c r="N961" i="1"/>
  <c r="M961" i="1"/>
  <c r="L961" i="1"/>
  <c r="K961" i="1"/>
  <c r="Q960" i="1"/>
  <c r="P960" i="1"/>
  <c r="O960" i="1"/>
  <c r="N960" i="1"/>
  <c r="M960" i="1"/>
  <c r="L960" i="1"/>
  <c r="K960" i="1"/>
  <c r="Q959" i="1"/>
  <c r="P959" i="1"/>
  <c r="O959" i="1"/>
  <c r="N959" i="1"/>
  <c r="M959" i="1"/>
  <c r="L959" i="1"/>
  <c r="K959" i="1"/>
  <c r="Q958" i="1"/>
  <c r="P958" i="1"/>
  <c r="O958" i="1"/>
  <c r="N958" i="1"/>
  <c r="M958" i="1"/>
  <c r="L958" i="1"/>
  <c r="K958" i="1"/>
  <c r="Q957" i="1"/>
  <c r="P957" i="1"/>
  <c r="O957" i="1"/>
  <c r="N957" i="1"/>
  <c r="M957" i="1"/>
  <c r="L957" i="1"/>
  <c r="K957" i="1"/>
  <c r="Q956" i="1"/>
  <c r="P956" i="1"/>
  <c r="O956" i="1"/>
  <c r="N956" i="1"/>
  <c r="M956" i="1"/>
  <c r="L956" i="1"/>
  <c r="K956" i="1"/>
  <c r="Q955" i="1"/>
  <c r="P955" i="1"/>
  <c r="O955" i="1"/>
  <c r="N955" i="1"/>
  <c r="M955" i="1"/>
  <c r="L955" i="1"/>
  <c r="K955" i="1"/>
  <c r="Q954" i="1"/>
  <c r="P954" i="1"/>
  <c r="O954" i="1"/>
  <c r="N954" i="1"/>
  <c r="M954" i="1"/>
  <c r="L954" i="1"/>
  <c r="K954" i="1"/>
  <c r="Q953" i="1"/>
  <c r="P953" i="1"/>
  <c r="O953" i="1"/>
  <c r="N953" i="1"/>
  <c r="M953" i="1"/>
  <c r="L953" i="1"/>
  <c r="K953" i="1"/>
  <c r="Q952" i="1"/>
  <c r="P952" i="1"/>
  <c r="O952" i="1"/>
  <c r="N952" i="1"/>
  <c r="M952" i="1"/>
  <c r="L952" i="1"/>
  <c r="K952" i="1"/>
  <c r="Q951" i="1"/>
  <c r="P951" i="1"/>
  <c r="O951" i="1"/>
  <c r="N951" i="1"/>
  <c r="M951" i="1"/>
  <c r="L951" i="1"/>
  <c r="K951" i="1"/>
  <c r="Q950" i="1"/>
  <c r="P950" i="1"/>
  <c r="O950" i="1"/>
  <c r="N950" i="1"/>
  <c r="M950" i="1"/>
  <c r="L950" i="1"/>
  <c r="K950" i="1"/>
  <c r="Q949" i="1"/>
  <c r="P949" i="1"/>
  <c r="O949" i="1"/>
  <c r="N949" i="1"/>
  <c r="M949" i="1"/>
  <c r="L949" i="1"/>
  <c r="K949" i="1"/>
  <c r="Q948" i="1"/>
  <c r="P948" i="1"/>
  <c r="O948" i="1"/>
  <c r="N948" i="1"/>
  <c r="M948" i="1"/>
  <c r="L948" i="1"/>
  <c r="K948" i="1"/>
  <c r="Q947" i="1"/>
  <c r="P947" i="1"/>
  <c r="O947" i="1"/>
  <c r="N947" i="1"/>
  <c r="M947" i="1"/>
  <c r="L947" i="1"/>
  <c r="K947" i="1"/>
  <c r="Q946" i="1"/>
  <c r="P946" i="1"/>
  <c r="O946" i="1"/>
  <c r="N946" i="1"/>
  <c r="M946" i="1"/>
  <c r="L946" i="1"/>
  <c r="K946" i="1"/>
  <c r="Q945" i="1"/>
  <c r="P945" i="1"/>
  <c r="O945" i="1"/>
  <c r="N945" i="1"/>
  <c r="M945" i="1"/>
  <c r="L945" i="1"/>
  <c r="K945" i="1"/>
  <c r="Q944" i="1"/>
  <c r="P944" i="1"/>
  <c r="O944" i="1"/>
  <c r="N944" i="1"/>
  <c r="M944" i="1"/>
  <c r="L944" i="1"/>
  <c r="K944" i="1"/>
  <c r="Q943" i="1"/>
  <c r="P943" i="1"/>
  <c r="O943" i="1"/>
  <c r="N943" i="1"/>
  <c r="M943" i="1"/>
  <c r="L943" i="1"/>
  <c r="K943" i="1"/>
  <c r="Q942" i="1"/>
  <c r="P942" i="1"/>
  <c r="O942" i="1"/>
  <c r="N942" i="1"/>
  <c r="M942" i="1"/>
  <c r="L942" i="1"/>
  <c r="K942" i="1"/>
  <c r="Q941" i="1"/>
  <c r="P941" i="1"/>
  <c r="O941" i="1"/>
  <c r="N941" i="1"/>
  <c r="M941" i="1"/>
  <c r="L941" i="1"/>
  <c r="K941" i="1"/>
  <c r="Q940" i="1"/>
  <c r="P940" i="1"/>
  <c r="O940" i="1"/>
  <c r="N940" i="1"/>
  <c r="M940" i="1"/>
  <c r="L940" i="1"/>
  <c r="K940" i="1"/>
  <c r="Q939" i="1"/>
  <c r="P939" i="1"/>
  <c r="O939" i="1"/>
  <c r="N939" i="1"/>
  <c r="M939" i="1"/>
  <c r="L939" i="1"/>
  <c r="K939" i="1"/>
  <c r="Q938" i="1"/>
  <c r="P938" i="1"/>
  <c r="O938" i="1"/>
  <c r="N938" i="1"/>
  <c r="M938" i="1"/>
  <c r="L938" i="1"/>
  <c r="K938" i="1"/>
  <c r="Q937" i="1"/>
  <c r="P937" i="1"/>
  <c r="O937" i="1"/>
  <c r="N937" i="1"/>
  <c r="M937" i="1"/>
  <c r="L937" i="1"/>
  <c r="K937" i="1"/>
  <c r="Q936" i="1"/>
  <c r="P936" i="1"/>
  <c r="O936" i="1"/>
  <c r="N936" i="1"/>
  <c r="M936" i="1"/>
  <c r="L936" i="1"/>
  <c r="K936" i="1"/>
  <c r="Q935" i="1"/>
  <c r="P935" i="1"/>
  <c r="O935" i="1"/>
  <c r="N935" i="1"/>
  <c r="M935" i="1"/>
  <c r="L935" i="1"/>
  <c r="K935" i="1"/>
  <c r="Q934" i="1"/>
  <c r="P934" i="1"/>
  <c r="O934" i="1"/>
  <c r="N934" i="1"/>
  <c r="M934" i="1"/>
  <c r="L934" i="1"/>
  <c r="K934" i="1"/>
  <c r="Q933" i="1"/>
  <c r="P933" i="1"/>
  <c r="O933" i="1"/>
  <c r="N933" i="1"/>
  <c r="M933" i="1"/>
  <c r="L933" i="1"/>
  <c r="K933" i="1"/>
  <c r="Q932" i="1"/>
  <c r="P932" i="1"/>
  <c r="O932" i="1"/>
  <c r="N932" i="1"/>
  <c r="M932" i="1"/>
  <c r="L932" i="1"/>
  <c r="K932" i="1"/>
  <c r="Q931" i="1"/>
  <c r="P931" i="1"/>
  <c r="O931" i="1"/>
  <c r="N931" i="1"/>
  <c r="M931" i="1"/>
  <c r="L931" i="1"/>
  <c r="K931" i="1"/>
  <c r="Q930" i="1"/>
  <c r="P930" i="1"/>
  <c r="O930" i="1"/>
  <c r="N930" i="1"/>
  <c r="M930" i="1"/>
  <c r="L930" i="1"/>
  <c r="K930" i="1"/>
  <c r="Q929" i="1"/>
  <c r="P929" i="1"/>
  <c r="O929" i="1"/>
  <c r="N929" i="1"/>
  <c r="M929" i="1"/>
  <c r="L929" i="1"/>
  <c r="K929" i="1"/>
  <c r="Q928" i="1"/>
  <c r="P928" i="1"/>
  <c r="O928" i="1"/>
  <c r="N928" i="1"/>
  <c r="M928" i="1"/>
  <c r="L928" i="1"/>
  <c r="K928" i="1"/>
  <c r="Q927" i="1"/>
  <c r="P927" i="1"/>
  <c r="O927" i="1"/>
  <c r="N927" i="1"/>
  <c r="M927" i="1"/>
  <c r="L927" i="1"/>
  <c r="K927" i="1"/>
  <c r="Q926" i="1"/>
  <c r="P926" i="1"/>
  <c r="O926" i="1"/>
  <c r="N926" i="1"/>
  <c r="M926" i="1"/>
  <c r="L926" i="1"/>
  <c r="K926" i="1"/>
  <c r="Q925" i="1"/>
  <c r="P925" i="1"/>
  <c r="O925" i="1"/>
  <c r="N925" i="1"/>
  <c r="M925" i="1"/>
  <c r="L925" i="1"/>
  <c r="K925" i="1"/>
  <c r="Q924" i="1"/>
  <c r="P924" i="1"/>
  <c r="O924" i="1"/>
  <c r="N924" i="1"/>
  <c r="M924" i="1"/>
  <c r="L924" i="1"/>
  <c r="K924" i="1"/>
  <c r="Q923" i="1"/>
  <c r="P923" i="1"/>
  <c r="O923" i="1"/>
  <c r="N923" i="1"/>
  <c r="M923" i="1"/>
  <c r="L923" i="1"/>
  <c r="K923" i="1"/>
  <c r="Q922" i="1"/>
  <c r="P922" i="1"/>
  <c r="O922" i="1"/>
  <c r="N922" i="1"/>
  <c r="M922" i="1"/>
  <c r="L922" i="1"/>
  <c r="K922" i="1"/>
  <c r="Q921" i="1"/>
  <c r="P921" i="1"/>
  <c r="O921" i="1"/>
  <c r="N921" i="1"/>
  <c r="M921" i="1"/>
  <c r="L921" i="1"/>
  <c r="K921" i="1"/>
  <c r="Q920" i="1"/>
  <c r="P920" i="1"/>
  <c r="O920" i="1"/>
  <c r="N920" i="1"/>
  <c r="M920" i="1"/>
  <c r="L920" i="1"/>
  <c r="K920" i="1"/>
  <c r="Q919" i="1"/>
  <c r="P919" i="1"/>
  <c r="O919" i="1"/>
  <c r="N919" i="1"/>
  <c r="M919" i="1"/>
  <c r="L919" i="1"/>
  <c r="K919" i="1"/>
  <c r="Q918" i="1"/>
  <c r="P918" i="1"/>
  <c r="O918" i="1"/>
  <c r="N918" i="1"/>
  <c r="M918" i="1"/>
  <c r="L918" i="1"/>
  <c r="K918" i="1"/>
  <c r="Q917" i="1"/>
  <c r="P917" i="1"/>
  <c r="O917" i="1"/>
  <c r="N917" i="1"/>
  <c r="M917" i="1"/>
  <c r="L917" i="1"/>
  <c r="K917" i="1"/>
  <c r="Q916" i="1"/>
  <c r="P916" i="1"/>
  <c r="O916" i="1"/>
  <c r="N916" i="1"/>
  <c r="M916" i="1"/>
  <c r="L916" i="1"/>
  <c r="K916" i="1"/>
  <c r="Q915" i="1"/>
  <c r="P915" i="1"/>
  <c r="O915" i="1"/>
  <c r="N915" i="1"/>
  <c r="M915" i="1"/>
  <c r="L915" i="1"/>
  <c r="K915" i="1"/>
  <c r="Q914" i="1"/>
  <c r="P914" i="1"/>
  <c r="O914" i="1"/>
  <c r="N914" i="1"/>
  <c r="M914" i="1"/>
  <c r="L914" i="1"/>
  <c r="K914" i="1"/>
  <c r="Q913" i="1"/>
  <c r="P913" i="1"/>
  <c r="O913" i="1"/>
  <c r="N913" i="1"/>
  <c r="M913" i="1"/>
  <c r="L913" i="1"/>
  <c r="K913" i="1"/>
  <c r="Q912" i="1"/>
  <c r="P912" i="1"/>
  <c r="O912" i="1"/>
  <c r="N912" i="1"/>
  <c r="M912" i="1"/>
  <c r="L912" i="1"/>
  <c r="K912" i="1"/>
  <c r="Q911" i="1"/>
  <c r="P911" i="1"/>
  <c r="O911" i="1"/>
  <c r="N911" i="1"/>
  <c r="M911" i="1"/>
  <c r="L911" i="1"/>
  <c r="K911" i="1"/>
  <c r="Q910" i="1"/>
  <c r="P910" i="1"/>
  <c r="O910" i="1"/>
  <c r="N910" i="1"/>
  <c r="M910" i="1"/>
  <c r="L910" i="1"/>
  <c r="K910" i="1"/>
  <c r="Q909" i="1"/>
  <c r="P909" i="1"/>
  <c r="O909" i="1"/>
  <c r="N909" i="1"/>
  <c r="M909" i="1"/>
  <c r="L909" i="1"/>
  <c r="K909" i="1"/>
  <c r="Q908" i="1"/>
  <c r="P908" i="1"/>
  <c r="O908" i="1"/>
  <c r="N908" i="1"/>
  <c r="M908" i="1"/>
  <c r="L908" i="1"/>
  <c r="K908" i="1"/>
  <c r="Q907" i="1"/>
  <c r="P907" i="1"/>
  <c r="O907" i="1"/>
  <c r="N907" i="1"/>
  <c r="M907" i="1"/>
  <c r="L907" i="1"/>
  <c r="K907" i="1"/>
  <c r="Q906" i="1"/>
  <c r="P906" i="1"/>
  <c r="O906" i="1"/>
  <c r="N906" i="1"/>
  <c r="M906" i="1"/>
  <c r="L906" i="1"/>
  <c r="K906" i="1"/>
  <c r="Q905" i="1"/>
  <c r="P905" i="1"/>
  <c r="O905" i="1"/>
  <c r="N905" i="1"/>
  <c r="M905" i="1"/>
  <c r="L905" i="1"/>
  <c r="K905" i="1"/>
  <c r="Q904" i="1"/>
  <c r="P904" i="1"/>
  <c r="O904" i="1"/>
  <c r="N904" i="1"/>
  <c r="M904" i="1"/>
  <c r="L904" i="1"/>
  <c r="K904" i="1"/>
  <c r="Q903" i="1"/>
  <c r="P903" i="1"/>
  <c r="O903" i="1"/>
  <c r="N903" i="1"/>
  <c r="M903" i="1"/>
  <c r="L903" i="1"/>
  <c r="K903" i="1"/>
  <c r="Q902" i="1"/>
  <c r="P902" i="1"/>
  <c r="O902" i="1"/>
  <c r="N902" i="1"/>
  <c r="M902" i="1"/>
  <c r="L902" i="1"/>
  <c r="K902" i="1"/>
  <c r="Q901" i="1"/>
  <c r="P901" i="1"/>
  <c r="O901" i="1"/>
  <c r="N901" i="1"/>
  <c r="M901" i="1"/>
  <c r="L901" i="1"/>
  <c r="K901" i="1"/>
  <c r="Q900" i="1"/>
  <c r="P900" i="1"/>
  <c r="O900" i="1"/>
  <c r="N900" i="1"/>
  <c r="M900" i="1"/>
  <c r="L900" i="1"/>
  <c r="K900" i="1"/>
  <c r="Q899" i="1"/>
  <c r="P899" i="1"/>
  <c r="O899" i="1"/>
  <c r="N899" i="1"/>
  <c r="M899" i="1"/>
  <c r="L899" i="1"/>
  <c r="K899" i="1"/>
  <c r="Q898" i="1"/>
  <c r="P898" i="1"/>
  <c r="O898" i="1"/>
  <c r="N898" i="1"/>
  <c r="M898" i="1"/>
  <c r="L898" i="1"/>
  <c r="K898" i="1"/>
  <c r="Q897" i="1"/>
  <c r="P897" i="1"/>
  <c r="O897" i="1"/>
  <c r="N897" i="1"/>
  <c r="M897" i="1"/>
  <c r="L897" i="1"/>
  <c r="K897" i="1"/>
  <c r="Q896" i="1"/>
  <c r="P896" i="1"/>
  <c r="O896" i="1"/>
  <c r="N896" i="1"/>
  <c r="M896" i="1"/>
  <c r="L896" i="1"/>
  <c r="K896" i="1"/>
  <c r="Q895" i="1"/>
  <c r="P895" i="1"/>
  <c r="O895" i="1"/>
  <c r="N895" i="1"/>
  <c r="M895" i="1"/>
  <c r="L895" i="1"/>
  <c r="K895" i="1"/>
  <c r="Q894" i="1"/>
  <c r="P894" i="1"/>
  <c r="O894" i="1"/>
  <c r="N894" i="1"/>
  <c r="M894" i="1"/>
  <c r="L894" i="1"/>
  <c r="K894" i="1"/>
  <c r="Q893" i="1"/>
  <c r="P893" i="1"/>
  <c r="O893" i="1"/>
  <c r="N893" i="1"/>
  <c r="M893" i="1"/>
  <c r="L893" i="1"/>
  <c r="K893" i="1"/>
  <c r="Q892" i="1"/>
  <c r="P892" i="1"/>
  <c r="O892" i="1"/>
  <c r="N892" i="1"/>
  <c r="M892" i="1"/>
  <c r="L892" i="1"/>
  <c r="K892" i="1"/>
  <c r="Q891" i="1"/>
  <c r="P891" i="1"/>
  <c r="O891" i="1"/>
  <c r="N891" i="1"/>
  <c r="M891" i="1"/>
  <c r="L891" i="1"/>
  <c r="K891" i="1"/>
  <c r="Q890" i="1"/>
  <c r="P890" i="1"/>
  <c r="O890" i="1"/>
  <c r="N890" i="1"/>
  <c r="M890" i="1"/>
  <c r="L890" i="1"/>
  <c r="K890" i="1"/>
  <c r="Q889" i="1"/>
  <c r="P889" i="1"/>
  <c r="O889" i="1"/>
  <c r="N889" i="1"/>
  <c r="M889" i="1"/>
  <c r="L889" i="1"/>
  <c r="K889" i="1"/>
  <c r="Q888" i="1"/>
  <c r="P888" i="1"/>
  <c r="O888" i="1"/>
  <c r="N888" i="1"/>
  <c r="M888" i="1"/>
  <c r="L888" i="1"/>
  <c r="K888" i="1"/>
  <c r="Q887" i="1"/>
  <c r="P887" i="1"/>
  <c r="O887" i="1"/>
  <c r="N887" i="1"/>
  <c r="M887" i="1"/>
  <c r="L887" i="1"/>
  <c r="K887" i="1"/>
  <c r="Q886" i="1"/>
  <c r="P886" i="1"/>
  <c r="O886" i="1"/>
  <c r="N886" i="1"/>
  <c r="M886" i="1"/>
  <c r="L886" i="1"/>
  <c r="K886" i="1"/>
  <c r="Q885" i="1"/>
  <c r="P885" i="1"/>
  <c r="O885" i="1"/>
  <c r="N885" i="1"/>
  <c r="M885" i="1"/>
  <c r="L885" i="1"/>
  <c r="K885" i="1"/>
  <c r="Q884" i="1"/>
  <c r="P884" i="1"/>
  <c r="O884" i="1"/>
  <c r="N884" i="1"/>
  <c r="M884" i="1"/>
  <c r="L884" i="1"/>
  <c r="K884" i="1"/>
  <c r="Q883" i="1"/>
  <c r="P883" i="1"/>
  <c r="O883" i="1"/>
  <c r="N883" i="1"/>
  <c r="M883" i="1"/>
  <c r="L883" i="1"/>
  <c r="K883" i="1"/>
  <c r="Q882" i="1"/>
  <c r="P882" i="1"/>
  <c r="O882" i="1"/>
  <c r="N882" i="1"/>
  <c r="M882" i="1"/>
  <c r="L882" i="1"/>
  <c r="K882" i="1"/>
  <c r="Q881" i="1"/>
  <c r="P881" i="1"/>
  <c r="O881" i="1"/>
  <c r="N881" i="1"/>
  <c r="M881" i="1"/>
  <c r="L881" i="1"/>
  <c r="K881" i="1"/>
  <c r="Q880" i="1"/>
  <c r="P880" i="1"/>
  <c r="O880" i="1"/>
  <c r="N880" i="1"/>
  <c r="M880" i="1"/>
  <c r="L880" i="1"/>
  <c r="K880" i="1"/>
  <c r="Q879" i="1"/>
  <c r="P879" i="1"/>
  <c r="O879" i="1"/>
  <c r="N879" i="1"/>
  <c r="M879" i="1"/>
  <c r="L879" i="1"/>
  <c r="K879" i="1"/>
  <c r="Q878" i="1"/>
  <c r="P878" i="1"/>
  <c r="O878" i="1"/>
  <c r="N878" i="1"/>
  <c r="M878" i="1"/>
  <c r="L878" i="1"/>
  <c r="K878" i="1"/>
  <c r="Q877" i="1"/>
  <c r="P877" i="1"/>
  <c r="O877" i="1"/>
  <c r="N877" i="1"/>
  <c r="M877" i="1"/>
  <c r="L877" i="1"/>
  <c r="K877" i="1"/>
  <c r="Q876" i="1"/>
  <c r="P876" i="1"/>
  <c r="O876" i="1"/>
  <c r="N876" i="1"/>
  <c r="M876" i="1"/>
  <c r="L876" i="1"/>
  <c r="K876" i="1"/>
  <c r="Q875" i="1"/>
  <c r="P875" i="1"/>
  <c r="O875" i="1"/>
  <c r="N875" i="1"/>
  <c r="M875" i="1"/>
  <c r="L875" i="1"/>
  <c r="K875" i="1"/>
  <c r="Q874" i="1"/>
  <c r="P874" i="1"/>
  <c r="O874" i="1"/>
  <c r="N874" i="1"/>
  <c r="M874" i="1"/>
  <c r="L874" i="1"/>
  <c r="K874" i="1"/>
  <c r="Q873" i="1"/>
  <c r="P873" i="1"/>
  <c r="O873" i="1"/>
  <c r="N873" i="1"/>
  <c r="M873" i="1"/>
  <c r="L873" i="1"/>
  <c r="K873" i="1"/>
  <c r="Q872" i="1"/>
  <c r="P872" i="1"/>
  <c r="O872" i="1"/>
  <c r="N872" i="1"/>
  <c r="M872" i="1"/>
  <c r="L872" i="1"/>
  <c r="K872" i="1"/>
  <c r="Q871" i="1"/>
  <c r="P871" i="1"/>
  <c r="O871" i="1"/>
  <c r="N871" i="1"/>
  <c r="M871" i="1"/>
  <c r="L871" i="1"/>
  <c r="K871" i="1"/>
  <c r="Q870" i="1"/>
  <c r="P870" i="1"/>
  <c r="O870" i="1"/>
  <c r="N870" i="1"/>
  <c r="M870" i="1"/>
  <c r="L870" i="1"/>
  <c r="K870" i="1"/>
  <c r="Q869" i="1"/>
  <c r="P869" i="1"/>
  <c r="O869" i="1"/>
  <c r="N869" i="1"/>
  <c r="M869" i="1"/>
  <c r="L869" i="1"/>
  <c r="K869" i="1"/>
  <c r="Q868" i="1"/>
  <c r="P868" i="1"/>
  <c r="O868" i="1"/>
  <c r="N868" i="1"/>
  <c r="M868" i="1"/>
  <c r="L868" i="1"/>
  <c r="K868" i="1"/>
  <c r="Q867" i="1"/>
  <c r="P867" i="1"/>
  <c r="O867" i="1"/>
  <c r="N867" i="1"/>
  <c r="M867" i="1"/>
  <c r="L867" i="1"/>
  <c r="K867" i="1"/>
  <c r="Q866" i="1"/>
  <c r="P866" i="1"/>
  <c r="O866" i="1"/>
  <c r="N866" i="1"/>
  <c r="M866" i="1"/>
  <c r="L866" i="1"/>
  <c r="K866" i="1"/>
  <c r="Q865" i="1"/>
  <c r="P865" i="1"/>
  <c r="O865" i="1"/>
  <c r="N865" i="1"/>
  <c r="M865" i="1"/>
  <c r="L865" i="1"/>
  <c r="K865" i="1"/>
  <c r="Q864" i="1"/>
  <c r="P864" i="1"/>
  <c r="O864" i="1"/>
  <c r="N864" i="1"/>
  <c r="M864" i="1"/>
  <c r="L864" i="1"/>
  <c r="K864" i="1"/>
  <c r="Q863" i="1"/>
  <c r="P863" i="1"/>
  <c r="O863" i="1"/>
  <c r="N863" i="1"/>
  <c r="M863" i="1"/>
  <c r="L863" i="1"/>
  <c r="K863" i="1"/>
  <c r="Q862" i="1"/>
  <c r="P862" i="1"/>
  <c r="O862" i="1"/>
  <c r="N862" i="1"/>
  <c r="M862" i="1"/>
  <c r="L862" i="1"/>
  <c r="K862" i="1"/>
  <c r="Q861" i="1"/>
  <c r="P861" i="1"/>
  <c r="O861" i="1"/>
  <c r="N861" i="1"/>
  <c r="M861" i="1"/>
  <c r="L861" i="1"/>
  <c r="K861" i="1"/>
  <c r="Q860" i="1"/>
  <c r="P860" i="1"/>
  <c r="O860" i="1"/>
  <c r="N860" i="1"/>
  <c r="M860" i="1"/>
  <c r="L860" i="1"/>
  <c r="K860" i="1"/>
  <c r="Q859" i="1"/>
  <c r="P859" i="1"/>
  <c r="O859" i="1"/>
  <c r="N859" i="1"/>
  <c r="M859" i="1"/>
  <c r="L859" i="1"/>
  <c r="K859" i="1"/>
  <c r="Q858" i="1"/>
  <c r="P858" i="1"/>
  <c r="O858" i="1"/>
  <c r="N858" i="1"/>
  <c r="M858" i="1"/>
  <c r="L858" i="1"/>
  <c r="K858" i="1"/>
  <c r="Q857" i="1"/>
  <c r="P857" i="1"/>
  <c r="O857" i="1"/>
  <c r="N857" i="1"/>
  <c r="M857" i="1"/>
  <c r="L857" i="1"/>
  <c r="K857" i="1"/>
  <c r="Q856" i="1"/>
  <c r="P856" i="1"/>
  <c r="O856" i="1"/>
  <c r="N856" i="1"/>
  <c r="M856" i="1"/>
  <c r="L856" i="1"/>
  <c r="K856" i="1"/>
  <c r="Q855" i="1"/>
  <c r="P855" i="1"/>
  <c r="O855" i="1"/>
  <c r="N855" i="1"/>
  <c r="M855" i="1"/>
  <c r="L855" i="1"/>
  <c r="K855" i="1"/>
  <c r="Q854" i="1"/>
  <c r="P854" i="1"/>
  <c r="O854" i="1"/>
  <c r="N854" i="1"/>
  <c r="M854" i="1"/>
  <c r="L854" i="1"/>
  <c r="K854" i="1"/>
  <c r="Q853" i="1"/>
  <c r="P853" i="1"/>
  <c r="O853" i="1"/>
  <c r="N853" i="1"/>
  <c r="M853" i="1"/>
  <c r="L853" i="1"/>
  <c r="K853" i="1"/>
  <c r="Q852" i="1"/>
  <c r="P852" i="1"/>
  <c r="O852" i="1"/>
  <c r="N852" i="1"/>
  <c r="M852" i="1"/>
  <c r="L852" i="1"/>
  <c r="K852" i="1"/>
  <c r="Q851" i="1"/>
  <c r="P851" i="1"/>
  <c r="O851" i="1"/>
  <c r="N851" i="1"/>
  <c r="M851" i="1"/>
  <c r="L851" i="1"/>
  <c r="K851" i="1"/>
  <c r="Q850" i="1"/>
  <c r="P850" i="1"/>
  <c r="O850" i="1"/>
  <c r="N850" i="1"/>
  <c r="M850" i="1"/>
  <c r="L850" i="1"/>
  <c r="K850" i="1"/>
  <c r="Q849" i="1"/>
  <c r="P849" i="1"/>
  <c r="O849" i="1"/>
  <c r="N849" i="1"/>
  <c r="M849" i="1"/>
  <c r="L849" i="1"/>
  <c r="K849" i="1"/>
  <c r="Q848" i="1"/>
  <c r="P848" i="1"/>
  <c r="O848" i="1"/>
  <c r="N848" i="1"/>
  <c r="M848" i="1"/>
  <c r="L848" i="1"/>
  <c r="K848" i="1"/>
  <c r="Q847" i="1"/>
  <c r="P847" i="1"/>
  <c r="O847" i="1"/>
  <c r="N847" i="1"/>
  <c r="M847" i="1"/>
  <c r="L847" i="1"/>
  <c r="K847" i="1"/>
  <c r="Q846" i="1"/>
  <c r="P846" i="1"/>
  <c r="O846" i="1"/>
  <c r="N846" i="1"/>
  <c r="M846" i="1"/>
  <c r="L846" i="1"/>
  <c r="K846" i="1"/>
  <c r="Q845" i="1"/>
  <c r="P845" i="1"/>
  <c r="O845" i="1"/>
  <c r="N845" i="1"/>
  <c r="M845" i="1"/>
  <c r="L845" i="1"/>
  <c r="K845" i="1"/>
  <c r="Q844" i="1"/>
  <c r="P844" i="1"/>
  <c r="O844" i="1"/>
  <c r="N844" i="1"/>
  <c r="M844" i="1"/>
  <c r="L844" i="1"/>
  <c r="K844" i="1"/>
  <c r="Q843" i="1"/>
  <c r="P843" i="1"/>
  <c r="O843" i="1"/>
  <c r="N843" i="1"/>
  <c r="M843" i="1"/>
  <c r="L843" i="1"/>
  <c r="K843" i="1"/>
  <c r="Q842" i="1"/>
  <c r="P842" i="1"/>
  <c r="O842" i="1"/>
  <c r="N842" i="1"/>
  <c r="M842" i="1"/>
  <c r="L842" i="1"/>
  <c r="K842" i="1"/>
  <c r="Q841" i="1"/>
  <c r="P841" i="1"/>
  <c r="O841" i="1"/>
  <c r="N841" i="1"/>
  <c r="M841" i="1"/>
  <c r="L841" i="1"/>
  <c r="K841" i="1"/>
  <c r="Q840" i="1"/>
  <c r="P840" i="1"/>
  <c r="O840" i="1"/>
  <c r="N840" i="1"/>
  <c r="M840" i="1"/>
  <c r="L840" i="1"/>
  <c r="K840" i="1"/>
  <c r="Q839" i="1"/>
  <c r="P839" i="1"/>
  <c r="O839" i="1"/>
  <c r="N839" i="1"/>
  <c r="M839" i="1"/>
  <c r="L839" i="1"/>
  <c r="K839" i="1"/>
  <c r="Q838" i="1"/>
  <c r="P838" i="1"/>
  <c r="O838" i="1"/>
  <c r="N838" i="1"/>
  <c r="M838" i="1"/>
  <c r="L838" i="1"/>
  <c r="K838" i="1"/>
  <c r="Q837" i="1"/>
  <c r="P837" i="1"/>
  <c r="O837" i="1"/>
  <c r="N837" i="1"/>
  <c r="M837" i="1"/>
  <c r="L837" i="1"/>
  <c r="K837" i="1"/>
  <c r="Q836" i="1"/>
  <c r="P836" i="1"/>
  <c r="O836" i="1"/>
  <c r="N836" i="1"/>
  <c r="M836" i="1"/>
  <c r="L836" i="1"/>
  <c r="K836" i="1"/>
  <c r="Q835" i="1"/>
  <c r="P835" i="1"/>
  <c r="O835" i="1"/>
  <c r="N835" i="1"/>
  <c r="M835" i="1"/>
  <c r="L835" i="1"/>
  <c r="K835" i="1"/>
  <c r="Q834" i="1"/>
  <c r="P834" i="1"/>
  <c r="O834" i="1"/>
  <c r="N834" i="1"/>
  <c r="M834" i="1"/>
  <c r="L834" i="1"/>
  <c r="K834" i="1"/>
  <c r="Q833" i="1"/>
  <c r="P833" i="1"/>
  <c r="O833" i="1"/>
  <c r="N833" i="1"/>
  <c r="M833" i="1"/>
  <c r="L833" i="1"/>
  <c r="K833" i="1"/>
  <c r="Q832" i="1"/>
  <c r="P832" i="1"/>
  <c r="O832" i="1"/>
  <c r="N832" i="1"/>
  <c r="M832" i="1"/>
  <c r="L832" i="1"/>
  <c r="K832" i="1"/>
  <c r="Q831" i="1"/>
  <c r="P831" i="1"/>
  <c r="O831" i="1"/>
  <c r="N831" i="1"/>
  <c r="M831" i="1"/>
  <c r="L831" i="1"/>
  <c r="K831" i="1"/>
  <c r="Q830" i="1"/>
  <c r="P830" i="1"/>
  <c r="O830" i="1"/>
  <c r="N830" i="1"/>
  <c r="M830" i="1"/>
  <c r="L830" i="1"/>
  <c r="K830" i="1"/>
  <c r="Q829" i="1"/>
  <c r="P829" i="1"/>
  <c r="O829" i="1"/>
  <c r="N829" i="1"/>
  <c r="M829" i="1"/>
  <c r="L829" i="1"/>
  <c r="K829" i="1"/>
  <c r="Q828" i="1"/>
  <c r="P828" i="1"/>
  <c r="O828" i="1"/>
  <c r="N828" i="1"/>
  <c r="M828" i="1"/>
  <c r="L828" i="1"/>
  <c r="K828" i="1"/>
  <c r="Q827" i="1"/>
  <c r="P827" i="1"/>
  <c r="O827" i="1"/>
  <c r="N827" i="1"/>
  <c r="M827" i="1"/>
  <c r="L827" i="1"/>
  <c r="K827" i="1"/>
  <c r="Q826" i="1"/>
  <c r="P826" i="1"/>
  <c r="O826" i="1"/>
  <c r="N826" i="1"/>
  <c r="M826" i="1"/>
  <c r="L826" i="1"/>
  <c r="K826" i="1"/>
  <c r="Q825" i="1"/>
  <c r="P825" i="1"/>
  <c r="O825" i="1"/>
  <c r="N825" i="1"/>
  <c r="M825" i="1"/>
  <c r="L825" i="1"/>
  <c r="K825" i="1"/>
  <c r="Q824" i="1"/>
  <c r="P824" i="1"/>
  <c r="O824" i="1"/>
  <c r="N824" i="1"/>
  <c r="M824" i="1"/>
  <c r="L824" i="1"/>
  <c r="K824" i="1"/>
  <c r="Q823" i="1"/>
  <c r="P823" i="1"/>
  <c r="O823" i="1"/>
  <c r="N823" i="1"/>
  <c r="M823" i="1"/>
  <c r="L823" i="1"/>
  <c r="K823" i="1"/>
  <c r="Q822" i="1"/>
  <c r="P822" i="1"/>
  <c r="O822" i="1"/>
  <c r="N822" i="1"/>
  <c r="M822" i="1"/>
  <c r="L822" i="1"/>
  <c r="K822" i="1"/>
  <c r="Q821" i="1"/>
  <c r="P821" i="1"/>
  <c r="O821" i="1"/>
  <c r="N821" i="1"/>
  <c r="M821" i="1"/>
  <c r="L821" i="1"/>
  <c r="K821" i="1"/>
  <c r="Q820" i="1"/>
  <c r="P820" i="1"/>
  <c r="O820" i="1"/>
  <c r="N820" i="1"/>
  <c r="M820" i="1"/>
  <c r="L820" i="1"/>
  <c r="K820" i="1"/>
  <c r="Q819" i="1"/>
  <c r="P819" i="1"/>
  <c r="O819" i="1"/>
  <c r="N819" i="1"/>
  <c r="M819" i="1"/>
  <c r="L819" i="1"/>
  <c r="K819" i="1"/>
  <c r="Q818" i="1"/>
  <c r="P818" i="1"/>
  <c r="O818" i="1"/>
  <c r="N818" i="1"/>
  <c r="M818" i="1"/>
  <c r="L818" i="1"/>
  <c r="K818" i="1"/>
  <c r="Q817" i="1"/>
  <c r="P817" i="1"/>
  <c r="O817" i="1"/>
  <c r="N817" i="1"/>
  <c r="M817" i="1"/>
  <c r="L817" i="1"/>
  <c r="K817" i="1"/>
  <c r="Q816" i="1"/>
  <c r="P816" i="1"/>
  <c r="O816" i="1"/>
  <c r="N816" i="1"/>
  <c r="M816" i="1"/>
  <c r="L816" i="1"/>
  <c r="K816" i="1"/>
  <c r="Q815" i="1"/>
  <c r="P815" i="1"/>
  <c r="O815" i="1"/>
  <c r="N815" i="1"/>
  <c r="M815" i="1"/>
  <c r="L815" i="1"/>
  <c r="K815" i="1"/>
  <c r="Q814" i="1"/>
  <c r="P814" i="1"/>
  <c r="O814" i="1"/>
  <c r="N814" i="1"/>
  <c r="M814" i="1"/>
  <c r="L814" i="1"/>
  <c r="K814" i="1"/>
  <c r="Q813" i="1"/>
  <c r="P813" i="1"/>
  <c r="O813" i="1"/>
  <c r="N813" i="1"/>
  <c r="M813" i="1"/>
  <c r="L813" i="1"/>
  <c r="K813" i="1"/>
  <c r="Q812" i="1"/>
  <c r="P812" i="1"/>
  <c r="O812" i="1"/>
  <c r="N812" i="1"/>
  <c r="M812" i="1"/>
  <c r="L812" i="1"/>
  <c r="K812" i="1"/>
  <c r="Q811" i="1"/>
  <c r="P811" i="1"/>
  <c r="O811" i="1"/>
  <c r="N811" i="1"/>
  <c r="M811" i="1"/>
  <c r="L811" i="1"/>
  <c r="K811" i="1"/>
  <c r="Q810" i="1"/>
  <c r="P810" i="1"/>
  <c r="O810" i="1"/>
  <c r="N810" i="1"/>
  <c r="M810" i="1"/>
  <c r="L810" i="1"/>
  <c r="K810" i="1"/>
  <c r="Q809" i="1"/>
  <c r="P809" i="1"/>
  <c r="O809" i="1"/>
  <c r="N809" i="1"/>
  <c r="M809" i="1"/>
  <c r="L809" i="1"/>
  <c r="K809" i="1"/>
  <c r="Q808" i="1"/>
  <c r="P808" i="1"/>
  <c r="O808" i="1"/>
  <c r="N808" i="1"/>
  <c r="M808" i="1"/>
  <c r="L808" i="1"/>
  <c r="K808" i="1"/>
  <c r="Q807" i="1"/>
  <c r="P807" i="1"/>
  <c r="O807" i="1"/>
  <c r="N807" i="1"/>
  <c r="M807" i="1"/>
  <c r="L807" i="1"/>
  <c r="K807" i="1"/>
  <c r="Q806" i="1"/>
  <c r="P806" i="1"/>
  <c r="O806" i="1"/>
  <c r="N806" i="1"/>
  <c r="M806" i="1"/>
  <c r="L806" i="1"/>
  <c r="K806" i="1"/>
  <c r="Q805" i="1"/>
  <c r="P805" i="1"/>
  <c r="O805" i="1"/>
  <c r="N805" i="1"/>
  <c r="M805" i="1"/>
  <c r="L805" i="1"/>
  <c r="K805" i="1"/>
  <c r="Q804" i="1"/>
  <c r="P804" i="1"/>
  <c r="O804" i="1"/>
  <c r="N804" i="1"/>
  <c r="M804" i="1"/>
  <c r="L804" i="1"/>
  <c r="K804" i="1"/>
  <c r="Q803" i="1"/>
  <c r="P803" i="1"/>
  <c r="O803" i="1"/>
  <c r="N803" i="1"/>
  <c r="M803" i="1"/>
  <c r="L803" i="1"/>
  <c r="K803" i="1"/>
  <c r="Q802" i="1"/>
  <c r="P802" i="1"/>
  <c r="O802" i="1"/>
  <c r="N802" i="1"/>
  <c r="M802" i="1"/>
  <c r="L802" i="1"/>
  <c r="K802" i="1"/>
  <c r="Q801" i="1"/>
  <c r="P801" i="1"/>
  <c r="O801" i="1"/>
  <c r="N801" i="1"/>
  <c r="M801" i="1"/>
  <c r="L801" i="1"/>
  <c r="K801" i="1"/>
  <c r="Q800" i="1"/>
  <c r="P800" i="1"/>
  <c r="O800" i="1"/>
  <c r="N800" i="1"/>
  <c r="M800" i="1"/>
  <c r="L800" i="1"/>
  <c r="K800" i="1"/>
  <c r="Q799" i="1"/>
  <c r="P799" i="1"/>
  <c r="O799" i="1"/>
  <c r="N799" i="1"/>
  <c r="M799" i="1"/>
  <c r="L799" i="1"/>
  <c r="K799" i="1"/>
  <c r="Q798" i="1"/>
  <c r="P798" i="1"/>
  <c r="O798" i="1"/>
  <c r="N798" i="1"/>
  <c r="M798" i="1"/>
  <c r="L798" i="1"/>
  <c r="K798" i="1"/>
  <c r="Q797" i="1"/>
  <c r="P797" i="1"/>
  <c r="O797" i="1"/>
  <c r="N797" i="1"/>
  <c r="M797" i="1"/>
  <c r="L797" i="1"/>
  <c r="K797" i="1"/>
  <c r="Q796" i="1"/>
  <c r="P796" i="1"/>
  <c r="O796" i="1"/>
  <c r="N796" i="1"/>
  <c r="M796" i="1"/>
  <c r="L796" i="1"/>
  <c r="K796" i="1"/>
  <c r="Q795" i="1"/>
  <c r="P795" i="1"/>
  <c r="O795" i="1"/>
  <c r="N795" i="1"/>
  <c r="M795" i="1"/>
  <c r="L795" i="1"/>
  <c r="K795" i="1"/>
  <c r="Q794" i="1"/>
  <c r="P794" i="1"/>
  <c r="O794" i="1"/>
  <c r="N794" i="1"/>
  <c r="M794" i="1"/>
  <c r="L794" i="1"/>
  <c r="K794" i="1"/>
  <c r="Q793" i="1"/>
  <c r="P793" i="1"/>
  <c r="O793" i="1"/>
  <c r="N793" i="1"/>
  <c r="M793" i="1"/>
  <c r="L793" i="1"/>
  <c r="K793" i="1"/>
  <c r="Q792" i="1"/>
  <c r="P792" i="1"/>
  <c r="O792" i="1"/>
  <c r="N792" i="1"/>
  <c r="M792" i="1"/>
  <c r="L792" i="1"/>
  <c r="K792" i="1"/>
  <c r="Q791" i="1"/>
  <c r="P791" i="1"/>
  <c r="O791" i="1"/>
  <c r="N791" i="1"/>
  <c r="M791" i="1"/>
  <c r="L791" i="1"/>
  <c r="K791" i="1"/>
  <c r="Q790" i="1"/>
  <c r="P790" i="1"/>
  <c r="O790" i="1"/>
  <c r="N790" i="1"/>
  <c r="M790" i="1"/>
  <c r="L790" i="1"/>
  <c r="K790" i="1"/>
  <c r="Q789" i="1"/>
  <c r="P789" i="1"/>
  <c r="O789" i="1"/>
  <c r="N789" i="1"/>
  <c r="M789" i="1"/>
  <c r="L789" i="1"/>
  <c r="K789" i="1"/>
  <c r="Q788" i="1"/>
  <c r="P788" i="1"/>
  <c r="O788" i="1"/>
  <c r="N788" i="1"/>
  <c r="M788" i="1"/>
  <c r="L788" i="1"/>
  <c r="K788" i="1"/>
  <c r="Q787" i="1"/>
  <c r="P787" i="1"/>
  <c r="O787" i="1"/>
  <c r="N787" i="1"/>
  <c r="M787" i="1"/>
  <c r="L787" i="1"/>
  <c r="K787" i="1"/>
  <c r="Q786" i="1"/>
  <c r="P786" i="1"/>
  <c r="O786" i="1"/>
  <c r="N786" i="1"/>
  <c r="M786" i="1"/>
  <c r="L786" i="1"/>
  <c r="K786" i="1"/>
  <c r="Q785" i="1"/>
  <c r="P785" i="1"/>
  <c r="O785" i="1"/>
  <c r="N785" i="1"/>
  <c r="M785" i="1"/>
  <c r="L785" i="1"/>
  <c r="K785" i="1"/>
  <c r="Q784" i="1"/>
  <c r="P784" i="1"/>
  <c r="O784" i="1"/>
  <c r="N784" i="1"/>
  <c r="M784" i="1"/>
  <c r="L784" i="1"/>
  <c r="K784" i="1"/>
  <c r="Q783" i="1"/>
  <c r="P783" i="1"/>
  <c r="O783" i="1"/>
  <c r="N783" i="1"/>
  <c r="M783" i="1"/>
  <c r="L783" i="1"/>
  <c r="K783" i="1"/>
  <c r="Q782" i="1"/>
  <c r="P782" i="1"/>
  <c r="O782" i="1"/>
  <c r="N782" i="1"/>
  <c r="M782" i="1"/>
  <c r="L782" i="1"/>
  <c r="K782" i="1"/>
  <c r="Q781" i="1"/>
  <c r="P781" i="1"/>
  <c r="O781" i="1"/>
  <c r="N781" i="1"/>
  <c r="M781" i="1"/>
  <c r="L781" i="1"/>
  <c r="K781" i="1"/>
  <c r="Q780" i="1"/>
  <c r="P780" i="1"/>
  <c r="O780" i="1"/>
  <c r="N780" i="1"/>
  <c r="M780" i="1"/>
  <c r="L780" i="1"/>
  <c r="K780" i="1"/>
  <c r="Q779" i="1"/>
  <c r="P779" i="1"/>
  <c r="O779" i="1"/>
  <c r="N779" i="1"/>
  <c r="M779" i="1"/>
  <c r="L779" i="1"/>
  <c r="K779" i="1"/>
  <c r="Q778" i="1"/>
  <c r="P778" i="1"/>
  <c r="O778" i="1"/>
  <c r="N778" i="1"/>
  <c r="M778" i="1"/>
  <c r="L778" i="1"/>
  <c r="K778" i="1"/>
  <c r="Q777" i="1"/>
  <c r="P777" i="1"/>
  <c r="O777" i="1"/>
  <c r="N777" i="1"/>
  <c r="M777" i="1"/>
  <c r="L777" i="1"/>
  <c r="K777" i="1"/>
  <c r="Q776" i="1"/>
  <c r="P776" i="1"/>
  <c r="O776" i="1"/>
  <c r="N776" i="1"/>
  <c r="M776" i="1"/>
  <c r="L776" i="1"/>
  <c r="K776" i="1"/>
  <c r="Q775" i="1"/>
  <c r="P775" i="1"/>
  <c r="O775" i="1"/>
  <c r="N775" i="1"/>
  <c r="M775" i="1"/>
  <c r="L775" i="1"/>
  <c r="K775" i="1"/>
  <c r="Q774" i="1"/>
  <c r="P774" i="1"/>
  <c r="O774" i="1"/>
  <c r="N774" i="1"/>
  <c r="M774" i="1"/>
  <c r="L774" i="1"/>
  <c r="K774" i="1"/>
  <c r="Q773" i="1"/>
  <c r="P773" i="1"/>
  <c r="O773" i="1"/>
  <c r="N773" i="1"/>
  <c r="M773" i="1"/>
  <c r="L773" i="1"/>
  <c r="K773" i="1"/>
  <c r="Q772" i="1"/>
  <c r="P772" i="1"/>
  <c r="O772" i="1"/>
  <c r="N772" i="1"/>
  <c r="M772" i="1"/>
  <c r="L772" i="1"/>
  <c r="K772" i="1"/>
  <c r="Q771" i="1"/>
  <c r="P771" i="1"/>
  <c r="O771" i="1"/>
  <c r="N771" i="1"/>
  <c r="M771" i="1"/>
  <c r="L771" i="1"/>
  <c r="K771" i="1"/>
  <c r="Q770" i="1"/>
  <c r="P770" i="1"/>
  <c r="O770" i="1"/>
  <c r="N770" i="1"/>
  <c r="M770" i="1"/>
  <c r="L770" i="1"/>
  <c r="K770" i="1"/>
  <c r="Q769" i="1"/>
  <c r="P769" i="1"/>
  <c r="O769" i="1"/>
  <c r="N769" i="1"/>
  <c r="M769" i="1"/>
  <c r="L769" i="1"/>
  <c r="K769" i="1"/>
  <c r="Q768" i="1"/>
  <c r="P768" i="1"/>
  <c r="O768" i="1"/>
  <c r="N768" i="1"/>
  <c r="M768" i="1"/>
  <c r="L768" i="1"/>
  <c r="K768" i="1"/>
  <c r="Q767" i="1"/>
  <c r="P767" i="1"/>
  <c r="O767" i="1"/>
  <c r="N767" i="1"/>
  <c r="M767" i="1"/>
  <c r="L767" i="1"/>
  <c r="K767" i="1"/>
  <c r="Q766" i="1"/>
  <c r="P766" i="1"/>
  <c r="O766" i="1"/>
  <c r="N766" i="1"/>
  <c r="M766" i="1"/>
  <c r="L766" i="1"/>
  <c r="K766" i="1"/>
  <c r="Q765" i="1"/>
  <c r="P765" i="1"/>
  <c r="O765" i="1"/>
  <c r="N765" i="1"/>
  <c r="M765" i="1"/>
  <c r="L765" i="1"/>
  <c r="K765" i="1"/>
  <c r="Q764" i="1"/>
  <c r="P764" i="1"/>
  <c r="O764" i="1"/>
  <c r="N764" i="1"/>
  <c r="M764" i="1"/>
  <c r="L764" i="1"/>
  <c r="K764" i="1"/>
  <c r="Q763" i="1"/>
  <c r="P763" i="1"/>
  <c r="O763" i="1"/>
  <c r="N763" i="1"/>
  <c r="M763" i="1"/>
  <c r="L763" i="1"/>
  <c r="K763" i="1"/>
  <c r="Q762" i="1"/>
  <c r="P762" i="1"/>
  <c r="O762" i="1"/>
  <c r="N762" i="1"/>
  <c r="M762" i="1"/>
  <c r="L762" i="1"/>
  <c r="K762" i="1"/>
  <c r="Q761" i="1"/>
  <c r="P761" i="1"/>
  <c r="O761" i="1"/>
  <c r="N761" i="1"/>
  <c r="M761" i="1"/>
  <c r="L761" i="1"/>
  <c r="K761" i="1"/>
  <c r="Q760" i="1"/>
  <c r="P760" i="1"/>
  <c r="O760" i="1"/>
  <c r="N760" i="1"/>
  <c r="M760" i="1"/>
  <c r="L760" i="1"/>
  <c r="K760" i="1"/>
  <c r="Q759" i="1"/>
  <c r="P759" i="1"/>
  <c r="O759" i="1"/>
  <c r="N759" i="1"/>
  <c r="M759" i="1"/>
  <c r="L759" i="1"/>
  <c r="K759" i="1"/>
  <c r="Q758" i="1"/>
  <c r="P758" i="1"/>
  <c r="O758" i="1"/>
  <c r="N758" i="1"/>
  <c r="M758" i="1"/>
  <c r="L758" i="1"/>
  <c r="K758" i="1"/>
  <c r="Q757" i="1"/>
  <c r="P757" i="1"/>
  <c r="O757" i="1"/>
  <c r="N757" i="1"/>
  <c r="M757" i="1"/>
  <c r="L757" i="1"/>
  <c r="K757" i="1"/>
  <c r="Q756" i="1"/>
  <c r="P756" i="1"/>
  <c r="O756" i="1"/>
  <c r="N756" i="1"/>
  <c r="M756" i="1"/>
  <c r="L756" i="1"/>
  <c r="K756" i="1"/>
  <c r="Q755" i="1"/>
  <c r="P755" i="1"/>
  <c r="O755" i="1"/>
  <c r="N755" i="1"/>
  <c r="M755" i="1"/>
  <c r="L755" i="1"/>
  <c r="K755" i="1"/>
  <c r="Q754" i="1"/>
  <c r="P754" i="1"/>
  <c r="O754" i="1"/>
  <c r="N754" i="1"/>
  <c r="M754" i="1"/>
  <c r="L754" i="1"/>
  <c r="K754" i="1"/>
  <c r="Q753" i="1"/>
  <c r="P753" i="1"/>
  <c r="O753" i="1"/>
  <c r="N753" i="1"/>
  <c r="M753" i="1"/>
  <c r="L753" i="1"/>
  <c r="K753" i="1"/>
  <c r="Q752" i="1"/>
  <c r="P752" i="1"/>
  <c r="O752" i="1"/>
  <c r="N752" i="1"/>
  <c r="M752" i="1"/>
  <c r="L752" i="1"/>
  <c r="K752" i="1"/>
  <c r="Q751" i="1"/>
  <c r="P751" i="1"/>
  <c r="O751" i="1"/>
  <c r="N751" i="1"/>
  <c r="M751" i="1"/>
  <c r="L751" i="1"/>
  <c r="K751" i="1"/>
  <c r="Q750" i="1"/>
  <c r="P750" i="1"/>
  <c r="O750" i="1"/>
  <c r="N750" i="1"/>
  <c r="M750" i="1"/>
  <c r="L750" i="1"/>
  <c r="K750" i="1"/>
  <c r="Q749" i="1"/>
  <c r="P749" i="1"/>
  <c r="O749" i="1"/>
  <c r="N749" i="1"/>
  <c r="M749" i="1"/>
  <c r="L749" i="1"/>
  <c r="K749" i="1"/>
  <c r="Q748" i="1"/>
  <c r="P748" i="1"/>
  <c r="O748" i="1"/>
  <c r="N748" i="1"/>
  <c r="M748" i="1"/>
  <c r="L748" i="1"/>
  <c r="K748" i="1"/>
  <c r="Q747" i="1"/>
  <c r="P747" i="1"/>
  <c r="O747" i="1"/>
  <c r="N747" i="1"/>
  <c r="M747" i="1"/>
  <c r="L747" i="1"/>
  <c r="K747" i="1"/>
  <c r="Q746" i="1"/>
  <c r="P746" i="1"/>
  <c r="O746" i="1"/>
  <c r="N746" i="1"/>
  <c r="M746" i="1"/>
  <c r="L746" i="1"/>
  <c r="K746" i="1"/>
  <c r="Q745" i="1"/>
  <c r="P745" i="1"/>
  <c r="O745" i="1"/>
  <c r="N745" i="1"/>
  <c r="M745" i="1"/>
  <c r="L745" i="1"/>
  <c r="K745" i="1"/>
  <c r="Q744" i="1"/>
  <c r="P744" i="1"/>
  <c r="O744" i="1"/>
  <c r="N744" i="1"/>
  <c r="M744" i="1"/>
  <c r="L744" i="1"/>
  <c r="K744" i="1"/>
  <c r="Q743" i="1"/>
  <c r="P743" i="1"/>
  <c r="O743" i="1"/>
  <c r="N743" i="1"/>
  <c r="M743" i="1"/>
  <c r="L743" i="1"/>
  <c r="K743" i="1"/>
  <c r="Q742" i="1"/>
  <c r="P742" i="1"/>
  <c r="O742" i="1"/>
  <c r="N742" i="1"/>
  <c r="M742" i="1"/>
  <c r="L742" i="1"/>
  <c r="K742" i="1"/>
  <c r="Q741" i="1"/>
  <c r="P741" i="1"/>
  <c r="O741" i="1"/>
  <c r="N741" i="1"/>
  <c r="M741" i="1"/>
  <c r="L741" i="1"/>
  <c r="K741" i="1"/>
  <c r="Q740" i="1"/>
  <c r="P740" i="1"/>
  <c r="O740" i="1"/>
  <c r="N740" i="1"/>
  <c r="M740" i="1"/>
  <c r="L740" i="1"/>
  <c r="K740" i="1"/>
  <c r="Q739" i="1"/>
  <c r="P739" i="1"/>
  <c r="O739" i="1"/>
  <c r="N739" i="1"/>
  <c r="M739" i="1"/>
  <c r="L739" i="1"/>
  <c r="K739" i="1"/>
  <c r="Q738" i="1"/>
  <c r="P738" i="1"/>
  <c r="O738" i="1"/>
  <c r="N738" i="1"/>
  <c r="M738" i="1"/>
  <c r="L738" i="1"/>
  <c r="K738" i="1"/>
  <c r="Q737" i="1"/>
  <c r="P737" i="1"/>
  <c r="O737" i="1"/>
  <c r="N737" i="1"/>
  <c r="M737" i="1"/>
  <c r="L737" i="1"/>
  <c r="K737" i="1"/>
  <c r="Q736" i="1"/>
  <c r="P736" i="1"/>
  <c r="O736" i="1"/>
  <c r="N736" i="1"/>
  <c r="M736" i="1"/>
  <c r="L736" i="1"/>
  <c r="K736" i="1"/>
  <c r="Q735" i="1"/>
  <c r="P735" i="1"/>
  <c r="O735" i="1"/>
  <c r="N735" i="1"/>
  <c r="M735" i="1"/>
  <c r="L735" i="1"/>
  <c r="K735" i="1"/>
  <c r="Q734" i="1"/>
  <c r="P734" i="1"/>
  <c r="O734" i="1"/>
  <c r="N734" i="1"/>
  <c r="M734" i="1"/>
  <c r="L734" i="1"/>
  <c r="K734" i="1"/>
  <c r="Q733" i="1"/>
  <c r="P733" i="1"/>
  <c r="O733" i="1"/>
  <c r="N733" i="1"/>
  <c r="M733" i="1"/>
  <c r="L733" i="1"/>
  <c r="K733" i="1"/>
  <c r="Q732" i="1"/>
  <c r="P732" i="1"/>
  <c r="O732" i="1"/>
  <c r="N732" i="1"/>
  <c r="M732" i="1"/>
  <c r="L732" i="1"/>
  <c r="K732" i="1"/>
  <c r="Q731" i="1"/>
  <c r="P731" i="1"/>
  <c r="O731" i="1"/>
  <c r="N731" i="1"/>
  <c r="M731" i="1"/>
  <c r="L731" i="1"/>
  <c r="K731" i="1"/>
  <c r="Q730" i="1"/>
  <c r="P730" i="1"/>
  <c r="O730" i="1"/>
  <c r="N730" i="1"/>
  <c r="M730" i="1"/>
  <c r="L730" i="1"/>
  <c r="K730" i="1"/>
  <c r="Q729" i="1"/>
  <c r="P729" i="1"/>
  <c r="O729" i="1"/>
  <c r="N729" i="1"/>
  <c r="M729" i="1"/>
  <c r="L729" i="1"/>
  <c r="K729" i="1"/>
  <c r="Q728" i="1"/>
  <c r="P728" i="1"/>
  <c r="O728" i="1"/>
  <c r="N728" i="1"/>
  <c r="M728" i="1"/>
  <c r="L728" i="1"/>
  <c r="K728" i="1"/>
  <c r="Q727" i="1"/>
  <c r="P727" i="1"/>
  <c r="O727" i="1"/>
  <c r="N727" i="1"/>
  <c r="M727" i="1"/>
  <c r="L727" i="1"/>
  <c r="K727" i="1"/>
  <c r="Q726" i="1"/>
  <c r="P726" i="1"/>
  <c r="O726" i="1"/>
  <c r="N726" i="1"/>
  <c r="M726" i="1"/>
  <c r="L726" i="1"/>
  <c r="K726" i="1"/>
  <c r="Q725" i="1"/>
  <c r="P725" i="1"/>
  <c r="O725" i="1"/>
  <c r="N725" i="1"/>
  <c r="M725" i="1"/>
  <c r="L725" i="1"/>
  <c r="K725" i="1"/>
  <c r="Q724" i="1"/>
  <c r="P724" i="1"/>
  <c r="O724" i="1"/>
  <c r="N724" i="1"/>
  <c r="M724" i="1"/>
  <c r="L724" i="1"/>
  <c r="K724" i="1"/>
  <c r="Q723" i="1"/>
  <c r="P723" i="1"/>
  <c r="O723" i="1"/>
  <c r="N723" i="1"/>
  <c r="M723" i="1"/>
  <c r="L723" i="1"/>
  <c r="K723" i="1"/>
  <c r="Q722" i="1"/>
  <c r="P722" i="1"/>
  <c r="O722" i="1"/>
  <c r="N722" i="1"/>
  <c r="M722" i="1"/>
  <c r="L722" i="1"/>
  <c r="K722" i="1"/>
  <c r="Q721" i="1"/>
  <c r="P721" i="1"/>
  <c r="O721" i="1"/>
  <c r="N721" i="1"/>
  <c r="M721" i="1"/>
  <c r="L721" i="1"/>
  <c r="K721" i="1"/>
  <c r="Q720" i="1"/>
  <c r="P720" i="1"/>
  <c r="O720" i="1"/>
  <c r="N720" i="1"/>
  <c r="M720" i="1"/>
  <c r="L720" i="1"/>
  <c r="K720" i="1"/>
  <c r="Q719" i="1"/>
  <c r="P719" i="1"/>
  <c r="O719" i="1"/>
  <c r="N719" i="1"/>
  <c r="M719" i="1"/>
  <c r="L719" i="1"/>
  <c r="K719" i="1"/>
  <c r="Q718" i="1"/>
  <c r="P718" i="1"/>
  <c r="O718" i="1"/>
  <c r="N718" i="1"/>
  <c r="M718" i="1"/>
  <c r="L718" i="1"/>
  <c r="K718" i="1"/>
  <c r="Q717" i="1"/>
  <c r="P717" i="1"/>
  <c r="O717" i="1"/>
  <c r="N717" i="1"/>
  <c r="M717" i="1"/>
  <c r="L717" i="1"/>
  <c r="K717" i="1"/>
  <c r="Q716" i="1"/>
  <c r="P716" i="1"/>
  <c r="O716" i="1"/>
  <c r="N716" i="1"/>
  <c r="M716" i="1"/>
  <c r="L716" i="1"/>
  <c r="K716" i="1"/>
  <c r="Q715" i="1"/>
  <c r="P715" i="1"/>
  <c r="O715" i="1"/>
  <c r="N715" i="1"/>
  <c r="M715" i="1"/>
  <c r="L715" i="1"/>
  <c r="K715" i="1"/>
  <c r="Q714" i="1"/>
  <c r="P714" i="1"/>
  <c r="O714" i="1"/>
  <c r="N714" i="1"/>
  <c r="M714" i="1"/>
  <c r="L714" i="1"/>
  <c r="K714" i="1"/>
  <c r="Q713" i="1"/>
  <c r="P713" i="1"/>
  <c r="O713" i="1"/>
  <c r="N713" i="1"/>
  <c r="M713" i="1"/>
  <c r="L713" i="1"/>
  <c r="K713" i="1"/>
  <c r="Q712" i="1"/>
  <c r="P712" i="1"/>
  <c r="O712" i="1"/>
  <c r="N712" i="1"/>
  <c r="M712" i="1"/>
  <c r="L712" i="1"/>
  <c r="K712" i="1"/>
  <c r="Q711" i="1"/>
  <c r="P711" i="1"/>
  <c r="O711" i="1"/>
  <c r="N711" i="1"/>
  <c r="M711" i="1"/>
  <c r="L711" i="1"/>
  <c r="K711" i="1"/>
  <c r="Q710" i="1"/>
  <c r="P710" i="1"/>
  <c r="O710" i="1"/>
  <c r="N710" i="1"/>
  <c r="M710" i="1"/>
  <c r="L710" i="1"/>
  <c r="K710" i="1"/>
  <c r="Q709" i="1"/>
  <c r="P709" i="1"/>
  <c r="O709" i="1"/>
  <c r="N709" i="1"/>
  <c r="M709" i="1"/>
  <c r="L709" i="1"/>
  <c r="K709" i="1"/>
  <c r="Q708" i="1"/>
  <c r="P708" i="1"/>
  <c r="O708" i="1"/>
  <c r="N708" i="1"/>
  <c r="M708" i="1"/>
  <c r="L708" i="1"/>
  <c r="K708" i="1"/>
  <c r="Q707" i="1"/>
  <c r="P707" i="1"/>
  <c r="O707" i="1"/>
  <c r="N707" i="1"/>
  <c r="M707" i="1"/>
  <c r="L707" i="1"/>
  <c r="K707" i="1"/>
  <c r="Q706" i="1"/>
  <c r="P706" i="1"/>
  <c r="O706" i="1"/>
  <c r="N706" i="1"/>
  <c r="M706" i="1"/>
  <c r="L706" i="1"/>
  <c r="K706" i="1"/>
  <c r="Q705" i="1"/>
  <c r="P705" i="1"/>
  <c r="O705" i="1"/>
  <c r="N705" i="1"/>
  <c r="M705" i="1"/>
  <c r="L705" i="1"/>
  <c r="K705" i="1"/>
  <c r="Q704" i="1"/>
  <c r="P704" i="1"/>
  <c r="O704" i="1"/>
  <c r="N704" i="1"/>
  <c r="M704" i="1"/>
  <c r="L704" i="1"/>
  <c r="K704" i="1"/>
  <c r="Q703" i="1"/>
  <c r="P703" i="1"/>
  <c r="O703" i="1"/>
  <c r="N703" i="1"/>
  <c r="M703" i="1"/>
  <c r="L703" i="1"/>
  <c r="K703" i="1"/>
  <c r="Q702" i="1"/>
  <c r="P702" i="1"/>
  <c r="O702" i="1"/>
  <c r="N702" i="1"/>
  <c r="M702" i="1"/>
  <c r="L702" i="1"/>
  <c r="K702" i="1"/>
  <c r="Q701" i="1"/>
  <c r="P701" i="1"/>
  <c r="O701" i="1"/>
  <c r="N701" i="1"/>
  <c r="M701" i="1"/>
  <c r="L701" i="1"/>
  <c r="K701" i="1"/>
  <c r="Q700" i="1"/>
  <c r="P700" i="1"/>
  <c r="O700" i="1"/>
  <c r="N700" i="1"/>
  <c r="M700" i="1"/>
  <c r="L700" i="1"/>
  <c r="K700" i="1"/>
  <c r="Q699" i="1"/>
  <c r="P699" i="1"/>
  <c r="O699" i="1"/>
  <c r="N699" i="1"/>
  <c r="M699" i="1"/>
  <c r="L699" i="1"/>
  <c r="K699" i="1"/>
  <c r="Q698" i="1"/>
  <c r="P698" i="1"/>
  <c r="O698" i="1"/>
  <c r="N698" i="1"/>
  <c r="M698" i="1"/>
  <c r="L698" i="1"/>
  <c r="K698" i="1"/>
  <c r="Q697" i="1"/>
  <c r="P697" i="1"/>
  <c r="O697" i="1"/>
  <c r="N697" i="1"/>
  <c r="M697" i="1"/>
  <c r="L697" i="1"/>
  <c r="K697" i="1"/>
  <c r="Q696" i="1"/>
  <c r="P696" i="1"/>
  <c r="O696" i="1"/>
  <c r="N696" i="1"/>
  <c r="M696" i="1"/>
  <c r="L696" i="1"/>
  <c r="K696" i="1"/>
  <c r="Q695" i="1"/>
  <c r="P695" i="1"/>
  <c r="O695" i="1"/>
  <c r="N695" i="1"/>
  <c r="M695" i="1"/>
  <c r="L695" i="1"/>
  <c r="K695" i="1"/>
  <c r="Q694" i="1"/>
  <c r="P694" i="1"/>
  <c r="O694" i="1"/>
  <c r="N694" i="1"/>
  <c r="M694" i="1"/>
  <c r="L694" i="1"/>
  <c r="K694" i="1"/>
  <c r="Q693" i="1"/>
  <c r="P693" i="1"/>
  <c r="O693" i="1"/>
  <c r="N693" i="1"/>
  <c r="M693" i="1"/>
  <c r="L693" i="1"/>
  <c r="K693" i="1"/>
  <c r="Q692" i="1"/>
  <c r="P692" i="1"/>
  <c r="O692" i="1"/>
  <c r="N692" i="1"/>
  <c r="M692" i="1"/>
  <c r="L692" i="1"/>
  <c r="K692" i="1"/>
  <c r="Q691" i="1"/>
  <c r="P691" i="1"/>
  <c r="O691" i="1"/>
  <c r="N691" i="1"/>
  <c r="M691" i="1"/>
  <c r="L691" i="1"/>
  <c r="K691" i="1"/>
  <c r="Q690" i="1"/>
  <c r="P690" i="1"/>
  <c r="O690" i="1"/>
  <c r="N690" i="1"/>
  <c r="M690" i="1"/>
  <c r="L690" i="1"/>
  <c r="K690" i="1"/>
  <c r="Q689" i="1"/>
  <c r="P689" i="1"/>
  <c r="O689" i="1"/>
  <c r="N689" i="1"/>
  <c r="M689" i="1"/>
  <c r="L689" i="1"/>
  <c r="K689" i="1"/>
  <c r="Q688" i="1"/>
  <c r="P688" i="1"/>
  <c r="O688" i="1"/>
  <c r="N688" i="1"/>
  <c r="M688" i="1"/>
  <c r="L688" i="1"/>
  <c r="K688" i="1"/>
  <c r="Q687" i="1"/>
  <c r="P687" i="1"/>
  <c r="O687" i="1"/>
  <c r="N687" i="1"/>
  <c r="M687" i="1"/>
  <c r="L687" i="1"/>
  <c r="K687" i="1"/>
  <c r="Q686" i="1"/>
  <c r="P686" i="1"/>
  <c r="O686" i="1"/>
  <c r="N686" i="1"/>
  <c r="M686" i="1"/>
  <c r="L686" i="1"/>
  <c r="K686" i="1"/>
  <c r="Q685" i="1"/>
  <c r="P685" i="1"/>
  <c r="O685" i="1"/>
  <c r="N685" i="1"/>
  <c r="M685" i="1"/>
  <c r="L685" i="1"/>
  <c r="K685" i="1"/>
  <c r="Q684" i="1"/>
  <c r="P684" i="1"/>
  <c r="O684" i="1"/>
  <c r="N684" i="1"/>
  <c r="M684" i="1"/>
  <c r="L684" i="1"/>
  <c r="K684" i="1"/>
  <c r="Q683" i="1"/>
  <c r="P683" i="1"/>
  <c r="O683" i="1"/>
  <c r="N683" i="1"/>
  <c r="M683" i="1"/>
  <c r="L683" i="1"/>
  <c r="K683" i="1"/>
  <c r="Q682" i="1"/>
  <c r="P682" i="1"/>
  <c r="O682" i="1"/>
  <c r="N682" i="1"/>
  <c r="M682" i="1"/>
  <c r="L682" i="1"/>
  <c r="K682" i="1"/>
  <c r="Q681" i="1"/>
  <c r="P681" i="1"/>
  <c r="O681" i="1"/>
  <c r="N681" i="1"/>
  <c r="M681" i="1"/>
  <c r="L681" i="1"/>
  <c r="K681" i="1"/>
  <c r="Q680" i="1"/>
  <c r="P680" i="1"/>
  <c r="O680" i="1"/>
  <c r="N680" i="1"/>
  <c r="M680" i="1"/>
  <c r="L680" i="1"/>
  <c r="K680" i="1"/>
  <c r="Q679" i="1"/>
  <c r="P679" i="1"/>
  <c r="O679" i="1"/>
  <c r="N679" i="1"/>
  <c r="M679" i="1"/>
  <c r="L679" i="1"/>
  <c r="K679" i="1"/>
  <c r="Q678" i="1"/>
  <c r="P678" i="1"/>
  <c r="O678" i="1"/>
  <c r="N678" i="1"/>
  <c r="M678" i="1"/>
  <c r="L678" i="1"/>
  <c r="K678" i="1"/>
  <c r="Q677" i="1"/>
  <c r="P677" i="1"/>
  <c r="O677" i="1"/>
  <c r="N677" i="1"/>
  <c r="M677" i="1"/>
  <c r="L677" i="1"/>
  <c r="K677" i="1"/>
  <c r="Q676" i="1"/>
  <c r="P676" i="1"/>
  <c r="O676" i="1"/>
  <c r="N676" i="1"/>
  <c r="M676" i="1"/>
  <c r="L676" i="1"/>
  <c r="K676" i="1"/>
  <c r="Q675" i="1"/>
  <c r="P675" i="1"/>
  <c r="O675" i="1"/>
  <c r="N675" i="1"/>
  <c r="M675" i="1"/>
  <c r="L675" i="1"/>
  <c r="K675" i="1"/>
  <c r="Q674" i="1"/>
  <c r="P674" i="1"/>
  <c r="O674" i="1"/>
  <c r="N674" i="1"/>
  <c r="M674" i="1"/>
  <c r="L674" i="1"/>
  <c r="K674" i="1"/>
  <c r="Q673" i="1"/>
  <c r="P673" i="1"/>
  <c r="O673" i="1"/>
  <c r="N673" i="1"/>
  <c r="M673" i="1"/>
  <c r="L673" i="1"/>
  <c r="K673" i="1"/>
  <c r="Q672" i="1"/>
  <c r="P672" i="1"/>
  <c r="O672" i="1"/>
  <c r="N672" i="1"/>
  <c r="M672" i="1"/>
  <c r="L672" i="1"/>
  <c r="K672" i="1"/>
  <c r="Q671" i="1"/>
  <c r="P671" i="1"/>
  <c r="O671" i="1"/>
  <c r="N671" i="1"/>
  <c r="M671" i="1"/>
  <c r="L671" i="1"/>
  <c r="K671" i="1"/>
  <c r="Q670" i="1"/>
  <c r="P670" i="1"/>
  <c r="O670" i="1"/>
  <c r="N670" i="1"/>
  <c r="M670" i="1"/>
  <c r="L670" i="1"/>
  <c r="K670" i="1"/>
  <c r="Q669" i="1"/>
  <c r="P669" i="1"/>
  <c r="O669" i="1"/>
  <c r="N669" i="1"/>
  <c r="M669" i="1"/>
  <c r="L669" i="1"/>
  <c r="K669" i="1"/>
  <c r="Q668" i="1"/>
  <c r="P668" i="1"/>
  <c r="O668" i="1"/>
  <c r="N668" i="1"/>
  <c r="M668" i="1"/>
  <c r="L668" i="1"/>
  <c r="K668" i="1"/>
  <c r="Q667" i="1"/>
  <c r="P667" i="1"/>
  <c r="O667" i="1"/>
  <c r="N667" i="1"/>
  <c r="M667" i="1"/>
  <c r="L667" i="1"/>
  <c r="K667" i="1"/>
  <c r="Q666" i="1"/>
  <c r="P666" i="1"/>
  <c r="O666" i="1"/>
  <c r="N666" i="1"/>
  <c r="M666" i="1"/>
  <c r="L666" i="1"/>
  <c r="K666" i="1"/>
  <c r="Q665" i="1"/>
  <c r="P665" i="1"/>
  <c r="O665" i="1"/>
  <c r="N665" i="1"/>
  <c r="M665" i="1"/>
  <c r="L665" i="1"/>
  <c r="K665" i="1"/>
  <c r="Q664" i="1"/>
  <c r="P664" i="1"/>
  <c r="O664" i="1"/>
  <c r="N664" i="1"/>
  <c r="M664" i="1"/>
  <c r="L664" i="1"/>
  <c r="K664" i="1"/>
  <c r="Q663" i="1"/>
  <c r="P663" i="1"/>
  <c r="O663" i="1"/>
  <c r="N663" i="1"/>
  <c r="M663" i="1"/>
  <c r="L663" i="1"/>
  <c r="K663" i="1"/>
  <c r="Q662" i="1"/>
  <c r="P662" i="1"/>
  <c r="O662" i="1"/>
  <c r="N662" i="1"/>
  <c r="M662" i="1"/>
  <c r="L662" i="1"/>
  <c r="K662" i="1"/>
  <c r="Q661" i="1"/>
  <c r="P661" i="1"/>
  <c r="O661" i="1"/>
  <c r="N661" i="1"/>
  <c r="M661" i="1"/>
  <c r="L661" i="1"/>
  <c r="K661" i="1"/>
  <c r="Q660" i="1"/>
  <c r="P660" i="1"/>
  <c r="O660" i="1"/>
  <c r="N660" i="1"/>
  <c r="M660" i="1"/>
  <c r="L660" i="1"/>
  <c r="K660" i="1"/>
  <c r="Q659" i="1"/>
  <c r="P659" i="1"/>
  <c r="O659" i="1"/>
  <c r="N659" i="1"/>
  <c r="M659" i="1"/>
  <c r="L659" i="1"/>
  <c r="K659" i="1"/>
  <c r="Q658" i="1"/>
  <c r="P658" i="1"/>
  <c r="O658" i="1"/>
  <c r="N658" i="1"/>
  <c r="M658" i="1"/>
  <c r="L658" i="1"/>
  <c r="K658" i="1"/>
  <c r="Q657" i="1"/>
  <c r="P657" i="1"/>
  <c r="O657" i="1"/>
  <c r="N657" i="1"/>
  <c r="M657" i="1"/>
  <c r="L657" i="1"/>
  <c r="K657" i="1"/>
  <c r="Q656" i="1"/>
  <c r="P656" i="1"/>
  <c r="O656" i="1"/>
  <c r="N656" i="1"/>
  <c r="M656" i="1"/>
  <c r="L656" i="1"/>
  <c r="K656" i="1"/>
  <c r="Q655" i="1"/>
  <c r="P655" i="1"/>
  <c r="O655" i="1"/>
  <c r="N655" i="1"/>
  <c r="M655" i="1"/>
  <c r="L655" i="1"/>
  <c r="K655" i="1"/>
  <c r="Q654" i="1"/>
  <c r="P654" i="1"/>
  <c r="O654" i="1"/>
  <c r="N654" i="1"/>
  <c r="M654" i="1"/>
  <c r="L654" i="1"/>
  <c r="K654" i="1"/>
  <c r="Q653" i="1"/>
  <c r="P653" i="1"/>
  <c r="O653" i="1"/>
  <c r="N653" i="1"/>
  <c r="M653" i="1"/>
  <c r="L653" i="1"/>
  <c r="K653" i="1"/>
  <c r="Q652" i="1"/>
  <c r="P652" i="1"/>
  <c r="O652" i="1"/>
  <c r="N652" i="1"/>
  <c r="M652" i="1"/>
  <c r="L652" i="1"/>
  <c r="K652" i="1"/>
  <c r="Q651" i="1"/>
  <c r="P651" i="1"/>
  <c r="O651" i="1"/>
  <c r="N651" i="1"/>
  <c r="M651" i="1"/>
  <c r="L651" i="1"/>
  <c r="K651" i="1"/>
  <c r="Q650" i="1"/>
  <c r="P650" i="1"/>
  <c r="O650" i="1"/>
  <c r="N650" i="1"/>
  <c r="M650" i="1"/>
  <c r="L650" i="1"/>
  <c r="K650" i="1"/>
  <c r="Q649" i="1"/>
  <c r="P649" i="1"/>
  <c r="O649" i="1"/>
  <c r="N649" i="1"/>
  <c r="M649" i="1"/>
  <c r="L649" i="1"/>
  <c r="K649" i="1"/>
  <c r="Q648" i="1"/>
  <c r="P648" i="1"/>
  <c r="O648" i="1"/>
  <c r="N648" i="1"/>
  <c r="M648" i="1"/>
  <c r="L648" i="1"/>
  <c r="K648" i="1"/>
  <c r="Q647" i="1"/>
  <c r="P647" i="1"/>
  <c r="O647" i="1"/>
  <c r="N647" i="1"/>
  <c r="M647" i="1"/>
  <c r="L647" i="1"/>
  <c r="K647" i="1"/>
  <c r="Q646" i="1"/>
  <c r="P646" i="1"/>
  <c r="O646" i="1"/>
  <c r="N646" i="1"/>
  <c r="M646" i="1"/>
  <c r="L646" i="1"/>
  <c r="K646" i="1"/>
  <c r="Q645" i="1"/>
  <c r="P645" i="1"/>
  <c r="O645" i="1"/>
  <c r="N645" i="1"/>
  <c r="M645" i="1"/>
  <c r="L645" i="1"/>
  <c r="K645" i="1"/>
  <c r="Q644" i="1"/>
  <c r="P644" i="1"/>
  <c r="O644" i="1"/>
  <c r="N644" i="1"/>
  <c r="M644" i="1"/>
  <c r="L644" i="1"/>
  <c r="K644" i="1"/>
  <c r="Q643" i="1"/>
  <c r="P643" i="1"/>
  <c r="O643" i="1"/>
  <c r="N643" i="1"/>
  <c r="M643" i="1"/>
  <c r="L643" i="1"/>
  <c r="K643" i="1"/>
  <c r="Q642" i="1"/>
  <c r="P642" i="1"/>
  <c r="O642" i="1"/>
  <c r="N642" i="1"/>
  <c r="M642" i="1"/>
  <c r="L642" i="1"/>
  <c r="K642" i="1"/>
  <c r="Q641" i="1"/>
  <c r="P641" i="1"/>
  <c r="O641" i="1"/>
  <c r="N641" i="1"/>
  <c r="M641" i="1"/>
  <c r="L641" i="1"/>
  <c r="K641" i="1"/>
  <c r="Q640" i="1"/>
  <c r="P640" i="1"/>
  <c r="O640" i="1"/>
  <c r="N640" i="1"/>
  <c r="M640" i="1"/>
  <c r="L640" i="1"/>
  <c r="K640" i="1"/>
  <c r="Q639" i="1"/>
  <c r="P639" i="1"/>
  <c r="O639" i="1"/>
  <c r="N639" i="1"/>
  <c r="M639" i="1"/>
  <c r="L639" i="1"/>
  <c r="K639" i="1"/>
  <c r="Q638" i="1"/>
  <c r="P638" i="1"/>
  <c r="O638" i="1"/>
  <c r="N638" i="1"/>
  <c r="M638" i="1"/>
  <c r="L638" i="1"/>
  <c r="K638" i="1"/>
  <c r="Q637" i="1"/>
  <c r="P637" i="1"/>
  <c r="O637" i="1"/>
  <c r="N637" i="1"/>
  <c r="M637" i="1"/>
  <c r="L637" i="1"/>
  <c r="K637" i="1"/>
  <c r="Q636" i="1"/>
  <c r="P636" i="1"/>
  <c r="O636" i="1"/>
  <c r="N636" i="1"/>
  <c r="M636" i="1"/>
  <c r="L636" i="1"/>
  <c r="K636" i="1"/>
  <c r="Q635" i="1"/>
  <c r="P635" i="1"/>
  <c r="O635" i="1"/>
  <c r="N635" i="1"/>
  <c r="M635" i="1"/>
  <c r="L635" i="1"/>
  <c r="K635" i="1"/>
  <c r="Q634" i="1"/>
  <c r="P634" i="1"/>
  <c r="O634" i="1"/>
  <c r="N634" i="1"/>
  <c r="M634" i="1"/>
  <c r="L634" i="1"/>
  <c r="K634" i="1"/>
  <c r="Q633" i="1"/>
  <c r="P633" i="1"/>
  <c r="O633" i="1"/>
  <c r="N633" i="1"/>
  <c r="M633" i="1"/>
  <c r="L633" i="1"/>
  <c r="K633" i="1"/>
  <c r="Q632" i="1"/>
  <c r="P632" i="1"/>
  <c r="O632" i="1"/>
  <c r="N632" i="1"/>
  <c r="M632" i="1"/>
  <c r="L632" i="1"/>
  <c r="K632" i="1"/>
  <c r="Q631" i="1"/>
  <c r="P631" i="1"/>
  <c r="O631" i="1"/>
  <c r="N631" i="1"/>
  <c r="M631" i="1"/>
  <c r="L631" i="1"/>
  <c r="K631" i="1"/>
  <c r="Q630" i="1"/>
  <c r="P630" i="1"/>
  <c r="O630" i="1"/>
  <c r="N630" i="1"/>
  <c r="M630" i="1"/>
  <c r="L630" i="1"/>
  <c r="K630" i="1"/>
  <c r="Q629" i="1"/>
  <c r="P629" i="1"/>
  <c r="O629" i="1"/>
  <c r="N629" i="1"/>
  <c r="M629" i="1"/>
  <c r="L629" i="1"/>
  <c r="K629" i="1"/>
  <c r="Q628" i="1"/>
  <c r="P628" i="1"/>
  <c r="O628" i="1"/>
  <c r="N628" i="1"/>
  <c r="M628" i="1"/>
  <c r="L628" i="1"/>
  <c r="K628" i="1"/>
  <c r="Q627" i="1"/>
  <c r="P627" i="1"/>
  <c r="O627" i="1"/>
  <c r="N627" i="1"/>
  <c r="M627" i="1"/>
  <c r="L627" i="1"/>
  <c r="K627" i="1"/>
  <c r="Q626" i="1"/>
  <c r="P626" i="1"/>
  <c r="O626" i="1"/>
  <c r="N626" i="1"/>
  <c r="M626" i="1"/>
  <c r="L626" i="1"/>
  <c r="K626" i="1"/>
  <c r="Q625" i="1"/>
  <c r="P625" i="1"/>
  <c r="O625" i="1"/>
  <c r="N625" i="1"/>
  <c r="M625" i="1"/>
  <c r="L625" i="1"/>
  <c r="K625" i="1"/>
  <c r="Q624" i="1"/>
  <c r="P624" i="1"/>
  <c r="O624" i="1"/>
  <c r="N624" i="1"/>
  <c r="M624" i="1"/>
  <c r="L624" i="1"/>
  <c r="K624" i="1"/>
  <c r="Q623" i="1"/>
  <c r="P623" i="1"/>
  <c r="O623" i="1"/>
  <c r="N623" i="1"/>
  <c r="M623" i="1"/>
  <c r="L623" i="1"/>
  <c r="K623" i="1"/>
  <c r="Q622" i="1"/>
  <c r="P622" i="1"/>
  <c r="O622" i="1"/>
  <c r="N622" i="1"/>
  <c r="M622" i="1"/>
  <c r="L622" i="1"/>
  <c r="K622" i="1"/>
  <c r="Q621" i="1"/>
  <c r="P621" i="1"/>
  <c r="O621" i="1"/>
  <c r="N621" i="1"/>
  <c r="M621" i="1"/>
  <c r="L621" i="1"/>
  <c r="K621" i="1"/>
  <c r="Q620" i="1"/>
  <c r="P620" i="1"/>
  <c r="O620" i="1"/>
  <c r="N620" i="1"/>
  <c r="M620" i="1"/>
  <c r="L620" i="1"/>
  <c r="K620" i="1"/>
  <c r="Q619" i="1"/>
  <c r="P619" i="1"/>
  <c r="O619" i="1"/>
  <c r="N619" i="1"/>
  <c r="M619" i="1"/>
  <c r="L619" i="1"/>
  <c r="K619" i="1"/>
  <c r="Q618" i="1"/>
  <c r="P618" i="1"/>
  <c r="O618" i="1"/>
  <c r="N618" i="1"/>
  <c r="M618" i="1"/>
  <c r="L618" i="1"/>
  <c r="K618" i="1"/>
  <c r="Q617" i="1"/>
  <c r="P617" i="1"/>
  <c r="O617" i="1"/>
  <c r="N617" i="1"/>
  <c r="M617" i="1"/>
  <c r="L617" i="1"/>
  <c r="K617" i="1"/>
  <c r="Q616" i="1"/>
  <c r="P616" i="1"/>
  <c r="O616" i="1"/>
  <c r="N616" i="1"/>
  <c r="M616" i="1"/>
  <c r="L616" i="1"/>
  <c r="K616" i="1"/>
  <c r="Q615" i="1"/>
  <c r="P615" i="1"/>
  <c r="O615" i="1"/>
  <c r="N615" i="1"/>
  <c r="M615" i="1"/>
  <c r="L615" i="1"/>
  <c r="K615" i="1"/>
  <c r="Q614" i="1"/>
  <c r="P614" i="1"/>
  <c r="O614" i="1"/>
  <c r="N614" i="1"/>
  <c r="M614" i="1"/>
  <c r="L614" i="1"/>
  <c r="K614" i="1"/>
  <c r="Q613" i="1"/>
  <c r="P613" i="1"/>
  <c r="O613" i="1"/>
  <c r="N613" i="1"/>
  <c r="M613" i="1"/>
  <c r="L613" i="1"/>
  <c r="K613" i="1"/>
  <c r="Q612" i="1"/>
  <c r="P612" i="1"/>
  <c r="O612" i="1"/>
  <c r="N612" i="1"/>
  <c r="M612" i="1"/>
  <c r="L612" i="1"/>
  <c r="K612" i="1"/>
  <c r="Q611" i="1"/>
  <c r="P611" i="1"/>
  <c r="O611" i="1"/>
  <c r="N611" i="1"/>
  <c r="M611" i="1"/>
  <c r="L611" i="1"/>
  <c r="K611" i="1"/>
  <c r="Q610" i="1"/>
  <c r="P610" i="1"/>
  <c r="O610" i="1"/>
  <c r="N610" i="1"/>
  <c r="M610" i="1"/>
  <c r="L610" i="1"/>
  <c r="K610" i="1"/>
  <c r="Q609" i="1"/>
  <c r="P609" i="1"/>
  <c r="O609" i="1"/>
  <c r="N609" i="1"/>
  <c r="M609" i="1"/>
  <c r="L609" i="1"/>
  <c r="K609" i="1"/>
  <c r="Q608" i="1"/>
  <c r="P608" i="1"/>
  <c r="O608" i="1"/>
  <c r="N608" i="1"/>
  <c r="M608" i="1"/>
  <c r="L608" i="1"/>
  <c r="K608" i="1"/>
  <c r="Q607" i="1"/>
  <c r="P607" i="1"/>
  <c r="O607" i="1"/>
  <c r="N607" i="1"/>
  <c r="M607" i="1"/>
  <c r="L607" i="1"/>
  <c r="K607" i="1"/>
  <c r="Q606" i="1"/>
  <c r="P606" i="1"/>
  <c r="O606" i="1"/>
  <c r="N606" i="1"/>
  <c r="M606" i="1"/>
  <c r="L606" i="1"/>
  <c r="K606" i="1"/>
  <c r="Q605" i="1"/>
  <c r="P605" i="1"/>
  <c r="O605" i="1"/>
  <c r="N605" i="1"/>
  <c r="M605" i="1"/>
  <c r="L605" i="1"/>
  <c r="K605" i="1"/>
  <c r="Q604" i="1"/>
  <c r="P604" i="1"/>
  <c r="O604" i="1"/>
  <c r="N604" i="1"/>
  <c r="M604" i="1"/>
  <c r="L604" i="1"/>
  <c r="K604" i="1"/>
  <c r="Q603" i="1"/>
  <c r="P603" i="1"/>
  <c r="O603" i="1"/>
  <c r="N603" i="1"/>
  <c r="M603" i="1"/>
  <c r="L603" i="1"/>
  <c r="K603" i="1"/>
  <c r="Q602" i="1"/>
  <c r="P602" i="1"/>
  <c r="O602" i="1"/>
  <c r="N602" i="1"/>
  <c r="M602" i="1"/>
  <c r="L602" i="1"/>
  <c r="K602" i="1"/>
  <c r="Q601" i="1"/>
  <c r="P601" i="1"/>
  <c r="O601" i="1"/>
  <c r="N601" i="1"/>
  <c r="M601" i="1"/>
  <c r="L601" i="1"/>
  <c r="K601" i="1"/>
  <c r="Q600" i="1"/>
  <c r="P600" i="1"/>
  <c r="O600" i="1"/>
  <c r="N600" i="1"/>
  <c r="M600" i="1"/>
  <c r="L600" i="1"/>
  <c r="K600" i="1"/>
  <c r="Q599" i="1"/>
  <c r="P599" i="1"/>
  <c r="O599" i="1"/>
  <c r="N599" i="1"/>
  <c r="M599" i="1"/>
  <c r="L599" i="1"/>
  <c r="K599" i="1"/>
  <c r="Q598" i="1"/>
  <c r="P598" i="1"/>
  <c r="O598" i="1"/>
  <c r="N598" i="1"/>
  <c r="M598" i="1"/>
  <c r="L598" i="1"/>
  <c r="K598" i="1"/>
  <c r="Q597" i="1"/>
  <c r="P597" i="1"/>
  <c r="O597" i="1"/>
  <c r="N597" i="1"/>
  <c r="M597" i="1"/>
  <c r="L597" i="1"/>
  <c r="K597" i="1"/>
  <c r="Q596" i="1"/>
  <c r="P596" i="1"/>
  <c r="O596" i="1"/>
  <c r="N596" i="1"/>
  <c r="M596" i="1"/>
  <c r="L596" i="1"/>
  <c r="K596" i="1"/>
  <c r="Q595" i="1"/>
  <c r="P595" i="1"/>
  <c r="O595" i="1"/>
  <c r="N595" i="1"/>
  <c r="M595" i="1"/>
  <c r="L595" i="1"/>
  <c r="K595" i="1"/>
  <c r="Q594" i="1"/>
  <c r="P594" i="1"/>
  <c r="O594" i="1"/>
  <c r="N594" i="1"/>
  <c r="M594" i="1"/>
  <c r="L594" i="1"/>
  <c r="K594" i="1"/>
  <c r="Q593" i="1"/>
  <c r="P593" i="1"/>
  <c r="O593" i="1"/>
  <c r="N593" i="1"/>
  <c r="M593" i="1"/>
  <c r="L593" i="1"/>
  <c r="K593" i="1"/>
  <c r="Q592" i="1"/>
  <c r="P592" i="1"/>
  <c r="O592" i="1"/>
  <c r="N592" i="1"/>
  <c r="M592" i="1"/>
  <c r="L592" i="1"/>
  <c r="K592" i="1"/>
  <c r="Q591" i="1"/>
  <c r="P591" i="1"/>
  <c r="O591" i="1"/>
  <c r="N591" i="1"/>
  <c r="M591" i="1"/>
  <c r="L591" i="1"/>
  <c r="K591" i="1"/>
  <c r="Q590" i="1"/>
  <c r="P590" i="1"/>
  <c r="O590" i="1"/>
  <c r="N590" i="1"/>
  <c r="M590" i="1"/>
  <c r="L590" i="1"/>
  <c r="K590" i="1"/>
  <c r="Q589" i="1"/>
  <c r="P589" i="1"/>
  <c r="O589" i="1"/>
  <c r="N589" i="1"/>
  <c r="M589" i="1"/>
  <c r="L589" i="1"/>
  <c r="K589" i="1"/>
  <c r="Q588" i="1"/>
  <c r="P588" i="1"/>
  <c r="O588" i="1"/>
  <c r="N588" i="1"/>
  <c r="M588" i="1"/>
  <c r="L588" i="1"/>
  <c r="K588" i="1"/>
  <c r="Q587" i="1"/>
  <c r="P587" i="1"/>
  <c r="O587" i="1"/>
  <c r="N587" i="1"/>
  <c r="M587" i="1"/>
  <c r="L587" i="1"/>
  <c r="K587" i="1"/>
  <c r="Q586" i="1"/>
  <c r="P586" i="1"/>
  <c r="O586" i="1"/>
  <c r="N586" i="1"/>
  <c r="M586" i="1"/>
  <c r="L586" i="1"/>
  <c r="K586" i="1"/>
  <c r="Q585" i="1"/>
  <c r="P585" i="1"/>
  <c r="O585" i="1"/>
  <c r="N585" i="1"/>
  <c r="M585" i="1"/>
  <c r="L585" i="1"/>
  <c r="K585" i="1"/>
  <c r="Q584" i="1"/>
  <c r="P584" i="1"/>
  <c r="O584" i="1"/>
  <c r="N584" i="1"/>
  <c r="M584" i="1"/>
  <c r="L584" i="1"/>
  <c r="K584" i="1"/>
  <c r="Q583" i="1"/>
  <c r="P583" i="1"/>
  <c r="O583" i="1"/>
  <c r="N583" i="1"/>
  <c r="M583" i="1"/>
  <c r="L583" i="1"/>
  <c r="K583" i="1"/>
  <c r="Q582" i="1"/>
  <c r="P582" i="1"/>
  <c r="O582" i="1"/>
  <c r="N582" i="1"/>
  <c r="M582" i="1"/>
  <c r="L582" i="1"/>
  <c r="K582" i="1"/>
  <c r="Q581" i="1"/>
  <c r="P581" i="1"/>
  <c r="O581" i="1"/>
  <c r="N581" i="1"/>
  <c r="M581" i="1"/>
  <c r="L581" i="1"/>
  <c r="K581" i="1"/>
  <c r="Q580" i="1"/>
  <c r="P580" i="1"/>
  <c r="O580" i="1"/>
  <c r="N580" i="1"/>
  <c r="M580" i="1"/>
  <c r="L580" i="1"/>
  <c r="K580" i="1"/>
  <c r="Q579" i="1"/>
  <c r="P579" i="1"/>
  <c r="O579" i="1"/>
  <c r="N579" i="1"/>
  <c r="M579" i="1"/>
  <c r="L579" i="1"/>
  <c r="K579" i="1"/>
  <c r="Q578" i="1"/>
  <c r="P578" i="1"/>
  <c r="O578" i="1"/>
  <c r="N578" i="1"/>
  <c r="M578" i="1"/>
  <c r="L578" i="1"/>
  <c r="K578" i="1"/>
  <c r="Q577" i="1"/>
  <c r="P577" i="1"/>
  <c r="O577" i="1"/>
  <c r="N577" i="1"/>
  <c r="M577" i="1"/>
  <c r="L577" i="1"/>
  <c r="K577" i="1"/>
  <c r="Q576" i="1"/>
  <c r="P576" i="1"/>
  <c r="O576" i="1"/>
  <c r="N576" i="1"/>
  <c r="M576" i="1"/>
  <c r="L576" i="1"/>
  <c r="K576" i="1"/>
  <c r="Q575" i="1"/>
  <c r="P575" i="1"/>
  <c r="O575" i="1"/>
  <c r="N575" i="1"/>
  <c r="M575" i="1"/>
  <c r="L575" i="1"/>
  <c r="K575" i="1"/>
  <c r="Q574" i="1"/>
  <c r="P574" i="1"/>
  <c r="O574" i="1"/>
  <c r="N574" i="1"/>
  <c r="M574" i="1"/>
  <c r="L574" i="1"/>
  <c r="K574" i="1"/>
  <c r="Q573" i="1"/>
  <c r="P573" i="1"/>
  <c r="O573" i="1"/>
  <c r="N573" i="1"/>
  <c r="M573" i="1"/>
  <c r="L573" i="1"/>
  <c r="K573" i="1"/>
  <c r="Q572" i="1"/>
  <c r="P572" i="1"/>
  <c r="O572" i="1"/>
  <c r="N572" i="1"/>
  <c r="M572" i="1"/>
  <c r="L572" i="1"/>
  <c r="K572" i="1"/>
  <c r="Q571" i="1"/>
  <c r="P571" i="1"/>
  <c r="O571" i="1"/>
  <c r="N571" i="1"/>
  <c r="M571" i="1"/>
  <c r="L571" i="1"/>
  <c r="K571" i="1"/>
  <c r="Q570" i="1"/>
  <c r="P570" i="1"/>
  <c r="O570" i="1"/>
  <c r="N570" i="1"/>
  <c r="M570" i="1"/>
  <c r="L570" i="1"/>
  <c r="K570" i="1"/>
  <c r="Q569" i="1"/>
  <c r="P569" i="1"/>
  <c r="O569" i="1"/>
  <c r="N569" i="1"/>
  <c r="M569" i="1"/>
  <c r="L569" i="1"/>
  <c r="K569" i="1"/>
  <c r="Q568" i="1"/>
  <c r="P568" i="1"/>
  <c r="O568" i="1"/>
  <c r="N568" i="1"/>
  <c r="M568" i="1"/>
  <c r="L568" i="1"/>
  <c r="K568" i="1"/>
  <c r="Q567" i="1"/>
  <c r="P567" i="1"/>
  <c r="O567" i="1"/>
  <c r="N567" i="1"/>
  <c r="M567" i="1"/>
  <c r="L567" i="1"/>
  <c r="K567" i="1"/>
  <c r="Q566" i="1"/>
  <c r="P566" i="1"/>
  <c r="O566" i="1"/>
  <c r="N566" i="1"/>
  <c r="M566" i="1"/>
  <c r="L566" i="1"/>
  <c r="K566" i="1"/>
  <c r="Q565" i="1"/>
  <c r="P565" i="1"/>
  <c r="O565" i="1"/>
  <c r="N565" i="1"/>
  <c r="M565" i="1"/>
  <c r="L565" i="1"/>
  <c r="K565" i="1"/>
  <c r="Q564" i="1"/>
  <c r="P564" i="1"/>
  <c r="O564" i="1"/>
  <c r="N564" i="1"/>
  <c r="M564" i="1"/>
  <c r="L564" i="1"/>
  <c r="K564" i="1"/>
  <c r="Q563" i="1"/>
  <c r="P563" i="1"/>
  <c r="O563" i="1"/>
  <c r="N563" i="1"/>
  <c r="M563" i="1"/>
  <c r="L563" i="1"/>
  <c r="K563" i="1"/>
  <c r="Q562" i="1"/>
  <c r="P562" i="1"/>
  <c r="O562" i="1"/>
  <c r="N562" i="1"/>
  <c r="M562" i="1"/>
  <c r="L562" i="1"/>
  <c r="K562" i="1"/>
  <c r="Q561" i="1"/>
  <c r="P561" i="1"/>
  <c r="O561" i="1"/>
  <c r="N561" i="1"/>
  <c r="M561" i="1"/>
  <c r="L561" i="1"/>
  <c r="K561" i="1"/>
  <c r="Q560" i="1"/>
  <c r="P560" i="1"/>
  <c r="O560" i="1"/>
  <c r="N560" i="1"/>
  <c r="M560" i="1"/>
  <c r="L560" i="1"/>
  <c r="K560" i="1"/>
  <c r="Q559" i="1"/>
  <c r="P559" i="1"/>
  <c r="O559" i="1"/>
  <c r="N559" i="1"/>
  <c r="M559" i="1"/>
  <c r="L559" i="1"/>
  <c r="K559" i="1"/>
  <c r="Q558" i="1"/>
  <c r="P558" i="1"/>
  <c r="O558" i="1"/>
  <c r="N558" i="1"/>
  <c r="M558" i="1"/>
  <c r="L558" i="1"/>
  <c r="K558" i="1"/>
  <c r="Q557" i="1"/>
  <c r="P557" i="1"/>
  <c r="O557" i="1"/>
  <c r="N557" i="1"/>
  <c r="M557" i="1"/>
  <c r="L557" i="1"/>
  <c r="K557" i="1"/>
  <c r="Q556" i="1"/>
  <c r="P556" i="1"/>
  <c r="O556" i="1"/>
  <c r="N556" i="1"/>
  <c r="M556" i="1"/>
  <c r="L556" i="1"/>
  <c r="K556" i="1"/>
  <c r="Q555" i="1"/>
  <c r="P555" i="1"/>
  <c r="O555" i="1"/>
  <c r="N555" i="1"/>
  <c r="M555" i="1"/>
  <c r="L555" i="1"/>
  <c r="K555" i="1"/>
  <c r="Q554" i="1"/>
  <c r="P554" i="1"/>
  <c r="O554" i="1"/>
  <c r="N554" i="1"/>
  <c r="M554" i="1"/>
  <c r="L554" i="1"/>
  <c r="K554" i="1"/>
  <c r="Q553" i="1"/>
  <c r="P553" i="1"/>
  <c r="O553" i="1"/>
  <c r="N553" i="1"/>
  <c r="M553" i="1"/>
  <c r="L553" i="1"/>
  <c r="K553" i="1"/>
  <c r="Q552" i="1"/>
  <c r="P552" i="1"/>
  <c r="O552" i="1"/>
  <c r="N552" i="1"/>
  <c r="M552" i="1"/>
  <c r="L552" i="1"/>
  <c r="K552" i="1"/>
  <c r="Q551" i="1"/>
  <c r="P551" i="1"/>
  <c r="O551" i="1"/>
  <c r="N551" i="1"/>
  <c r="M551" i="1"/>
  <c r="L551" i="1"/>
  <c r="K551" i="1"/>
  <c r="Q550" i="1"/>
  <c r="P550" i="1"/>
  <c r="O550" i="1"/>
  <c r="N550" i="1"/>
  <c r="M550" i="1"/>
  <c r="L550" i="1"/>
  <c r="K550" i="1"/>
  <c r="Q549" i="1"/>
  <c r="P549" i="1"/>
  <c r="O549" i="1"/>
  <c r="N549" i="1"/>
  <c r="M549" i="1"/>
  <c r="L549" i="1"/>
  <c r="K549" i="1"/>
  <c r="Q548" i="1"/>
  <c r="P548" i="1"/>
  <c r="O548" i="1"/>
  <c r="N548" i="1"/>
  <c r="M548" i="1"/>
  <c r="L548" i="1"/>
  <c r="K548" i="1"/>
  <c r="Q547" i="1"/>
  <c r="P547" i="1"/>
  <c r="O547" i="1"/>
  <c r="N547" i="1"/>
  <c r="M547" i="1"/>
  <c r="L547" i="1"/>
  <c r="K547" i="1"/>
  <c r="Q546" i="1"/>
  <c r="P546" i="1"/>
  <c r="O546" i="1"/>
  <c r="N546" i="1"/>
  <c r="M546" i="1"/>
  <c r="L546" i="1"/>
  <c r="K546" i="1"/>
  <c r="Q545" i="1"/>
  <c r="P545" i="1"/>
  <c r="O545" i="1"/>
  <c r="N545" i="1"/>
  <c r="M545" i="1"/>
  <c r="L545" i="1"/>
  <c r="K545" i="1"/>
  <c r="Q544" i="1"/>
  <c r="P544" i="1"/>
  <c r="O544" i="1"/>
  <c r="N544" i="1"/>
  <c r="M544" i="1"/>
  <c r="L544" i="1"/>
  <c r="K544" i="1"/>
  <c r="Q543" i="1"/>
  <c r="P543" i="1"/>
  <c r="O543" i="1"/>
  <c r="N543" i="1"/>
  <c r="M543" i="1"/>
  <c r="L543" i="1"/>
  <c r="K543" i="1"/>
  <c r="Q542" i="1"/>
  <c r="P542" i="1"/>
  <c r="O542" i="1"/>
  <c r="N542" i="1"/>
  <c r="M542" i="1"/>
  <c r="L542" i="1"/>
  <c r="K542" i="1"/>
  <c r="Q541" i="1"/>
  <c r="P541" i="1"/>
  <c r="O541" i="1"/>
  <c r="N541" i="1"/>
  <c r="M541" i="1"/>
  <c r="L541" i="1"/>
  <c r="K541" i="1"/>
  <c r="Q540" i="1"/>
  <c r="P540" i="1"/>
  <c r="O540" i="1"/>
  <c r="N540" i="1"/>
  <c r="M540" i="1"/>
  <c r="L540" i="1"/>
  <c r="K540" i="1"/>
  <c r="Q539" i="1"/>
  <c r="P539" i="1"/>
  <c r="O539" i="1"/>
  <c r="N539" i="1"/>
  <c r="M539" i="1"/>
  <c r="L539" i="1"/>
  <c r="K539" i="1"/>
  <c r="Q538" i="1"/>
  <c r="P538" i="1"/>
  <c r="O538" i="1"/>
  <c r="N538" i="1"/>
  <c r="M538" i="1"/>
  <c r="L538" i="1"/>
  <c r="K538" i="1"/>
  <c r="Q537" i="1"/>
  <c r="P537" i="1"/>
  <c r="O537" i="1"/>
  <c r="N537" i="1"/>
  <c r="M537" i="1"/>
  <c r="L537" i="1"/>
  <c r="K537" i="1"/>
  <c r="Q536" i="1"/>
  <c r="P536" i="1"/>
  <c r="O536" i="1"/>
  <c r="N536" i="1"/>
  <c r="M536" i="1"/>
  <c r="L536" i="1"/>
  <c r="K536" i="1"/>
  <c r="Q535" i="1"/>
  <c r="P535" i="1"/>
  <c r="O535" i="1"/>
  <c r="N535" i="1"/>
  <c r="M535" i="1"/>
  <c r="L535" i="1"/>
  <c r="K535" i="1"/>
  <c r="Q534" i="1"/>
  <c r="P534" i="1"/>
  <c r="O534" i="1"/>
  <c r="N534" i="1"/>
  <c r="M534" i="1"/>
  <c r="L534" i="1"/>
  <c r="K534" i="1"/>
  <c r="Q533" i="1"/>
  <c r="P533" i="1"/>
  <c r="O533" i="1"/>
  <c r="N533" i="1"/>
  <c r="M533" i="1"/>
  <c r="L533" i="1"/>
  <c r="K533" i="1"/>
  <c r="Q532" i="1"/>
  <c r="P532" i="1"/>
  <c r="O532" i="1"/>
  <c r="N532" i="1"/>
  <c r="M532" i="1"/>
  <c r="L532" i="1"/>
  <c r="K532" i="1"/>
  <c r="Q531" i="1"/>
  <c r="P531" i="1"/>
  <c r="O531" i="1"/>
  <c r="N531" i="1"/>
  <c r="M531" i="1"/>
  <c r="L531" i="1"/>
  <c r="K531" i="1"/>
  <c r="Q530" i="1"/>
  <c r="P530" i="1"/>
  <c r="O530" i="1"/>
  <c r="N530" i="1"/>
  <c r="M530" i="1"/>
  <c r="L530" i="1"/>
  <c r="K530" i="1"/>
  <c r="Q529" i="1"/>
  <c r="P529" i="1"/>
  <c r="O529" i="1"/>
  <c r="N529" i="1"/>
  <c r="M529" i="1"/>
  <c r="L529" i="1"/>
  <c r="K529" i="1"/>
  <c r="Q528" i="1"/>
  <c r="P528" i="1"/>
  <c r="O528" i="1"/>
  <c r="N528" i="1"/>
  <c r="M528" i="1"/>
  <c r="L528" i="1"/>
  <c r="K528" i="1"/>
  <c r="Q527" i="1"/>
  <c r="P527" i="1"/>
  <c r="O527" i="1"/>
  <c r="N527" i="1"/>
  <c r="M527" i="1"/>
  <c r="L527" i="1"/>
  <c r="K527" i="1"/>
  <c r="Q526" i="1"/>
  <c r="P526" i="1"/>
  <c r="O526" i="1"/>
  <c r="N526" i="1"/>
  <c r="M526" i="1"/>
  <c r="L526" i="1"/>
  <c r="K526" i="1"/>
  <c r="Q525" i="1"/>
  <c r="P525" i="1"/>
  <c r="O525" i="1"/>
  <c r="N525" i="1"/>
  <c r="M525" i="1"/>
  <c r="L525" i="1"/>
  <c r="K525" i="1"/>
  <c r="Q524" i="1"/>
  <c r="P524" i="1"/>
  <c r="O524" i="1"/>
  <c r="N524" i="1"/>
  <c r="M524" i="1"/>
  <c r="L524" i="1"/>
  <c r="K524" i="1"/>
  <c r="Q523" i="1"/>
  <c r="P523" i="1"/>
  <c r="O523" i="1"/>
  <c r="N523" i="1"/>
  <c r="M523" i="1"/>
  <c r="L523" i="1"/>
  <c r="K523" i="1"/>
  <c r="Q522" i="1"/>
  <c r="P522" i="1"/>
  <c r="O522" i="1"/>
  <c r="N522" i="1"/>
  <c r="M522" i="1"/>
  <c r="L522" i="1"/>
  <c r="K522" i="1"/>
  <c r="Q521" i="1"/>
  <c r="P521" i="1"/>
  <c r="O521" i="1"/>
  <c r="N521" i="1"/>
  <c r="M521" i="1"/>
  <c r="L521" i="1"/>
  <c r="K521" i="1"/>
  <c r="Q520" i="1"/>
  <c r="P520" i="1"/>
  <c r="O520" i="1"/>
  <c r="N520" i="1"/>
  <c r="M520" i="1"/>
  <c r="L520" i="1"/>
  <c r="K520" i="1"/>
  <c r="Q519" i="1"/>
  <c r="P519" i="1"/>
  <c r="O519" i="1"/>
  <c r="N519" i="1"/>
  <c r="M519" i="1"/>
  <c r="L519" i="1"/>
  <c r="K519" i="1"/>
  <c r="Q518" i="1"/>
  <c r="P518" i="1"/>
  <c r="O518" i="1"/>
  <c r="N518" i="1"/>
  <c r="M518" i="1"/>
  <c r="L518" i="1"/>
  <c r="K518" i="1"/>
  <c r="Q517" i="1"/>
  <c r="P517" i="1"/>
  <c r="O517" i="1"/>
  <c r="N517" i="1"/>
  <c r="M517" i="1"/>
  <c r="L517" i="1"/>
  <c r="K517" i="1"/>
  <c r="Q516" i="1"/>
  <c r="P516" i="1"/>
  <c r="O516" i="1"/>
  <c r="N516" i="1"/>
  <c r="M516" i="1"/>
  <c r="L516" i="1"/>
  <c r="K516" i="1"/>
  <c r="Q515" i="1"/>
  <c r="P515" i="1"/>
  <c r="O515" i="1"/>
  <c r="N515" i="1"/>
  <c r="M515" i="1"/>
  <c r="L515" i="1"/>
  <c r="K515" i="1"/>
  <c r="Q514" i="1"/>
  <c r="P514" i="1"/>
  <c r="O514" i="1"/>
  <c r="N514" i="1"/>
  <c r="M514" i="1"/>
  <c r="L514" i="1"/>
  <c r="K514" i="1"/>
  <c r="Q513" i="1"/>
  <c r="P513" i="1"/>
  <c r="O513" i="1"/>
  <c r="N513" i="1"/>
  <c r="M513" i="1"/>
  <c r="L513" i="1"/>
  <c r="K513" i="1"/>
  <c r="Q512" i="1"/>
  <c r="P512" i="1"/>
  <c r="O512" i="1"/>
  <c r="N512" i="1"/>
  <c r="M512" i="1"/>
  <c r="L512" i="1"/>
  <c r="K512" i="1"/>
  <c r="Q511" i="1"/>
  <c r="P511" i="1"/>
  <c r="O511" i="1"/>
  <c r="N511" i="1"/>
  <c r="M511" i="1"/>
  <c r="L511" i="1"/>
  <c r="K511" i="1"/>
  <c r="Q510" i="1"/>
  <c r="P510" i="1"/>
  <c r="O510" i="1"/>
  <c r="N510" i="1"/>
  <c r="M510" i="1"/>
  <c r="L510" i="1"/>
  <c r="K510" i="1"/>
  <c r="Q509" i="1"/>
  <c r="P509" i="1"/>
  <c r="O509" i="1"/>
  <c r="N509" i="1"/>
  <c r="M509" i="1"/>
  <c r="L509" i="1"/>
  <c r="K509" i="1"/>
  <c r="Q508" i="1"/>
  <c r="P508" i="1"/>
  <c r="O508" i="1"/>
  <c r="N508" i="1"/>
  <c r="M508" i="1"/>
  <c r="L508" i="1"/>
  <c r="K508" i="1"/>
  <c r="Q507" i="1"/>
  <c r="P507" i="1"/>
  <c r="O507" i="1"/>
  <c r="N507" i="1"/>
  <c r="M507" i="1"/>
  <c r="L507" i="1"/>
  <c r="K507" i="1"/>
  <c r="Q506" i="1"/>
  <c r="P506" i="1"/>
  <c r="O506" i="1"/>
  <c r="N506" i="1"/>
  <c r="M506" i="1"/>
  <c r="L506" i="1"/>
  <c r="K506" i="1"/>
  <c r="Q505" i="1"/>
  <c r="P505" i="1"/>
  <c r="O505" i="1"/>
  <c r="N505" i="1"/>
  <c r="M505" i="1"/>
  <c r="L505" i="1"/>
  <c r="K505" i="1"/>
  <c r="Q504" i="1"/>
  <c r="P504" i="1"/>
  <c r="O504" i="1"/>
  <c r="N504" i="1"/>
  <c r="M504" i="1"/>
  <c r="L504" i="1"/>
  <c r="K504" i="1"/>
  <c r="Q503" i="1"/>
  <c r="P503" i="1"/>
  <c r="O503" i="1"/>
  <c r="N503" i="1"/>
  <c r="M503" i="1"/>
  <c r="L503" i="1"/>
  <c r="K503" i="1"/>
  <c r="Q502" i="1"/>
  <c r="P502" i="1"/>
  <c r="O502" i="1"/>
  <c r="N502" i="1"/>
  <c r="M502" i="1"/>
  <c r="L502" i="1"/>
  <c r="K502" i="1"/>
  <c r="Q501" i="1"/>
  <c r="P501" i="1"/>
  <c r="O501" i="1"/>
  <c r="N501" i="1"/>
  <c r="M501" i="1"/>
  <c r="L501" i="1"/>
  <c r="K501" i="1"/>
  <c r="Q500" i="1"/>
  <c r="P500" i="1"/>
  <c r="O500" i="1"/>
  <c r="N500" i="1"/>
  <c r="M500" i="1"/>
  <c r="L500" i="1"/>
  <c r="K500" i="1"/>
  <c r="Q499" i="1"/>
  <c r="P499" i="1"/>
  <c r="O499" i="1"/>
  <c r="N499" i="1"/>
  <c r="M499" i="1"/>
  <c r="L499" i="1"/>
  <c r="K499" i="1"/>
  <c r="Q498" i="1"/>
  <c r="P498" i="1"/>
  <c r="O498" i="1"/>
  <c r="N498" i="1"/>
  <c r="M498" i="1"/>
  <c r="L498" i="1"/>
  <c r="K498" i="1"/>
  <c r="Q497" i="1"/>
  <c r="P497" i="1"/>
  <c r="O497" i="1"/>
  <c r="N497" i="1"/>
  <c r="M497" i="1"/>
  <c r="L497" i="1"/>
  <c r="K497" i="1"/>
  <c r="Q496" i="1"/>
  <c r="P496" i="1"/>
  <c r="O496" i="1"/>
  <c r="N496" i="1"/>
  <c r="M496" i="1"/>
  <c r="L496" i="1"/>
  <c r="K496" i="1"/>
  <c r="Q495" i="1"/>
  <c r="P495" i="1"/>
  <c r="O495" i="1"/>
  <c r="N495" i="1"/>
  <c r="M495" i="1"/>
  <c r="L495" i="1"/>
  <c r="K495" i="1"/>
  <c r="Q494" i="1"/>
  <c r="P494" i="1"/>
  <c r="O494" i="1"/>
  <c r="N494" i="1"/>
  <c r="M494" i="1"/>
  <c r="L494" i="1"/>
  <c r="K494" i="1"/>
  <c r="Q493" i="1"/>
  <c r="P493" i="1"/>
  <c r="O493" i="1"/>
  <c r="N493" i="1"/>
  <c r="M493" i="1"/>
  <c r="L493" i="1"/>
  <c r="K493" i="1"/>
  <c r="Q492" i="1"/>
  <c r="P492" i="1"/>
  <c r="O492" i="1"/>
  <c r="N492" i="1"/>
  <c r="M492" i="1"/>
  <c r="L492" i="1"/>
  <c r="K492" i="1"/>
  <c r="Q491" i="1"/>
  <c r="P491" i="1"/>
  <c r="O491" i="1"/>
  <c r="N491" i="1"/>
  <c r="M491" i="1"/>
  <c r="L491" i="1"/>
  <c r="K491" i="1"/>
  <c r="Q490" i="1"/>
  <c r="P490" i="1"/>
  <c r="O490" i="1"/>
  <c r="N490" i="1"/>
  <c r="M490" i="1"/>
  <c r="L490" i="1"/>
  <c r="K490" i="1"/>
  <c r="Q489" i="1"/>
  <c r="P489" i="1"/>
  <c r="O489" i="1"/>
  <c r="N489" i="1"/>
  <c r="M489" i="1"/>
  <c r="L489" i="1"/>
  <c r="K489" i="1"/>
  <c r="Q488" i="1"/>
  <c r="P488" i="1"/>
  <c r="O488" i="1"/>
  <c r="N488" i="1"/>
  <c r="M488" i="1"/>
  <c r="L488" i="1"/>
  <c r="K488" i="1"/>
  <c r="Q487" i="1"/>
  <c r="P487" i="1"/>
  <c r="O487" i="1"/>
  <c r="N487" i="1"/>
  <c r="M487" i="1"/>
  <c r="L487" i="1"/>
  <c r="K487" i="1"/>
  <c r="Q486" i="1"/>
  <c r="P486" i="1"/>
  <c r="O486" i="1"/>
  <c r="N486" i="1"/>
  <c r="M486" i="1"/>
  <c r="L486" i="1"/>
  <c r="K486" i="1"/>
  <c r="Q485" i="1"/>
  <c r="P485" i="1"/>
  <c r="O485" i="1"/>
  <c r="N485" i="1"/>
  <c r="M485" i="1"/>
  <c r="L485" i="1"/>
  <c r="K485" i="1"/>
  <c r="Q484" i="1"/>
  <c r="P484" i="1"/>
  <c r="O484" i="1"/>
  <c r="N484" i="1"/>
  <c r="M484" i="1"/>
  <c r="L484" i="1"/>
  <c r="K484" i="1"/>
  <c r="Q483" i="1"/>
  <c r="P483" i="1"/>
  <c r="O483" i="1"/>
  <c r="N483" i="1"/>
  <c r="M483" i="1"/>
  <c r="L483" i="1"/>
  <c r="K483" i="1"/>
  <c r="Q482" i="1"/>
  <c r="P482" i="1"/>
  <c r="O482" i="1"/>
  <c r="N482" i="1"/>
  <c r="M482" i="1"/>
  <c r="L482" i="1"/>
  <c r="K482" i="1"/>
  <c r="Q481" i="1"/>
  <c r="P481" i="1"/>
  <c r="O481" i="1"/>
  <c r="N481" i="1"/>
  <c r="M481" i="1"/>
  <c r="L481" i="1"/>
  <c r="K481" i="1"/>
  <c r="Q480" i="1"/>
  <c r="P480" i="1"/>
  <c r="O480" i="1"/>
  <c r="N480" i="1"/>
  <c r="M480" i="1"/>
  <c r="L480" i="1"/>
  <c r="K480" i="1"/>
  <c r="Q479" i="1"/>
  <c r="P479" i="1"/>
  <c r="O479" i="1"/>
  <c r="N479" i="1"/>
  <c r="M479" i="1"/>
  <c r="L479" i="1"/>
  <c r="K479" i="1"/>
  <c r="Q478" i="1"/>
  <c r="P478" i="1"/>
  <c r="O478" i="1"/>
  <c r="N478" i="1"/>
  <c r="M478" i="1"/>
  <c r="L478" i="1"/>
  <c r="K478" i="1"/>
  <c r="Q477" i="1"/>
  <c r="P477" i="1"/>
  <c r="O477" i="1"/>
  <c r="N477" i="1"/>
  <c r="M477" i="1"/>
  <c r="L477" i="1"/>
  <c r="K477" i="1"/>
  <c r="Q476" i="1"/>
  <c r="P476" i="1"/>
  <c r="O476" i="1"/>
  <c r="N476" i="1"/>
  <c r="M476" i="1"/>
  <c r="L476" i="1"/>
  <c r="K476" i="1"/>
  <c r="Q475" i="1"/>
  <c r="P475" i="1"/>
  <c r="O475" i="1"/>
  <c r="N475" i="1"/>
  <c r="M475" i="1"/>
  <c r="L475" i="1"/>
  <c r="K475" i="1"/>
  <c r="Q474" i="1"/>
  <c r="P474" i="1"/>
  <c r="O474" i="1"/>
  <c r="N474" i="1"/>
  <c r="M474" i="1"/>
  <c r="L474" i="1"/>
  <c r="K474" i="1"/>
  <c r="Q473" i="1"/>
  <c r="P473" i="1"/>
  <c r="O473" i="1"/>
  <c r="N473" i="1"/>
  <c r="M473" i="1"/>
  <c r="L473" i="1"/>
  <c r="K473" i="1"/>
  <c r="Q472" i="1"/>
  <c r="P472" i="1"/>
  <c r="O472" i="1"/>
  <c r="N472" i="1"/>
  <c r="M472" i="1"/>
  <c r="L472" i="1"/>
  <c r="K472" i="1"/>
  <c r="Q471" i="1"/>
  <c r="P471" i="1"/>
  <c r="O471" i="1"/>
  <c r="N471" i="1"/>
  <c r="M471" i="1"/>
  <c r="L471" i="1"/>
  <c r="K471" i="1"/>
  <c r="Q470" i="1"/>
  <c r="P470" i="1"/>
  <c r="O470" i="1"/>
  <c r="N470" i="1"/>
  <c r="M470" i="1"/>
  <c r="L470" i="1"/>
  <c r="K470" i="1"/>
  <c r="Q469" i="1"/>
  <c r="P469" i="1"/>
  <c r="O469" i="1"/>
  <c r="N469" i="1"/>
  <c r="M469" i="1"/>
  <c r="L469" i="1"/>
  <c r="K469" i="1"/>
  <c r="Q468" i="1"/>
  <c r="P468" i="1"/>
  <c r="O468" i="1"/>
  <c r="N468" i="1"/>
  <c r="M468" i="1"/>
  <c r="L468" i="1"/>
  <c r="K468" i="1"/>
  <c r="Q467" i="1"/>
  <c r="P467" i="1"/>
  <c r="O467" i="1"/>
  <c r="N467" i="1"/>
  <c r="M467" i="1"/>
  <c r="L467" i="1"/>
  <c r="K467" i="1"/>
  <c r="Q466" i="1"/>
  <c r="P466" i="1"/>
  <c r="O466" i="1"/>
  <c r="N466" i="1"/>
  <c r="M466" i="1"/>
  <c r="L466" i="1"/>
  <c r="K466" i="1"/>
  <c r="Q465" i="1"/>
  <c r="P465" i="1"/>
  <c r="O465" i="1"/>
  <c r="N465" i="1"/>
  <c r="M465" i="1"/>
  <c r="L465" i="1"/>
  <c r="K465" i="1"/>
  <c r="Q464" i="1"/>
  <c r="P464" i="1"/>
  <c r="O464" i="1"/>
  <c r="N464" i="1"/>
  <c r="M464" i="1"/>
  <c r="L464" i="1"/>
  <c r="K464" i="1"/>
  <c r="Q463" i="1"/>
  <c r="P463" i="1"/>
  <c r="O463" i="1"/>
  <c r="N463" i="1"/>
  <c r="M463" i="1"/>
  <c r="L463" i="1"/>
  <c r="K463" i="1"/>
  <c r="Q462" i="1"/>
  <c r="P462" i="1"/>
  <c r="O462" i="1"/>
  <c r="N462" i="1"/>
  <c r="M462" i="1"/>
  <c r="L462" i="1"/>
  <c r="K462" i="1"/>
  <c r="Q461" i="1"/>
  <c r="P461" i="1"/>
  <c r="O461" i="1"/>
  <c r="N461" i="1"/>
  <c r="M461" i="1"/>
  <c r="L461" i="1"/>
  <c r="K461" i="1"/>
  <c r="Q460" i="1"/>
  <c r="P460" i="1"/>
  <c r="O460" i="1"/>
  <c r="N460" i="1"/>
  <c r="M460" i="1"/>
  <c r="L460" i="1"/>
  <c r="K460" i="1"/>
  <c r="Q459" i="1"/>
  <c r="P459" i="1"/>
  <c r="O459" i="1"/>
  <c r="N459" i="1"/>
  <c r="M459" i="1"/>
  <c r="L459" i="1"/>
  <c r="K459" i="1"/>
  <c r="Q458" i="1"/>
  <c r="P458" i="1"/>
  <c r="O458" i="1"/>
  <c r="N458" i="1"/>
  <c r="M458" i="1"/>
  <c r="L458" i="1"/>
  <c r="K458" i="1"/>
  <c r="Q457" i="1"/>
  <c r="P457" i="1"/>
  <c r="O457" i="1"/>
  <c r="N457" i="1"/>
  <c r="M457" i="1"/>
  <c r="L457" i="1"/>
  <c r="K457" i="1"/>
  <c r="Q456" i="1"/>
  <c r="P456" i="1"/>
  <c r="O456" i="1"/>
  <c r="N456" i="1"/>
  <c r="M456" i="1"/>
  <c r="L456" i="1"/>
  <c r="K456" i="1"/>
  <c r="Q455" i="1"/>
  <c r="P455" i="1"/>
  <c r="O455" i="1"/>
  <c r="N455" i="1"/>
  <c r="M455" i="1"/>
  <c r="L455" i="1"/>
  <c r="K455" i="1"/>
  <c r="Q454" i="1"/>
  <c r="P454" i="1"/>
  <c r="O454" i="1"/>
  <c r="N454" i="1"/>
  <c r="M454" i="1"/>
  <c r="L454" i="1"/>
  <c r="K454" i="1"/>
  <c r="Q453" i="1"/>
  <c r="P453" i="1"/>
  <c r="O453" i="1"/>
  <c r="N453" i="1"/>
  <c r="M453" i="1"/>
  <c r="L453" i="1"/>
  <c r="K453" i="1"/>
  <c r="Q452" i="1"/>
  <c r="P452" i="1"/>
  <c r="O452" i="1"/>
  <c r="N452" i="1"/>
  <c r="M452" i="1"/>
  <c r="L452" i="1"/>
  <c r="K452" i="1"/>
  <c r="Q451" i="1"/>
  <c r="P451" i="1"/>
  <c r="O451" i="1"/>
  <c r="N451" i="1"/>
  <c r="M451" i="1"/>
  <c r="L451" i="1"/>
  <c r="K451" i="1"/>
  <c r="Q450" i="1"/>
  <c r="P450" i="1"/>
  <c r="O450" i="1"/>
  <c r="N450" i="1"/>
  <c r="M450" i="1"/>
  <c r="L450" i="1"/>
  <c r="K450" i="1"/>
  <c r="Q449" i="1"/>
  <c r="P449" i="1"/>
  <c r="O449" i="1"/>
  <c r="N449" i="1"/>
  <c r="M449" i="1"/>
  <c r="L449" i="1"/>
  <c r="K449" i="1"/>
  <c r="Q448" i="1"/>
  <c r="P448" i="1"/>
  <c r="O448" i="1"/>
  <c r="N448" i="1"/>
  <c r="M448" i="1"/>
  <c r="L448" i="1"/>
  <c r="K448" i="1"/>
  <c r="Q447" i="1"/>
  <c r="P447" i="1"/>
  <c r="O447" i="1"/>
  <c r="N447" i="1"/>
  <c r="M447" i="1"/>
  <c r="L447" i="1"/>
  <c r="K447" i="1"/>
  <c r="Q446" i="1"/>
  <c r="P446" i="1"/>
  <c r="O446" i="1"/>
  <c r="N446" i="1"/>
  <c r="M446" i="1"/>
  <c r="L446" i="1"/>
  <c r="K446" i="1"/>
  <c r="Q445" i="1"/>
  <c r="P445" i="1"/>
  <c r="O445" i="1"/>
  <c r="N445" i="1"/>
  <c r="M445" i="1"/>
  <c r="L445" i="1"/>
  <c r="K445" i="1"/>
  <c r="Q444" i="1"/>
  <c r="P444" i="1"/>
  <c r="O444" i="1"/>
  <c r="N444" i="1"/>
  <c r="M444" i="1"/>
  <c r="L444" i="1"/>
  <c r="K444" i="1"/>
  <c r="Q443" i="1"/>
  <c r="P443" i="1"/>
  <c r="O443" i="1"/>
  <c r="N443" i="1"/>
  <c r="M443" i="1"/>
  <c r="L443" i="1"/>
  <c r="K443" i="1"/>
  <c r="Q442" i="1"/>
  <c r="P442" i="1"/>
  <c r="O442" i="1"/>
  <c r="N442" i="1"/>
  <c r="M442" i="1"/>
  <c r="L442" i="1"/>
  <c r="K442" i="1"/>
  <c r="Q441" i="1"/>
  <c r="P441" i="1"/>
  <c r="O441" i="1"/>
  <c r="N441" i="1"/>
  <c r="M441" i="1"/>
  <c r="L441" i="1"/>
  <c r="K441" i="1"/>
  <c r="Q440" i="1"/>
  <c r="P440" i="1"/>
  <c r="O440" i="1"/>
  <c r="N440" i="1"/>
  <c r="M440" i="1"/>
  <c r="L440" i="1"/>
  <c r="K440" i="1"/>
  <c r="Q439" i="1"/>
  <c r="P439" i="1"/>
  <c r="O439" i="1"/>
  <c r="N439" i="1"/>
  <c r="M439" i="1"/>
  <c r="L439" i="1"/>
  <c r="K439" i="1"/>
  <c r="Q438" i="1"/>
  <c r="P438" i="1"/>
  <c r="O438" i="1"/>
  <c r="N438" i="1"/>
  <c r="M438" i="1"/>
  <c r="L438" i="1"/>
  <c r="K438" i="1"/>
  <c r="Q437" i="1"/>
  <c r="P437" i="1"/>
  <c r="O437" i="1"/>
  <c r="N437" i="1"/>
  <c r="M437" i="1"/>
  <c r="L437" i="1"/>
  <c r="K437" i="1"/>
  <c r="Q436" i="1"/>
  <c r="P436" i="1"/>
  <c r="O436" i="1"/>
  <c r="N436" i="1"/>
  <c r="M436" i="1"/>
  <c r="L436" i="1"/>
  <c r="K436" i="1"/>
  <c r="Q435" i="1"/>
  <c r="P435" i="1"/>
  <c r="O435" i="1"/>
  <c r="N435" i="1"/>
  <c r="M435" i="1"/>
  <c r="L435" i="1"/>
  <c r="K435" i="1"/>
  <c r="Q434" i="1"/>
  <c r="P434" i="1"/>
  <c r="O434" i="1"/>
  <c r="N434" i="1"/>
  <c r="M434" i="1"/>
  <c r="L434" i="1"/>
  <c r="K434" i="1"/>
  <c r="Q433" i="1"/>
  <c r="P433" i="1"/>
  <c r="O433" i="1"/>
  <c r="N433" i="1"/>
  <c r="M433" i="1"/>
  <c r="L433" i="1"/>
  <c r="K433" i="1"/>
  <c r="Q432" i="1"/>
  <c r="P432" i="1"/>
  <c r="O432" i="1"/>
  <c r="N432" i="1"/>
  <c r="M432" i="1"/>
  <c r="L432" i="1"/>
  <c r="K432" i="1"/>
  <c r="Q431" i="1"/>
  <c r="P431" i="1"/>
  <c r="O431" i="1"/>
  <c r="N431" i="1"/>
  <c r="M431" i="1"/>
  <c r="L431" i="1"/>
  <c r="K431" i="1"/>
  <c r="Q430" i="1"/>
  <c r="P430" i="1"/>
  <c r="O430" i="1"/>
  <c r="N430" i="1"/>
  <c r="M430" i="1"/>
  <c r="L430" i="1"/>
  <c r="K430" i="1"/>
  <c r="Q429" i="1"/>
  <c r="P429" i="1"/>
  <c r="O429" i="1"/>
  <c r="N429" i="1"/>
  <c r="M429" i="1"/>
  <c r="L429" i="1"/>
  <c r="K429" i="1"/>
  <c r="Q428" i="1"/>
  <c r="P428" i="1"/>
  <c r="O428" i="1"/>
  <c r="N428" i="1"/>
  <c r="M428" i="1"/>
  <c r="L428" i="1"/>
  <c r="K428" i="1"/>
  <c r="Q427" i="1"/>
  <c r="P427" i="1"/>
  <c r="O427" i="1"/>
  <c r="N427" i="1"/>
  <c r="M427" i="1"/>
  <c r="L427" i="1"/>
  <c r="K427" i="1"/>
  <c r="Q426" i="1"/>
  <c r="P426" i="1"/>
  <c r="O426" i="1"/>
  <c r="N426" i="1"/>
  <c r="M426" i="1"/>
  <c r="L426" i="1"/>
  <c r="K426" i="1"/>
  <c r="Q425" i="1"/>
  <c r="P425" i="1"/>
  <c r="O425" i="1"/>
  <c r="N425" i="1"/>
  <c r="M425" i="1"/>
  <c r="L425" i="1"/>
  <c r="K425" i="1"/>
  <c r="Q424" i="1"/>
  <c r="P424" i="1"/>
  <c r="O424" i="1"/>
  <c r="N424" i="1"/>
  <c r="M424" i="1"/>
  <c r="L424" i="1"/>
  <c r="K424" i="1"/>
  <c r="Q423" i="1"/>
  <c r="P423" i="1"/>
  <c r="O423" i="1"/>
  <c r="N423" i="1"/>
  <c r="M423" i="1"/>
  <c r="L423" i="1"/>
  <c r="K423" i="1"/>
  <c r="Q422" i="1"/>
  <c r="P422" i="1"/>
  <c r="O422" i="1"/>
  <c r="N422" i="1"/>
  <c r="M422" i="1"/>
  <c r="L422" i="1"/>
  <c r="K422" i="1"/>
  <c r="Q421" i="1"/>
  <c r="P421" i="1"/>
  <c r="O421" i="1"/>
  <c r="N421" i="1"/>
  <c r="M421" i="1"/>
  <c r="L421" i="1"/>
  <c r="K421" i="1"/>
  <c r="Q420" i="1"/>
  <c r="P420" i="1"/>
  <c r="O420" i="1"/>
  <c r="N420" i="1"/>
  <c r="M420" i="1"/>
  <c r="L420" i="1"/>
  <c r="K420" i="1"/>
  <c r="Q419" i="1"/>
  <c r="P419" i="1"/>
  <c r="O419" i="1"/>
  <c r="N419" i="1"/>
  <c r="M419" i="1"/>
  <c r="L419" i="1"/>
  <c r="K419" i="1"/>
  <c r="Q418" i="1"/>
  <c r="P418" i="1"/>
  <c r="O418" i="1"/>
  <c r="N418" i="1"/>
  <c r="M418" i="1"/>
  <c r="L418" i="1"/>
  <c r="K418" i="1"/>
  <c r="Q417" i="1"/>
  <c r="P417" i="1"/>
  <c r="O417" i="1"/>
  <c r="N417" i="1"/>
  <c r="M417" i="1"/>
  <c r="L417" i="1"/>
  <c r="K417" i="1"/>
  <c r="Q416" i="1"/>
  <c r="P416" i="1"/>
  <c r="O416" i="1"/>
  <c r="N416" i="1"/>
  <c r="M416" i="1"/>
  <c r="L416" i="1"/>
  <c r="K416" i="1"/>
  <c r="Q415" i="1"/>
  <c r="P415" i="1"/>
  <c r="O415" i="1"/>
  <c r="N415" i="1"/>
  <c r="M415" i="1"/>
  <c r="L415" i="1"/>
  <c r="K415" i="1"/>
  <c r="Q414" i="1"/>
  <c r="P414" i="1"/>
  <c r="O414" i="1"/>
  <c r="N414" i="1"/>
  <c r="M414" i="1"/>
  <c r="L414" i="1"/>
  <c r="K414" i="1"/>
  <c r="Q413" i="1"/>
  <c r="P413" i="1"/>
  <c r="O413" i="1"/>
  <c r="N413" i="1"/>
  <c r="M413" i="1"/>
  <c r="L413" i="1"/>
  <c r="K413" i="1"/>
  <c r="Q412" i="1"/>
  <c r="P412" i="1"/>
  <c r="O412" i="1"/>
  <c r="N412" i="1"/>
  <c r="M412" i="1"/>
  <c r="L412" i="1"/>
  <c r="K412" i="1"/>
  <c r="Q411" i="1"/>
  <c r="P411" i="1"/>
  <c r="O411" i="1"/>
  <c r="N411" i="1"/>
  <c r="M411" i="1"/>
  <c r="L411" i="1"/>
  <c r="K411" i="1"/>
  <c r="Q410" i="1"/>
  <c r="P410" i="1"/>
  <c r="O410" i="1"/>
  <c r="N410" i="1"/>
  <c r="M410" i="1"/>
  <c r="L410" i="1"/>
  <c r="K410" i="1"/>
  <c r="Q409" i="1"/>
  <c r="P409" i="1"/>
  <c r="O409" i="1"/>
  <c r="N409" i="1"/>
  <c r="M409" i="1"/>
  <c r="L409" i="1"/>
  <c r="K409" i="1"/>
  <c r="Q408" i="1"/>
  <c r="P408" i="1"/>
  <c r="O408" i="1"/>
  <c r="N408" i="1"/>
  <c r="M408" i="1"/>
  <c r="L408" i="1"/>
  <c r="K408" i="1"/>
  <c r="Q407" i="1"/>
  <c r="P407" i="1"/>
  <c r="O407" i="1"/>
  <c r="N407" i="1"/>
  <c r="M407" i="1"/>
  <c r="L407" i="1"/>
  <c r="K407" i="1"/>
  <c r="Q406" i="1"/>
  <c r="P406" i="1"/>
  <c r="O406" i="1"/>
  <c r="N406" i="1"/>
  <c r="M406" i="1"/>
  <c r="L406" i="1"/>
  <c r="K406" i="1"/>
  <c r="Q405" i="1"/>
  <c r="P405" i="1"/>
  <c r="O405" i="1"/>
  <c r="N405" i="1"/>
  <c r="M405" i="1"/>
  <c r="L405" i="1"/>
  <c r="K405" i="1"/>
  <c r="Q404" i="1"/>
  <c r="P404" i="1"/>
  <c r="O404" i="1"/>
  <c r="N404" i="1"/>
  <c r="M404" i="1"/>
  <c r="L404" i="1"/>
  <c r="K404" i="1"/>
  <c r="Q403" i="1"/>
  <c r="P403" i="1"/>
  <c r="O403" i="1"/>
  <c r="N403" i="1"/>
  <c r="M403" i="1"/>
  <c r="L403" i="1"/>
  <c r="K403" i="1"/>
  <c r="Q402" i="1"/>
  <c r="P402" i="1"/>
  <c r="O402" i="1"/>
  <c r="N402" i="1"/>
  <c r="M402" i="1"/>
  <c r="L402" i="1"/>
  <c r="K402" i="1"/>
  <c r="Q401" i="1"/>
  <c r="P401" i="1"/>
  <c r="O401" i="1"/>
  <c r="N401" i="1"/>
  <c r="M401" i="1"/>
  <c r="L401" i="1"/>
  <c r="K401" i="1"/>
  <c r="Q400" i="1"/>
  <c r="P400" i="1"/>
  <c r="O400" i="1"/>
  <c r="N400" i="1"/>
  <c r="M400" i="1"/>
  <c r="L400" i="1"/>
  <c r="K400" i="1"/>
  <c r="Q399" i="1"/>
  <c r="P399" i="1"/>
  <c r="O399" i="1"/>
  <c r="N399" i="1"/>
  <c r="M399" i="1"/>
  <c r="L399" i="1"/>
  <c r="K399" i="1"/>
  <c r="Q398" i="1"/>
  <c r="P398" i="1"/>
  <c r="O398" i="1"/>
  <c r="N398" i="1"/>
  <c r="M398" i="1"/>
  <c r="L398" i="1"/>
  <c r="K398" i="1"/>
  <c r="Q397" i="1"/>
  <c r="P397" i="1"/>
  <c r="O397" i="1"/>
  <c r="N397" i="1"/>
  <c r="M397" i="1"/>
  <c r="L397" i="1"/>
  <c r="K397" i="1"/>
  <c r="Q396" i="1"/>
  <c r="P396" i="1"/>
  <c r="O396" i="1"/>
  <c r="N396" i="1"/>
  <c r="M396" i="1"/>
  <c r="L396" i="1"/>
  <c r="K396" i="1"/>
  <c r="Q395" i="1"/>
  <c r="P395" i="1"/>
  <c r="O395" i="1"/>
  <c r="N395" i="1"/>
  <c r="M395" i="1"/>
  <c r="L395" i="1"/>
  <c r="K395" i="1"/>
  <c r="Q394" i="1"/>
  <c r="P394" i="1"/>
  <c r="O394" i="1"/>
  <c r="N394" i="1"/>
  <c r="M394" i="1"/>
  <c r="L394" i="1"/>
  <c r="K394" i="1"/>
  <c r="Q393" i="1"/>
  <c r="P393" i="1"/>
  <c r="O393" i="1"/>
  <c r="N393" i="1"/>
  <c r="M393" i="1"/>
  <c r="L393" i="1"/>
  <c r="K393" i="1"/>
  <c r="Q392" i="1"/>
  <c r="P392" i="1"/>
  <c r="O392" i="1"/>
  <c r="N392" i="1"/>
  <c r="M392" i="1"/>
  <c r="L392" i="1"/>
  <c r="K392" i="1"/>
  <c r="Q391" i="1"/>
  <c r="P391" i="1"/>
  <c r="O391" i="1"/>
  <c r="N391" i="1"/>
  <c r="M391" i="1"/>
  <c r="L391" i="1"/>
  <c r="K391" i="1"/>
  <c r="Q390" i="1"/>
  <c r="P390" i="1"/>
  <c r="O390" i="1"/>
  <c r="N390" i="1"/>
  <c r="M390" i="1"/>
  <c r="L390" i="1"/>
  <c r="K390" i="1"/>
  <c r="Q389" i="1"/>
  <c r="P389" i="1"/>
  <c r="O389" i="1"/>
  <c r="N389" i="1"/>
  <c r="M389" i="1"/>
  <c r="L389" i="1"/>
  <c r="K389" i="1"/>
  <c r="Q388" i="1"/>
  <c r="P388" i="1"/>
  <c r="O388" i="1"/>
  <c r="N388" i="1"/>
  <c r="M388" i="1"/>
  <c r="L388" i="1"/>
  <c r="K388" i="1"/>
  <c r="Q387" i="1"/>
  <c r="P387" i="1"/>
  <c r="O387" i="1"/>
  <c r="N387" i="1"/>
  <c r="M387" i="1"/>
  <c r="L387" i="1"/>
  <c r="K387" i="1"/>
  <c r="Q386" i="1"/>
  <c r="P386" i="1"/>
  <c r="O386" i="1"/>
  <c r="N386" i="1"/>
  <c r="M386" i="1"/>
  <c r="L386" i="1"/>
  <c r="K386" i="1"/>
  <c r="Q385" i="1"/>
  <c r="P385" i="1"/>
  <c r="O385" i="1"/>
  <c r="N385" i="1"/>
  <c r="M385" i="1"/>
  <c r="L385" i="1"/>
  <c r="K385" i="1"/>
  <c r="Q384" i="1"/>
  <c r="P384" i="1"/>
  <c r="O384" i="1"/>
  <c r="N384" i="1"/>
  <c r="M384" i="1"/>
  <c r="L384" i="1"/>
  <c r="K384" i="1"/>
  <c r="Q383" i="1"/>
  <c r="P383" i="1"/>
  <c r="O383" i="1"/>
  <c r="N383" i="1"/>
  <c r="M383" i="1"/>
  <c r="L383" i="1"/>
  <c r="K383" i="1"/>
  <c r="Q382" i="1"/>
  <c r="P382" i="1"/>
  <c r="O382" i="1"/>
  <c r="N382" i="1"/>
  <c r="M382" i="1"/>
  <c r="L382" i="1"/>
  <c r="K382" i="1"/>
  <c r="Q381" i="1"/>
  <c r="P381" i="1"/>
  <c r="O381" i="1"/>
  <c r="N381" i="1"/>
  <c r="M381" i="1"/>
  <c r="L381" i="1"/>
  <c r="K381" i="1"/>
  <c r="Q380" i="1"/>
  <c r="P380" i="1"/>
  <c r="O380" i="1"/>
  <c r="N380" i="1"/>
  <c r="M380" i="1"/>
  <c r="L380" i="1"/>
  <c r="K380" i="1"/>
  <c r="Q379" i="1"/>
  <c r="P379" i="1"/>
  <c r="O379" i="1"/>
  <c r="N379" i="1"/>
  <c r="M379" i="1"/>
  <c r="L379" i="1"/>
  <c r="K379" i="1"/>
  <c r="Q378" i="1"/>
  <c r="P378" i="1"/>
  <c r="O378" i="1"/>
  <c r="N378" i="1"/>
  <c r="M378" i="1"/>
  <c r="L378" i="1"/>
  <c r="K378" i="1"/>
  <c r="Q377" i="1"/>
  <c r="P377" i="1"/>
  <c r="O377" i="1"/>
  <c r="N377" i="1"/>
  <c r="M377" i="1"/>
  <c r="L377" i="1"/>
  <c r="K377" i="1"/>
  <c r="Q376" i="1"/>
  <c r="P376" i="1"/>
  <c r="O376" i="1"/>
  <c r="N376" i="1"/>
  <c r="M376" i="1"/>
  <c r="L376" i="1"/>
  <c r="K376" i="1"/>
  <c r="Q375" i="1"/>
  <c r="P375" i="1"/>
  <c r="O375" i="1"/>
  <c r="N375" i="1"/>
  <c r="M375" i="1"/>
  <c r="L375" i="1"/>
  <c r="K375" i="1"/>
  <c r="Q374" i="1"/>
  <c r="P374" i="1"/>
  <c r="O374" i="1"/>
  <c r="N374" i="1"/>
  <c r="M374" i="1"/>
  <c r="L374" i="1"/>
  <c r="K374" i="1"/>
  <c r="Q373" i="1"/>
  <c r="P373" i="1"/>
  <c r="O373" i="1"/>
  <c r="N373" i="1"/>
  <c r="M373" i="1"/>
  <c r="L373" i="1"/>
  <c r="K373" i="1"/>
  <c r="Q372" i="1"/>
  <c r="P372" i="1"/>
  <c r="O372" i="1"/>
  <c r="N372" i="1"/>
  <c r="M372" i="1"/>
  <c r="L372" i="1"/>
  <c r="K372" i="1"/>
  <c r="Q371" i="1"/>
  <c r="P371" i="1"/>
  <c r="O371" i="1"/>
  <c r="N371" i="1"/>
  <c r="M371" i="1"/>
  <c r="L371" i="1"/>
  <c r="K371" i="1"/>
  <c r="Q370" i="1"/>
  <c r="P370" i="1"/>
  <c r="O370" i="1"/>
  <c r="N370" i="1"/>
  <c r="M370" i="1"/>
  <c r="L370" i="1"/>
  <c r="K370" i="1"/>
  <c r="Q369" i="1"/>
  <c r="P369" i="1"/>
  <c r="O369" i="1"/>
  <c r="N369" i="1"/>
  <c r="M369" i="1"/>
  <c r="L369" i="1"/>
  <c r="K369" i="1"/>
  <c r="Q368" i="1"/>
  <c r="P368" i="1"/>
  <c r="O368" i="1"/>
  <c r="N368" i="1"/>
  <c r="M368" i="1"/>
  <c r="L368" i="1"/>
  <c r="K368" i="1"/>
  <c r="Q367" i="1"/>
  <c r="P367" i="1"/>
  <c r="O367" i="1"/>
  <c r="N367" i="1"/>
  <c r="M367" i="1"/>
  <c r="L367" i="1"/>
  <c r="K367" i="1"/>
  <c r="Q366" i="1"/>
  <c r="P366" i="1"/>
  <c r="O366" i="1"/>
  <c r="N366" i="1"/>
  <c r="M366" i="1"/>
  <c r="L366" i="1"/>
  <c r="K366" i="1"/>
  <c r="Q365" i="1"/>
  <c r="P365" i="1"/>
  <c r="O365" i="1"/>
  <c r="N365" i="1"/>
  <c r="M365" i="1"/>
  <c r="L365" i="1"/>
  <c r="K365" i="1"/>
  <c r="Q364" i="1"/>
  <c r="P364" i="1"/>
  <c r="O364" i="1"/>
  <c r="N364" i="1"/>
  <c r="M364" i="1"/>
  <c r="L364" i="1"/>
  <c r="K364" i="1"/>
  <c r="Q363" i="1"/>
  <c r="P363" i="1"/>
  <c r="O363" i="1"/>
  <c r="N363" i="1"/>
  <c r="M363" i="1"/>
  <c r="L363" i="1"/>
  <c r="K363" i="1"/>
  <c r="Q362" i="1"/>
  <c r="P362" i="1"/>
  <c r="O362" i="1"/>
  <c r="N362" i="1"/>
  <c r="M362" i="1"/>
  <c r="L362" i="1"/>
  <c r="K362" i="1"/>
  <c r="Q361" i="1"/>
  <c r="P361" i="1"/>
  <c r="O361" i="1"/>
  <c r="N361" i="1"/>
  <c r="M361" i="1"/>
  <c r="L361" i="1"/>
  <c r="K361" i="1"/>
  <c r="Q360" i="1"/>
  <c r="P360" i="1"/>
  <c r="O360" i="1"/>
  <c r="N360" i="1"/>
  <c r="M360" i="1"/>
  <c r="L360" i="1"/>
  <c r="K360" i="1"/>
  <c r="Q359" i="1"/>
  <c r="P359" i="1"/>
  <c r="O359" i="1"/>
  <c r="N359" i="1"/>
  <c r="M359" i="1"/>
  <c r="L359" i="1"/>
  <c r="K359" i="1"/>
  <c r="Q358" i="1"/>
  <c r="P358" i="1"/>
  <c r="O358" i="1"/>
  <c r="N358" i="1"/>
  <c r="M358" i="1"/>
  <c r="L358" i="1"/>
  <c r="K358" i="1"/>
  <c r="Q357" i="1"/>
  <c r="P357" i="1"/>
  <c r="O357" i="1"/>
  <c r="N357" i="1"/>
  <c r="M357" i="1"/>
  <c r="L357" i="1"/>
  <c r="K357" i="1"/>
  <c r="Q356" i="1"/>
  <c r="P356" i="1"/>
  <c r="O356" i="1"/>
  <c r="N356" i="1"/>
  <c r="M356" i="1"/>
  <c r="L356" i="1"/>
  <c r="K356" i="1"/>
  <c r="Q355" i="1"/>
  <c r="P355" i="1"/>
  <c r="O355" i="1"/>
  <c r="N355" i="1"/>
  <c r="M355" i="1"/>
  <c r="L355" i="1"/>
  <c r="K355" i="1"/>
  <c r="Q354" i="1"/>
  <c r="P354" i="1"/>
  <c r="O354" i="1"/>
  <c r="N354" i="1"/>
  <c r="M354" i="1"/>
  <c r="L354" i="1"/>
  <c r="K354" i="1"/>
  <c r="Q353" i="1"/>
  <c r="P353" i="1"/>
  <c r="O353" i="1"/>
  <c r="N353" i="1"/>
  <c r="M353" i="1"/>
  <c r="L353" i="1"/>
  <c r="K353" i="1"/>
  <c r="Q352" i="1"/>
  <c r="P352" i="1"/>
  <c r="O352" i="1"/>
  <c r="N352" i="1"/>
  <c r="M352" i="1"/>
  <c r="L352" i="1"/>
  <c r="K352" i="1"/>
  <c r="Q351" i="1"/>
  <c r="P351" i="1"/>
  <c r="O351" i="1"/>
  <c r="N351" i="1"/>
  <c r="M351" i="1"/>
  <c r="L351" i="1"/>
  <c r="K351" i="1"/>
  <c r="Q350" i="1"/>
  <c r="P350" i="1"/>
  <c r="O350" i="1"/>
  <c r="N350" i="1"/>
  <c r="M350" i="1"/>
  <c r="L350" i="1"/>
  <c r="K350" i="1"/>
  <c r="Q349" i="1"/>
  <c r="P349" i="1"/>
  <c r="O349" i="1"/>
  <c r="N349" i="1"/>
  <c r="M349" i="1"/>
  <c r="L349" i="1"/>
  <c r="K349" i="1"/>
  <c r="Q348" i="1"/>
  <c r="P348" i="1"/>
  <c r="O348" i="1"/>
  <c r="N348" i="1"/>
  <c r="M348" i="1"/>
  <c r="L348" i="1"/>
  <c r="K348" i="1"/>
  <c r="Q347" i="1"/>
  <c r="P347" i="1"/>
  <c r="O347" i="1"/>
  <c r="N347" i="1"/>
  <c r="M347" i="1"/>
  <c r="L347" i="1"/>
  <c r="K347" i="1"/>
  <c r="Q346" i="1"/>
  <c r="P346" i="1"/>
  <c r="O346" i="1"/>
  <c r="N346" i="1"/>
  <c r="M346" i="1"/>
  <c r="L346" i="1"/>
  <c r="K346" i="1"/>
  <c r="Q345" i="1"/>
  <c r="P345" i="1"/>
  <c r="O345" i="1"/>
  <c r="N345" i="1"/>
  <c r="M345" i="1"/>
  <c r="L345" i="1"/>
  <c r="K345" i="1"/>
  <c r="Q344" i="1"/>
  <c r="P344" i="1"/>
  <c r="O344" i="1"/>
  <c r="N344" i="1"/>
  <c r="M344" i="1"/>
  <c r="L344" i="1"/>
  <c r="K344" i="1"/>
  <c r="Q343" i="1"/>
  <c r="P343" i="1"/>
  <c r="O343" i="1"/>
  <c r="N343" i="1"/>
  <c r="M343" i="1"/>
  <c r="L343" i="1"/>
  <c r="K343" i="1"/>
  <c r="Q342" i="1"/>
  <c r="P342" i="1"/>
  <c r="O342" i="1"/>
  <c r="N342" i="1"/>
  <c r="M342" i="1"/>
  <c r="L342" i="1"/>
  <c r="K342" i="1"/>
  <c r="Q341" i="1"/>
  <c r="P341" i="1"/>
  <c r="O341" i="1"/>
  <c r="N341" i="1"/>
  <c r="M341" i="1"/>
  <c r="L341" i="1"/>
  <c r="K341" i="1"/>
  <c r="Q340" i="1"/>
  <c r="P340" i="1"/>
  <c r="O340" i="1"/>
  <c r="N340" i="1"/>
  <c r="M340" i="1"/>
  <c r="L340" i="1"/>
  <c r="K340" i="1"/>
  <c r="Q339" i="1"/>
  <c r="P339" i="1"/>
  <c r="O339" i="1"/>
  <c r="N339" i="1"/>
  <c r="M339" i="1"/>
  <c r="L339" i="1"/>
  <c r="K339" i="1"/>
  <c r="Q338" i="1"/>
  <c r="P338" i="1"/>
  <c r="O338" i="1"/>
  <c r="N338" i="1"/>
  <c r="M338" i="1"/>
  <c r="L338" i="1"/>
  <c r="K338" i="1"/>
  <c r="Q337" i="1"/>
  <c r="P337" i="1"/>
  <c r="O337" i="1"/>
  <c r="N337" i="1"/>
  <c r="M337" i="1"/>
  <c r="L337" i="1"/>
  <c r="K337" i="1"/>
  <c r="Q336" i="1"/>
  <c r="P336" i="1"/>
  <c r="O336" i="1"/>
  <c r="N336" i="1"/>
  <c r="M336" i="1"/>
  <c r="L336" i="1"/>
  <c r="K336" i="1"/>
  <c r="Q335" i="1"/>
  <c r="P335" i="1"/>
  <c r="O335" i="1"/>
  <c r="N335" i="1"/>
  <c r="M335" i="1"/>
  <c r="L335" i="1"/>
  <c r="K335" i="1"/>
  <c r="Q334" i="1"/>
  <c r="P334" i="1"/>
  <c r="O334" i="1"/>
  <c r="N334" i="1"/>
  <c r="M334" i="1"/>
  <c r="L334" i="1"/>
  <c r="K334" i="1"/>
  <c r="Q333" i="1"/>
  <c r="P333" i="1"/>
  <c r="O333" i="1"/>
  <c r="N333" i="1"/>
  <c r="M333" i="1"/>
  <c r="L333" i="1"/>
  <c r="K333" i="1"/>
  <c r="Q332" i="1"/>
  <c r="P332" i="1"/>
  <c r="O332" i="1"/>
  <c r="N332" i="1"/>
  <c r="M332" i="1"/>
  <c r="L332" i="1"/>
  <c r="K332" i="1"/>
  <c r="Q331" i="1"/>
  <c r="P331" i="1"/>
  <c r="O331" i="1"/>
  <c r="N331" i="1"/>
  <c r="M331" i="1"/>
  <c r="L331" i="1"/>
  <c r="K331" i="1"/>
  <c r="Q330" i="1"/>
  <c r="P330" i="1"/>
  <c r="O330" i="1"/>
  <c r="N330" i="1"/>
  <c r="M330" i="1"/>
  <c r="L330" i="1"/>
  <c r="K330" i="1"/>
  <c r="Q329" i="1"/>
  <c r="P329" i="1"/>
  <c r="O329" i="1"/>
  <c r="N329" i="1"/>
  <c r="M329" i="1"/>
  <c r="L329" i="1"/>
  <c r="K329" i="1"/>
  <c r="Q328" i="1"/>
  <c r="P328" i="1"/>
  <c r="O328" i="1"/>
  <c r="N328" i="1"/>
  <c r="M328" i="1"/>
  <c r="L328" i="1"/>
  <c r="K328" i="1"/>
  <c r="Q327" i="1"/>
  <c r="P327" i="1"/>
  <c r="O327" i="1"/>
  <c r="N327" i="1"/>
  <c r="M327" i="1"/>
  <c r="L327" i="1"/>
  <c r="K327" i="1"/>
  <c r="Q326" i="1"/>
  <c r="P326" i="1"/>
  <c r="O326" i="1"/>
  <c r="N326" i="1"/>
  <c r="M326" i="1"/>
  <c r="L326" i="1"/>
  <c r="K326" i="1"/>
  <c r="Q325" i="1"/>
  <c r="P325" i="1"/>
  <c r="O325" i="1"/>
  <c r="N325" i="1"/>
  <c r="M325" i="1"/>
  <c r="L325" i="1"/>
  <c r="K325" i="1"/>
  <c r="Q324" i="1"/>
  <c r="P324" i="1"/>
  <c r="O324" i="1"/>
  <c r="N324" i="1"/>
  <c r="M324" i="1"/>
  <c r="L324" i="1"/>
  <c r="K324" i="1"/>
  <c r="Q323" i="1"/>
  <c r="P323" i="1"/>
  <c r="O323" i="1"/>
  <c r="N323" i="1"/>
  <c r="M323" i="1"/>
  <c r="L323" i="1"/>
  <c r="K323" i="1"/>
  <c r="Q322" i="1"/>
  <c r="P322" i="1"/>
  <c r="O322" i="1"/>
  <c r="N322" i="1"/>
  <c r="M322" i="1"/>
  <c r="L322" i="1"/>
  <c r="K322" i="1"/>
  <c r="Q321" i="1"/>
  <c r="P321" i="1"/>
  <c r="O321" i="1"/>
  <c r="N321" i="1"/>
  <c r="M321" i="1"/>
  <c r="L321" i="1"/>
  <c r="K321" i="1"/>
  <c r="Q320" i="1"/>
  <c r="P320" i="1"/>
  <c r="O320" i="1"/>
  <c r="N320" i="1"/>
  <c r="M320" i="1"/>
  <c r="L320" i="1"/>
  <c r="K320" i="1"/>
  <c r="Q319" i="1"/>
  <c r="P319" i="1"/>
  <c r="O319" i="1"/>
  <c r="N319" i="1"/>
  <c r="M319" i="1"/>
  <c r="L319" i="1"/>
  <c r="K319" i="1"/>
  <c r="Q318" i="1"/>
  <c r="P318" i="1"/>
  <c r="O318" i="1"/>
  <c r="N318" i="1"/>
  <c r="M318" i="1"/>
  <c r="L318" i="1"/>
  <c r="K318" i="1"/>
  <c r="Q317" i="1"/>
  <c r="P317" i="1"/>
  <c r="O317" i="1"/>
  <c r="N317" i="1"/>
  <c r="M317" i="1"/>
  <c r="L317" i="1"/>
  <c r="K317" i="1"/>
  <c r="Q316" i="1"/>
  <c r="P316" i="1"/>
  <c r="O316" i="1"/>
  <c r="N316" i="1"/>
  <c r="M316" i="1"/>
  <c r="L316" i="1"/>
  <c r="K316" i="1"/>
  <c r="Q315" i="1"/>
  <c r="P315" i="1"/>
  <c r="O315" i="1"/>
  <c r="N315" i="1"/>
  <c r="M315" i="1"/>
  <c r="L315" i="1"/>
  <c r="K315" i="1"/>
  <c r="Q314" i="1"/>
  <c r="P314" i="1"/>
  <c r="O314" i="1"/>
  <c r="N314" i="1"/>
  <c r="M314" i="1"/>
  <c r="L314" i="1"/>
  <c r="K314" i="1"/>
  <c r="Q313" i="1"/>
  <c r="P313" i="1"/>
  <c r="O313" i="1"/>
  <c r="N313" i="1"/>
  <c r="M313" i="1"/>
  <c r="L313" i="1"/>
  <c r="K313" i="1"/>
  <c r="Q312" i="1"/>
  <c r="P312" i="1"/>
  <c r="O312" i="1"/>
  <c r="N312" i="1"/>
  <c r="M312" i="1"/>
  <c r="L312" i="1"/>
  <c r="K312" i="1"/>
  <c r="Q311" i="1"/>
  <c r="P311" i="1"/>
  <c r="O311" i="1"/>
  <c r="N311" i="1"/>
  <c r="M311" i="1"/>
  <c r="L311" i="1"/>
  <c r="K311" i="1"/>
  <c r="Q310" i="1"/>
  <c r="P310" i="1"/>
  <c r="O310" i="1"/>
  <c r="N310" i="1"/>
  <c r="M310" i="1"/>
  <c r="L310" i="1"/>
  <c r="K310" i="1"/>
  <c r="Q309" i="1"/>
  <c r="P309" i="1"/>
  <c r="O309" i="1"/>
  <c r="N309" i="1"/>
  <c r="M309" i="1"/>
  <c r="L309" i="1"/>
  <c r="K309" i="1"/>
  <c r="Q308" i="1"/>
  <c r="P308" i="1"/>
  <c r="O308" i="1"/>
  <c r="N308" i="1"/>
  <c r="M308" i="1"/>
  <c r="L308" i="1"/>
  <c r="K308" i="1"/>
  <c r="Q307" i="1"/>
  <c r="P307" i="1"/>
  <c r="O307" i="1"/>
  <c r="N307" i="1"/>
  <c r="M307" i="1"/>
  <c r="L307" i="1"/>
  <c r="K307" i="1"/>
  <c r="Q306" i="1"/>
  <c r="P306" i="1"/>
  <c r="O306" i="1"/>
  <c r="N306" i="1"/>
  <c r="M306" i="1"/>
  <c r="L306" i="1"/>
  <c r="K306" i="1"/>
  <c r="Q305" i="1"/>
  <c r="P305" i="1"/>
  <c r="O305" i="1"/>
  <c r="N305" i="1"/>
  <c r="M305" i="1"/>
  <c r="L305" i="1"/>
  <c r="K305" i="1"/>
  <c r="Q304" i="1"/>
  <c r="P304" i="1"/>
  <c r="O304" i="1"/>
  <c r="N304" i="1"/>
  <c r="M304" i="1"/>
  <c r="L304" i="1"/>
  <c r="K304" i="1"/>
  <c r="Q303" i="1"/>
  <c r="P303" i="1"/>
  <c r="O303" i="1"/>
  <c r="N303" i="1"/>
  <c r="M303" i="1"/>
  <c r="L303" i="1"/>
  <c r="K303" i="1"/>
  <c r="Q302" i="1"/>
  <c r="P302" i="1"/>
  <c r="O302" i="1"/>
  <c r="N302" i="1"/>
  <c r="M302" i="1"/>
  <c r="L302" i="1"/>
  <c r="K302" i="1"/>
  <c r="Q301" i="1"/>
  <c r="P301" i="1"/>
  <c r="O301" i="1"/>
  <c r="N301" i="1"/>
  <c r="M301" i="1"/>
  <c r="L301" i="1"/>
  <c r="K301" i="1"/>
  <c r="Q300" i="1"/>
  <c r="P300" i="1"/>
  <c r="O300" i="1"/>
  <c r="N300" i="1"/>
  <c r="M300" i="1"/>
  <c r="L300" i="1"/>
  <c r="K300" i="1"/>
  <c r="Q299" i="1"/>
  <c r="P299" i="1"/>
  <c r="O299" i="1"/>
  <c r="N299" i="1"/>
  <c r="M299" i="1"/>
  <c r="L299" i="1"/>
  <c r="K299" i="1"/>
  <c r="Q298" i="1"/>
  <c r="P298" i="1"/>
  <c r="O298" i="1"/>
  <c r="N298" i="1"/>
  <c r="M298" i="1"/>
  <c r="L298" i="1"/>
  <c r="K298" i="1"/>
  <c r="Q297" i="1"/>
  <c r="P297" i="1"/>
  <c r="O297" i="1"/>
  <c r="N297" i="1"/>
  <c r="M297" i="1"/>
  <c r="L297" i="1"/>
  <c r="K297" i="1"/>
  <c r="Q296" i="1"/>
  <c r="P296" i="1"/>
  <c r="O296" i="1"/>
  <c r="N296" i="1"/>
  <c r="M296" i="1"/>
  <c r="L296" i="1"/>
  <c r="K296" i="1"/>
  <c r="Q295" i="1"/>
  <c r="P295" i="1"/>
  <c r="O295" i="1"/>
  <c r="N295" i="1"/>
  <c r="M295" i="1"/>
  <c r="L295" i="1"/>
  <c r="K295" i="1"/>
  <c r="Q294" i="1"/>
  <c r="P294" i="1"/>
  <c r="O294" i="1"/>
  <c r="N294" i="1"/>
  <c r="M294" i="1"/>
  <c r="L294" i="1"/>
  <c r="K294" i="1"/>
  <c r="Q293" i="1"/>
  <c r="P293" i="1"/>
  <c r="O293" i="1"/>
  <c r="N293" i="1"/>
  <c r="M293" i="1"/>
  <c r="L293" i="1"/>
  <c r="K293" i="1"/>
  <c r="Q292" i="1"/>
  <c r="P292" i="1"/>
  <c r="O292" i="1"/>
  <c r="N292" i="1"/>
  <c r="M292" i="1"/>
  <c r="L292" i="1"/>
  <c r="K292" i="1"/>
  <c r="Q291" i="1"/>
  <c r="P291" i="1"/>
  <c r="O291" i="1"/>
  <c r="N291" i="1"/>
  <c r="M291" i="1"/>
  <c r="L291" i="1"/>
  <c r="K291" i="1"/>
  <c r="Q290" i="1"/>
  <c r="P290" i="1"/>
  <c r="O290" i="1"/>
  <c r="N290" i="1"/>
  <c r="M290" i="1"/>
  <c r="L290" i="1"/>
  <c r="K290" i="1"/>
  <c r="Q289" i="1"/>
  <c r="P289" i="1"/>
  <c r="O289" i="1"/>
  <c r="N289" i="1"/>
  <c r="M289" i="1"/>
  <c r="L289" i="1"/>
  <c r="K289" i="1"/>
  <c r="Q288" i="1"/>
  <c r="P288" i="1"/>
  <c r="O288" i="1"/>
  <c r="N288" i="1"/>
  <c r="M288" i="1"/>
  <c r="L288" i="1"/>
  <c r="K288" i="1"/>
  <c r="Q287" i="1"/>
  <c r="P287" i="1"/>
  <c r="O287" i="1"/>
  <c r="N287" i="1"/>
  <c r="M287" i="1"/>
  <c r="L287" i="1"/>
  <c r="K287" i="1"/>
  <c r="Q286" i="1"/>
  <c r="P286" i="1"/>
  <c r="O286" i="1"/>
  <c r="N286" i="1"/>
  <c r="M286" i="1"/>
  <c r="L286" i="1"/>
  <c r="K286" i="1"/>
  <c r="Q285" i="1"/>
  <c r="P285" i="1"/>
  <c r="O285" i="1"/>
  <c r="N285" i="1"/>
  <c r="M285" i="1"/>
  <c r="L285" i="1"/>
  <c r="K285" i="1"/>
  <c r="Q284" i="1"/>
  <c r="P284" i="1"/>
  <c r="O284" i="1"/>
  <c r="N284" i="1"/>
  <c r="M284" i="1"/>
  <c r="L284" i="1"/>
  <c r="K284" i="1"/>
  <c r="Q283" i="1"/>
  <c r="P283" i="1"/>
  <c r="O283" i="1"/>
  <c r="N283" i="1"/>
  <c r="M283" i="1"/>
  <c r="L283" i="1"/>
  <c r="K283" i="1"/>
  <c r="Q282" i="1"/>
  <c r="P282" i="1"/>
  <c r="O282" i="1"/>
  <c r="N282" i="1"/>
  <c r="M282" i="1"/>
  <c r="L282" i="1"/>
  <c r="K282" i="1"/>
  <c r="Q281" i="1"/>
  <c r="P281" i="1"/>
  <c r="O281" i="1"/>
  <c r="N281" i="1"/>
  <c r="M281" i="1"/>
  <c r="L281" i="1"/>
  <c r="K281" i="1"/>
  <c r="Q280" i="1"/>
  <c r="P280" i="1"/>
  <c r="O280" i="1"/>
  <c r="N280" i="1"/>
  <c r="M280" i="1"/>
  <c r="L280" i="1"/>
  <c r="K280" i="1"/>
  <c r="Q279" i="1"/>
  <c r="P279" i="1"/>
  <c r="O279" i="1"/>
  <c r="N279" i="1"/>
  <c r="M279" i="1"/>
  <c r="L279" i="1"/>
  <c r="K279" i="1"/>
  <c r="Q278" i="1"/>
  <c r="P278" i="1"/>
  <c r="O278" i="1"/>
  <c r="N278" i="1"/>
  <c r="M278" i="1"/>
  <c r="L278" i="1"/>
  <c r="K278" i="1"/>
  <c r="Q277" i="1"/>
  <c r="P277" i="1"/>
  <c r="O277" i="1"/>
  <c r="N277" i="1"/>
  <c r="M277" i="1"/>
  <c r="L277" i="1"/>
  <c r="K277" i="1"/>
  <c r="Q276" i="1"/>
  <c r="P276" i="1"/>
  <c r="O276" i="1"/>
  <c r="N276" i="1"/>
  <c r="M276" i="1"/>
  <c r="L276" i="1"/>
  <c r="K276" i="1"/>
  <c r="Q275" i="1"/>
  <c r="P275" i="1"/>
  <c r="O275" i="1"/>
  <c r="N275" i="1"/>
  <c r="M275" i="1"/>
  <c r="L275" i="1"/>
  <c r="K275" i="1"/>
  <c r="Q274" i="1"/>
  <c r="P274" i="1"/>
  <c r="O274" i="1"/>
  <c r="N274" i="1"/>
  <c r="M274" i="1"/>
  <c r="L274" i="1"/>
  <c r="K274" i="1"/>
  <c r="Q273" i="1"/>
  <c r="P273" i="1"/>
  <c r="O273" i="1"/>
  <c r="N273" i="1"/>
  <c r="M273" i="1"/>
  <c r="L273" i="1"/>
  <c r="K273" i="1"/>
  <c r="Q272" i="1"/>
  <c r="P272" i="1"/>
  <c r="O272" i="1"/>
  <c r="N272" i="1"/>
  <c r="M272" i="1"/>
  <c r="L272" i="1"/>
  <c r="K272" i="1"/>
  <c r="Q271" i="1"/>
  <c r="P271" i="1"/>
  <c r="O271" i="1"/>
  <c r="N271" i="1"/>
  <c r="M271" i="1"/>
  <c r="L271" i="1"/>
  <c r="K271" i="1"/>
  <c r="Q270" i="1"/>
  <c r="P270" i="1"/>
  <c r="O270" i="1"/>
  <c r="N270" i="1"/>
  <c r="M270" i="1"/>
  <c r="L270" i="1"/>
  <c r="K270" i="1"/>
  <c r="Q269" i="1"/>
  <c r="P269" i="1"/>
  <c r="O269" i="1"/>
  <c r="N269" i="1"/>
  <c r="M269" i="1"/>
  <c r="L269" i="1"/>
  <c r="K269" i="1"/>
  <c r="Q268" i="1"/>
  <c r="P268" i="1"/>
  <c r="O268" i="1"/>
  <c r="N268" i="1"/>
  <c r="M268" i="1"/>
  <c r="L268" i="1"/>
  <c r="K268" i="1"/>
  <c r="Q267" i="1"/>
  <c r="P267" i="1"/>
  <c r="O267" i="1"/>
  <c r="N267" i="1"/>
  <c r="M267" i="1"/>
  <c r="L267" i="1"/>
  <c r="K267" i="1"/>
  <c r="Q266" i="1"/>
  <c r="P266" i="1"/>
  <c r="O266" i="1"/>
  <c r="N266" i="1"/>
  <c r="M266" i="1"/>
  <c r="L266" i="1"/>
  <c r="K266" i="1"/>
  <c r="Q265" i="1"/>
  <c r="P265" i="1"/>
  <c r="O265" i="1"/>
  <c r="N265" i="1"/>
  <c r="M265" i="1"/>
  <c r="L265" i="1"/>
  <c r="K265" i="1"/>
  <c r="Q264" i="1"/>
  <c r="P264" i="1"/>
  <c r="O264" i="1"/>
  <c r="N264" i="1"/>
  <c r="M264" i="1"/>
  <c r="L264" i="1"/>
  <c r="K264" i="1"/>
  <c r="Q263" i="1"/>
  <c r="P263" i="1"/>
  <c r="O263" i="1"/>
  <c r="N263" i="1"/>
  <c r="M263" i="1"/>
  <c r="L263" i="1"/>
  <c r="K263" i="1"/>
  <c r="Q262" i="1"/>
  <c r="P262" i="1"/>
  <c r="O262" i="1"/>
  <c r="N262" i="1"/>
  <c r="M262" i="1"/>
  <c r="L262" i="1"/>
  <c r="K262" i="1"/>
  <c r="Q261" i="1"/>
  <c r="P261" i="1"/>
  <c r="O261" i="1"/>
  <c r="N261" i="1"/>
  <c r="M261" i="1"/>
  <c r="L261" i="1"/>
  <c r="K261" i="1"/>
  <c r="Q260" i="1"/>
  <c r="P260" i="1"/>
  <c r="O260" i="1"/>
  <c r="N260" i="1"/>
  <c r="M260" i="1"/>
  <c r="L260" i="1"/>
  <c r="K260" i="1"/>
  <c r="Q259" i="1"/>
  <c r="P259" i="1"/>
  <c r="O259" i="1"/>
  <c r="N259" i="1"/>
  <c r="M259" i="1"/>
  <c r="L259" i="1"/>
  <c r="K259" i="1"/>
  <c r="Q258" i="1"/>
  <c r="P258" i="1"/>
  <c r="O258" i="1"/>
  <c r="N258" i="1"/>
  <c r="M258" i="1"/>
  <c r="L258" i="1"/>
  <c r="K258" i="1"/>
  <c r="Q257" i="1"/>
  <c r="P257" i="1"/>
  <c r="O257" i="1"/>
  <c r="N257" i="1"/>
  <c r="M257" i="1"/>
  <c r="L257" i="1"/>
  <c r="K257" i="1"/>
  <c r="Q256" i="1"/>
  <c r="P256" i="1"/>
  <c r="O256" i="1"/>
  <c r="N256" i="1"/>
  <c r="M256" i="1"/>
  <c r="L256" i="1"/>
  <c r="K256" i="1"/>
  <c r="Q255" i="1"/>
  <c r="P255" i="1"/>
  <c r="O255" i="1"/>
  <c r="N255" i="1"/>
  <c r="M255" i="1"/>
  <c r="L255" i="1"/>
  <c r="K255" i="1"/>
  <c r="Q254" i="1"/>
  <c r="P254" i="1"/>
  <c r="O254" i="1"/>
  <c r="N254" i="1"/>
  <c r="M254" i="1"/>
  <c r="L254" i="1"/>
  <c r="K254" i="1"/>
  <c r="Q253" i="1"/>
  <c r="P253" i="1"/>
  <c r="O253" i="1"/>
  <c r="N253" i="1"/>
  <c r="M253" i="1"/>
  <c r="L253" i="1"/>
  <c r="K253" i="1"/>
  <c r="Q252" i="1"/>
  <c r="P252" i="1"/>
  <c r="O252" i="1"/>
  <c r="N252" i="1"/>
  <c r="M252" i="1"/>
  <c r="L252" i="1"/>
  <c r="K252" i="1"/>
  <c r="Q251" i="1"/>
  <c r="P251" i="1"/>
  <c r="O251" i="1"/>
  <c r="N251" i="1"/>
  <c r="M251" i="1"/>
  <c r="L251" i="1"/>
  <c r="K251" i="1"/>
  <c r="Q250" i="1"/>
  <c r="P250" i="1"/>
  <c r="O250" i="1"/>
  <c r="N250" i="1"/>
  <c r="M250" i="1"/>
  <c r="L250" i="1"/>
  <c r="K250" i="1"/>
  <c r="Q249" i="1"/>
  <c r="P249" i="1"/>
  <c r="O249" i="1"/>
  <c r="N249" i="1"/>
  <c r="M249" i="1"/>
  <c r="L249" i="1"/>
  <c r="K249" i="1"/>
  <c r="Q248" i="1"/>
  <c r="P248" i="1"/>
  <c r="O248" i="1"/>
  <c r="N248" i="1"/>
  <c r="M248" i="1"/>
  <c r="L248" i="1"/>
  <c r="K248" i="1"/>
  <c r="Q247" i="1"/>
  <c r="P247" i="1"/>
  <c r="O247" i="1"/>
  <c r="N247" i="1"/>
  <c r="M247" i="1"/>
  <c r="L247" i="1"/>
  <c r="K247" i="1"/>
  <c r="Q246" i="1"/>
  <c r="P246" i="1"/>
  <c r="O246" i="1"/>
  <c r="N246" i="1"/>
  <c r="M246" i="1"/>
  <c r="L246" i="1"/>
  <c r="K246" i="1"/>
  <c r="Q245" i="1"/>
  <c r="P245" i="1"/>
  <c r="O245" i="1"/>
  <c r="N245" i="1"/>
  <c r="M245" i="1"/>
  <c r="L245" i="1"/>
  <c r="K245" i="1"/>
  <c r="Q244" i="1"/>
  <c r="P244" i="1"/>
  <c r="O244" i="1"/>
  <c r="N244" i="1"/>
  <c r="M244" i="1"/>
  <c r="L244" i="1"/>
  <c r="K244" i="1"/>
  <c r="Q243" i="1"/>
  <c r="P243" i="1"/>
  <c r="O243" i="1"/>
  <c r="N243" i="1"/>
  <c r="M243" i="1"/>
  <c r="L243" i="1"/>
  <c r="K243" i="1"/>
  <c r="Q242" i="1"/>
  <c r="P242" i="1"/>
  <c r="O242" i="1"/>
  <c r="N242" i="1"/>
  <c r="M242" i="1"/>
  <c r="L242" i="1"/>
  <c r="K242" i="1"/>
  <c r="Q241" i="1"/>
  <c r="P241" i="1"/>
  <c r="O241" i="1"/>
  <c r="N241" i="1"/>
  <c r="M241" i="1"/>
  <c r="L241" i="1"/>
  <c r="K241" i="1"/>
  <c r="Q240" i="1"/>
  <c r="P240" i="1"/>
  <c r="O240" i="1"/>
  <c r="N240" i="1"/>
  <c r="M240" i="1"/>
  <c r="L240" i="1"/>
  <c r="K240" i="1"/>
  <c r="Q239" i="1"/>
  <c r="P239" i="1"/>
  <c r="O239" i="1"/>
  <c r="N239" i="1"/>
  <c r="M239" i="1"/>
  <c r="L239" i="1"/>
  <c r="K239" i="1"/>
  <c r="Q238" i="1"/>
  <c r="P238" i="1"/>
  <c r="O238" i="1"/>
  <c r="N238" i="1"/>
  <c r="M238" i="1"/>
  <c r="L238" i="1"/>
  <c r="K238" i="1"/>
  <c r="Q237" i="1"/>
  <c r="P237" i="1"/>
  <c r="O237" i="1"/>
  <c r="N237" i="1"/>
  <c r="M237" i="1"/>
  <c r="L237" i="1"/>
  <c r="K237" i="1"/>
  <c r="Q236" i="1"/>
  <c r="P236" i="1"/>
  <c r="O236" i="1"/>
  <c r="N236" i="1"/>
  <c r="M236" i="1"/>
  <c r="L236" i="1"/>
  <c r="K236" i="1"/>
  <c r="Q235" i="1"/>
  <c r="P235" i="1"/>
  <c r="O235" i="1"/>
  <c r="N235" i="1"/>
  <c r="M235" i="1"/>
  <c r="L235" i="1"/>
  <c r="K235" i="1"/>
  <c r="Q234" i="1"/>
  <c r="P234" i="1"/>
  <c r="O234" i="1"/>
  <c r="N234" i="1"/>
  <c r="M234" i="1"/>
  <c r="L234" i="1"/>
  <c r="K234" i="1"/>
  <c r="Q233" i="1"/>
  <c r="P233" i="1"/>
  <c r="O233" i="1"/>
  <c r="N233" i="1"/>
  <c r="M233" i="1"/>
  <c r="L233" i="1"/>
  <c r="K233" i="1"/>
  <c r="Q232" i="1"/>
  <c r="P232" i="1"/>
  <c r="O232" i="1"/>
  <c r="N232" i="1"/>
  <c r="M232" i="1"/>
  <c r="L232" i="1"/>
  <c r="K232" i="1"/>
  <c r="Q231" i="1"/>
  <c r="P231" i="1"/>
  <c r="O231" i="1"/>
  <c r="N231" i="1"/>
  <c r="M231" i="1"/>
  <c r="L231" i="1"/>
  <c r="K231" i="1"/>
  <c r="Q230" i="1"/>
  <c r="P230" i="1"/>
  <c r="O230" i="1"/>
  <c r="N230" i="1"/>
  <c r="M230" i="1"/>
  <c r="L230" i="1"/>
  <c r="K230" i="1"/>
  <c r="Q229" i="1"/>
  <c r="P229" i="1"/>
  <c r="O229" i="1"/>
  <c r="N229" i="1"/>
  <c r="M229" i="1"/>
  <c r="L229" i="1"/>
  <c r="K229" i="1"/>
  <c r="Q228" i="1"/>
  <c r="P228" i="1"/>
  <c r="O228" i="1"/>
  <c r="N228" i="1"/>
  <c r="M228" i="1"/>
  <c r="L228" i="1"/>
  <c r="K228" i="1"/>
  <c r="Q227" i="1"/>
  <c r="P227" i="1"/>
  <c r="O227" i="1"/>
  <c r="N227" i="1"/>
  <c r="M227" i="1"/>
  <c r="L227" i="1"/>
  <c r="K227" i="1"/>
  <c r="Q226" i="1"/>
  <c r="P226" i="1"/>
  <c r="O226" i="1"/>
  <c r="N226" i="1"/>
  <c r="M226" i="1"/>
  <c r="L226" i="1"/>
  <c r="K226" i="1"/>
  <c r="Q225" i="1"/>
  <c r="P225" i="1"/>
  <c r="O225" i="1"/>
  <c r="N225" i="1"/>
  <c r="M225" i="1"/>
  <c r="L225" i="1"/>
  <c r="K225" i="1"/>
  <c r="Q224" i="1"/>
  <c r="P224" i="1"/>
  <c r="O224" i="1"/>
  <c r="N224" i="1"/>
  <c r="M224" i="1"/>
  <c r="L224" i="1"/>
  <c r="K224" i="1"/>
  <c r="Q223" i="1"/>
  <c r="P223" i="1"/>
  <c r="O223" i="1"/>
  <c r="N223" i="1"/>
  <c r="M223" i="1"/>
  <c r="L223" i="1"/>
  <c r="K223" i="1"/>
  <c r="Q222" i="1"/>
  <c r="P222" i="1"/>
  <c r="O222" i="1"/>
  <c r="N222" i="1"/>
  <c r="M222" i="1"/>
  <c r="L222" i="1"/>
  <c r="K222" i="1"/>
  <c r="Q221" i="1"/>
  <c r="P221" i="1"/>
  <c r="O221" i="1"/>
  <c r="N221" i="1"/>
  <c r="M221" i="1"/>
  <c r="L221" i="1"/>
  <c r="K221" i="1"/>
  <c r="Q220" i="1"/>
  <c r="P220" i="1"/>
  <c r="O220" i="1"/>
  <c r="N220" i="1"/>
  <c r="M220" i="1"/>
  <c r="L220" i="1"/>
  <c r="K220" i="1"/>
  <c r="Q219" i="1"/>
  <c r="P219" i="1"/>
  <c r="O219" i="1"/>
  <c r="N219" i="1"/>
  <c r="M219" i="1"/>
  <c r="L219" i="1"/>
  <c r="K219" i="1"/>
  <c r="Q218" i="1"/>
  <c r="P218" i="1"/>
  <c r="O218" i="1"/>
  <c r="N218" i="1"/>
  <c r="M218" i="1"/>
  <c r="L218" i="1"/>
  <c r="K218" i="1"/>
  <c r="Q217" i="1"/>
  <c r="P217" i="1"/>
  <c r="O217" i="1"/>
  <c r="N217" i="1"/>
  <c r="M217" i="1"/>
  <c r="L217" i="1"/>
  <c r="K217" i="1"/>
  <c r="Q216" i="1"/>
  <c r="P216" i="1"/>
  <c r="O216" i="1"/>
  <c r="N216" i="1"/>
  <c r="M216" i="1"/>
  <c r="L216" i="1"/>
  <c r="K216" i="1"/>
  <c r="Q215" i="1"/>
  <c r="P215" i="1"/>
  <c r="O215" i="1"/>
  <c r="N215" i="1"/>
  <c r="M215" i="1"/>
  <c r="L215" i="1"/>
  <c r="K215" i="1"/>
  <c r="Q214" i="1"/>
  <c r="P214" i="1"/>
  <c r="O214" i="1"/>
  <c r="N214" i="1"/>
  <c r="M214" i="1"/>
  <c r="L214" i="1"/>
  <c r="K214" i="1"/>
  <c r="Q213" i="1"/>
  <c r="P213" i="1"/>
  <c r="O213" i="1"/>
  <c r="N213" i="1"/>
  <c r="M213" i="1"/>
  <c r="L213" i="1"/>
  <c r="K213" i="1"/>
  <c r="Q212" i="1"/>
  <c r="P212" i="1"/>
  <c r="O212" i="1"/>
  <c r="N212" i="1"/>
  <c r="M212" i="1"/>
  <c r="L212" i="1"/>
  <c r="K212" i="1"/>
  <c r="Q211" i="1"/>
  <c r="P211" i="1"/>
  <c r="O211" i="1"/>
  <c r="N211" i="1"/>
  <c r="M211" i="1"/>
  <c r="L211" i="1"/>
  <c r="K211" i="1"/>
  <c r="Q210" i="1"/>
  <c r="P210" i="1"/>
  <c r="O210" i="1"/>
  <c r="N210" i="1"/>
  <c r="M210" i="1"/>
  <c r="L210" i="1"/>
  <c r="K210" i="1"/>
  <c r="Q209" i="1"/>
  <c r="P209" i="1"/>
  <c r="O209" i="1"/>
  <c r="N209" i="1"/>
  <c r="M209" i="1"/>
  <c r="L209" i="1"/>
  <c r="K209" i="1"/>
  <c r="Q208" i="1"/>
  <c r="P208" i="1"/>
  <c r="O208" i="1"/>
  <c r="N208" i="1"/>
  <c r="M208" i="1"/>
  <c r="L208" i="1"/>
  <c r="K208" i="1"/>
  <c r="Q207" i="1"/>
  <c r="P207" i="1"/>
  <c r="O207" i="1"/>
  <c r="N207" i="1"/>
  <c r="M207" i="1"/>
  <c r="L207" i="1"/>
  <c r="K207" i="1"/>
  <c r="Q206" i="1"/>
  <c r="P206" i="1"/>
  <c r="O206" i="1"/>
  <c r="N206" i="1"/>
  <c r="M206" i="1"/>
  <c r="L206" i="1"/>
  <c r="K206" i="1"/>
  <c r="Q205" i="1"/>
  <c r="P205" i="1"/>
  <c r="O205" i="1"/>
  <c r="N205" i="1"/>
  <c r="M205" i="1"/>
  <c r="L205" i="1"/>
  <c r="K205" i="1"/>
  <c r="Q204" i="1"/>
  <c r="P204" i="1"/>
  <c r="O204" i="1"/>
  <c r="N204" i="1"/>
  <c r="M204" i="1"/>
  <c r="L204" i="1"/>
  <c r="K204" i="1"/>
  <c r="Q203" i="1"/>
  <c r="P203" i="1"/>
  <c r="O203" i="1"/>
  <c r="N203" i="1"/>
  <c r="M203" i="1"/>
  <c r="L203" i="1"/>
  <c r="K203" i="1"/>
  <c r="Q202" i="1"/>
  <c r="P202" i="1"/>
  <c r="O202" i="1"/>
  <c r="N202" i="1"/>
  <c r="M202" i="1"/>
  <c r="L202" i="1"/>
  <c r="K202" i="1"/>
  <c r="Q201" i="1"/>
  <c r="P201" i="1"/>
  <c r="O201" i="1"/>
  <c r="N201" i="1"/>
  <c r="M201" i="1"/>
  <c r="L201" i="1"/>
  <c r="K201" i="1"/>
  <c r="Q200" i="1"/>
  <c r="P200" i="1"/>
  <c r="O200" i="1"/>
  <c r="N200" i="1"/>
  <c r="M200" i="1"/>
  <c r="L200" i="1"/>
  <c r="K200" i="1"/>
  <c r="Q199" i="1"/>
  <c r="P199" i="1"/>
  <c r="O199" i="1"/>
  <c r="N199" i="1"/>
  <c r="M199" i="1"/>
  <c r="L199" i="1"/>
  <c r="K199" i="1"/>
  <c r="Q198" i="1"/>
  <c r="P198" i="1"/>
  <c r="O198" i="1"/>
  <c r="N198" i="1"/>
  <c r="M198" i="1"/>
  <c r="L198" i="1"/>
  <c r="K198" i="1"/>
  <c r="Q197" i="1"/>
  <c r="P197" i="1"/>
  <c r="O197" i="1"/>
  <c r="N197" i="1"/>
  <c r="M197" i="1"/>
  <c r="L197" i="1"/>
  <c r="K197" i="1"/>
  <c r="Q196" i="1"/>
  <c r="P196" i="1"/>
  <c r="O196" i="1"/>
  <c r="N196" i="1"/>
  <c r="M196" i="1"/>
  <c r="L196" i="1"/>
  <c r="K196" i="1"/>
  <c r="Q195" i="1"/>
  <c r="P195" i="1"/>
  <c r="O195" i="1"/>
  <c r="N195" i="1"/>
  <c r="M195" i="1"/>
  <c r="L195" i="1"/>
  <c r="K195" i="1"/>
  <c r="Q194" i="1"/>
  <c r="P194" i="1"/>
  <c r="O194" i="1"/>
  <c r="N194" i="1"/>
  <c r="M194" i="1"/>
  <c r="L194" i="1"/>
  <c r="K194" i="1"/>
  <c r="Q193" i="1"/>
  <c r="P193" i="1"/>
  <c r="O193" i="1"/>
  <c r="N193" i="1"/>
  <c r="M193" i="1"/>
  <c r="L193" i="1"/>
  <c r="K193" i="1"/>
  <c r="Q192" i="1"/>
  <c r="P192" i="1"/>
  <c r="O192" i="1"/>
  <c r="N192" i="1"/>
  <c r="M192" i="1"/>
  <c r="L192" i="1"/>
  <c r="K192" i="1"/>
  <c r="Q191" i="1"/>
  <c r="P191" i="1"/>
  <c r="O191" i="1"/>
  <c r="N191" i="1"/>
  <c r="M191" i="1"/>
  <c r="L191" i="1"/>
  <c r="K191" i="1"/>
  <c r="Q190" i="1"/>
  <c r="P190" i="1"/>
  <c r="O190" i="1"/>
  <c r="N190" i="1"/>
  <c r="M190" i="1"/>
  <c r="L190" i="1"/>
  <c r="K190" i="1"/>
  <c r="Q189" i="1"/>
  <c r="P189" i="1"/>
  <c r="O189" i="1"/>
  <c r="N189" i="1"/>
  <c r="M189" i="1"/>
  <c r="L189" i="1"/>
  <c r="K189" i="1"/>
  <c r="Q188" i="1"/>
  <c r="P188" i="1"/>
  <c r="O188" i="1"/>
  <c r="N188" i="1"/>
  <c r="M188" i="1"/>
  <c r="L188" i="1"/>
  <c r="K188" i="1"/>
  <c r="Q187" i="1"/>
  <c r="P187" i="1"/>
  <c r="O187" i="1"/>
  <c r="N187" i="1"/>
  <c r="M187" i="1"/>
  <c r="L187" i="1"/>
  <c r="K187" i="1"/>
  <c r="Q186" i="1"/>
  <c r="P186" i="1"/>
  <c r="O186" i="1"/>
  <c r="N186" i="1"/>
  <c r="M186" i="1"/>
  <c r="L186" i="1"/>
  <c r="K186" i="1"/>
  <c r="Q185" i="1"/>
  <c r="P185" i="1"/>
  <c r="O185" i="1"/>
  <c r="N185" i="1"/>
  <c r="M185" i="1"/>
  <c r="L185" i="1"/>
  <c r="K185" i="1"/>
  <c r="Q184" i="1"/>
  <c r="P184" i="1"/>
  <c r="O184" i="1"/>
  <c r="N184" i="1"/>
  <c r="M184" i="1"/>
  <c r="L184" i="1"/>
  <c r="K184" i="1"/>
  <c r="Q183" i="1"/>
  <c r="P183" i="1"/>
  <c r="O183" i="1"/>
  <c r="N183" i="1"/>
  <c r="M183" i="1"/>
  <c r="L183" i="1"/>
  <c r="K183" i="1"/>
  <c r="Q182" i="1"/>
  <c r="P182" i="1"/>
  <c r="O182" i="1"/>
  <c r="N182" i="1"/>
  <c r="M182" i="1"/>
  <c r="L182" i="1"/>
  <c r="K182" i="1"/>
  <c r="Q181" i="1"/>
  <c r="P181" i="1"/>
  <c r="O181" i="1"/>
  <c r="N181" i="1"/>
  <c r="M181" i="1"/>
  <c r="L181" i="1"/>
  <c r="K181" i="1"/>
  <c r="Q180" i="1"/>
  <c r="P180" i="1"/>
  <c r="O180" i="1"/>
  <c r="N180" i="1"/>
  <c r="M180" i="1"/>
  <c r="L180" i="1"/>
  <c r="K180" i="1"/>
  <c r="Q179" i="1"/>
  <c r="P179" i="1"/>
  <c r="O179" i="1"/>
  <c r="N179" i="1"/>
  <c r="M179" i="1"/>
  <c r="L179" i="1"/>
  <c r="K179" i="1"/>
  <c r="Q178" i="1"/>
  <c r="P178" i="1"/>
  <c r="O178" i="1"/>
  <c r="N178" i="1"/>
  <c r="M178" i="1"/>
  <c r="L178" i="1"/>
  <c r="K178" i="1"/>
  <c r="Q177" i="1"/>
  <c r="P177" i="1"/>
  <c r="O177" i="1"/>
  <c r="N177" i="1"/>
  <c r="M177" i="1"/>
  <c r="L177" i="1"/>
  <c r="K177" i="1"/>
  <c r="Q176" i="1"/>
  <c r="P176" i="1"/>
  <c r="O176" i="1"/>
  <c r="N176" i="1"/>
  <c r="M176" i="1"/>
  <c r="L176" i="1"/>
  <c r="K176" i="1"/>
  <c r="Q175" i="1"/>
  <c r="P175" i="1"/>
  <c r="O175" i="1"/>
  <c r="N175" i="1"/>
  <c r="M175" i="1"/>
  <c r="L175" i="1"/>
  <c r="K175" i="1"/>
  <c r="Q174" i="1"/>
  <c r="P174" i="1"/>
  <c r="O174" i="1"/>
  <c r="N174" i="1"/>
  <c r="M174" i="1"/>
  <c r="L174" i="1"/>
  <c r="K174" i="1"/>
  <c r="Q173" i="1"/>
  <c r="P173" i="1"/>
  <c r="O173" i="1"/>
  <c r="N173" i="1"/>
  <c r="M173" i="1"/>
  <c r="L173" i="1"/>
  <c r="K173" i="1"/>
  <c r="Q172" i="1"/>
  <c r="P172" i="1"/>
  <c r="O172" i="1"/>
  <c r="N172" i="1"/>
  <c r="M172" i="1"/>
  <c r="L172" i="1"/>
  <c r="K172" i="1"/>
  <c r="Q171" i="1"/>
  <c r="P171" i="1"/>
  <c r="O171" i="1"/>
  <c r="N171" i="1"/>
  <c r="M171" i="1"/>
  <c r="L171" i="1"/>
  <c r="K171" i="1"/>
  <c r="Q170" i="1"/>
  <c r="P170" i="1"/>
  <c r="O170" i="1"/>
  <c r="N170" i="1"/>
  <c r="M170" i="1"/>
  <c r="L170" i="1"/>
  <c r="K170" i="1"/>
  <c r="Q169" i="1"/>
  <c r="P169" i="1"/>
  <c r="O169" i="1"/>
  <c r="N169" i="1"/>
  <c r="M169" i="1"/>
  <c r="L169" i="1"/>
  <c r="K169" i="1"/>
  <c r="Q168" i="1"/>
  <c r="P168" i="1"/>
  <c r="O168" i="1"/>
  <c r="N168" i="1"/>
  <c r="M168" i="1"/>
  <c r="L168" i="1"/>
  <c r="K168" i="1"/>
  <c r="Q167" i="1"/>
  <c r="P167" i="1"/>
  <c r="O167" i="1"/>
  <c r="N167" i="1"/>
  <c r="M167" i="1"/>
  <c r="L167" i="1"/>
  <c r="K167" i="1"/>
  <c r="Q166" i="1"/>
  <c r="P166" i="1"/>
  <c r="O166" i="1"/>
  <c r="N166" i="1"/>
  <c r="M166" i="1"/>
  <c r="L166" i="1"/>
  <c r="K166" i="1"/>
  <c r="Q165" i="1"/>
  <c r="P165" i="1"/>
  <c r="O165" i="1"/>
  <c r="N165" i="1"/>
  <c r="M165" i="1"/>
  <c r="L165" i="1"/>
  <c r="K165" i="1"/>
  <c r="Q164" i="1"/>
  <c r="P164" i="1"/>
  <c r="O164" i="1"/>
  <c r="N164" i="1"/>
  <c r="M164" i="1"/>
  <c r="L164" i="1"/>
  <c r="K164" i="1"/>
  <c r="Q163" i="1"/>
  <c r="P163" i="1"/>
  <c r="O163" i="1"/>
  <c r="N163" i="1"/>
  <c r="M163" i="1"/>
  <c r="L163" i="1"/>
  <c r="K163" i="1"/>
  <c r="Q162" i="1"/>
  <c r="P162" i="1"/>
  <c r="O162" i="1"/>
  <c r="N162" i="1"/>
  <c r="M162" i="1"/>
  <c r="L162" i="1"/>
  <c r="K162" i="1"/>
  <c r="Q161" i="1"/>
  <c r="P161" i="1"/>
  <c r="O161" i="1"/>
  <c r="N161" i="1"/>
  <c r="M161" i="1"/>
  <c r="L161" i="1"/>
  <c r="K161" i="1"/>
  <c r="Q160" i="1"/>
  <c r="P160" i="1"/>
  <c r="O160" i="1"/>
  <c r="N160" i="1"/>
  <c r="M160" i="1"/>
  <c r="L160" i="1"/>
  <c r="K160" i="1"/>
  <c r="Q159" i="1"/>
  <c r="P159" i="1"/>
  <c r="O159" i="1"/>
  <c r="N159" i="1"/>
  <c r="M159" i="1"/>
  <c r="L159" i="1"/>
  <c r="K159" i="1"/>
  <c r="Q158" i="1"/>
  <c r="P158" i="1"/>
  <c r="O158" i="1"/>
  <c r="N158" i="1"/>
  <c r="M158" i="1"/>
  <c r="L158" i="1"/>
  <c r="K158" i="1"/>
  <c r="Q157" i="1"/>
  <c r="P157" i="1"/>
  <c r="O157" i="1"/>
  <c r="N157" i="1"/>
  <c r="M157" i="1"/>
  <c r="L157" i="1"/>
  <c r="K157" i="1"/>
  <c r="Q156" i="1"/>
  <c r="P156" i="1"/>
  <c r="O156" i="1"/>
  <c r="N156" i="1"/>
  <c r="M156" i="1"/>
  <c r="L156" i="1"/>
  <c r="K156" i="1"/>
  <c r="Q155" i="1"/>
  <c r="P155" i="1"/>
  <c r="O155" i="1"/>
  <c r="N155" i="1"/>
  <c r="M155" i="1"/>
  <c r="L155" i="1"/>
  <c r="K155" i="1"/>
  <c r="Q154" i="1"/>
  <c r="P154" i="1"/>
  <c r="O154" i="1"/>
  <c r="N154" i="1"/>
  <c r="M154" i="1"/>
  <c r="L154" i="1"/>
  <c r="K154" i="1"/>
  <c r="Q153" i="1"/>
  <c r="P153" i="1"/>
  <c r="O153" i="1"/>
  <c r="N153" i="1"/>
  <c r="M153" i="1"/>
  <c r="L153" i="1"/>
  <c r="K153" i="1"/>
  <c r="Q152" i="1"/>
  <c r="P152" i="1"/>
  <c r="O152" i="1"/>
  <c r="N152" i="1"/>
  <c r="M152" i="1"/>
  <c r="L152" i="1"/>
  <c r="K152" i="1"/>
  <c r="Q151" i="1"/>
  <c r="P151" i="1"/>
  <c r="O151" i="1"/>
  <c r="N151" i="1"/>
  <c r="M151" i="1"/>
  <c r="L151" i="1"/>
  <c r="K151" i="1"/>
  <c r="Q150" i="1"/>
  <c r="P150" i="1"/>
  <c r="O150" i="1"/>
  <c r="N150" i="1"/>
  <c r="M150" i="1"/>
  <c r="L150" i="1"/>
  <c r="K150" i="1"/>
  <c r="Q149" i="1"/>
  <c r="P149" i="1"/>
  <c r="O149" i="1"/>
  <c r="N149" i="1"/>
  <c r="M149" i="1"/>
  <c r="L149" i="1"/>
  <c r="K149" i="1"/>
  <c r="Q148" i="1"/>
  <c r="P148" i="1"/>
  <c r="O148" i="1"/>
  <c r="N148" i="1"/>
  <c r="M148" i="1"/>
  <c r="L148" i="1"/>
  <c r="K148" i="1"/>
  <c r="Q147" i="1"/>
  <c r="P147" i="1"/>
  <c r="O147" i="1"/>
  <c r="N147" i="1"/>
  <c r="M147" i="1"/>
  <c r="L147" i="1"/>
  <c r="K147" i="1"/>
  <c r="Q146" i="1"/>
  <c r="P146" i="1"/>
  <c r="O146" i="1"/>
  <c r="N146" i="1"/>
  <c r="M146" i="1"/>
  <c r="L146" i="1"/>
  <c r="K146" i="1"/>
  <c r="Q145" i="1"/>
  <c r="P145" i="1"/>
  <c r="O145" i="1"/>
  <c r="N145" i="1"/>
  <c r="M145" i="1"/>
  <c r="L145" i="1"/>
  <c r="K145" i="1"/>
  <c r="Q144" i="1"/>
  <c r="P144" i="1"/>
  <c r="O144" i="1"/>
  <c r="N144" i="1"/>
  <c r="M144" i="1"/>
  <c r="L144" i="1"/>
  <c r="K144" i="1"/>
  <c r="Q143" i="1"/>
  <c r="P143" i="1"/>
  <c r="O143" i="1"/>
  <c r="N143" i="1"/>
  <c r="M143" i="1"/>
  <c r="L143" i="1"/>
  <c r="K143" i="1"/>
  <c r="Q142" i="1"/>
  <c r="P142" i="1"/>
  <c r="O142" i="1"/>
  <c r="N142" i="1"/>
  <c r="M142" i="1"/>
  <c r="L142" i="1"/>
  <c r="K142" i="1"/>
  <c r="Q141" i="1"/>
  <c r="P141" i="1"/>
  <c r="O141" i="1"/>
  <c r="N141" i="1"/>
  <c r="M141" i="1"/>
  <c r="L141" i="1"/>
  <c r="K141" i="1"/>
  <c r="Q140" i="1"/>
  <c r="P140" i="1"/>
  <c r="O140" i="1"/>
  <c r="N140" i="1"/>
  <c r="M140" i="1"/>
  <c r="L140" i="1"/>
  <c r="K140" i="1"/>
  <c r="Q139" i="1"/>
  <c r="P139" i="1"/>
  <c r="O139" i="1"/>
  <c r="N139" i="1"/>
  <c r="M139" i="1"/>
  <c r="L139" i="1"/>
  <c r="K139" i="1"/>
  <c r="Q138" i="1"/>
  <c r="P138" i="1"/>
  <c r="O138" i="1"/>
  <c r="N138" i="1"/>
  <c r="M138" i="1"/>
  <c r="L138" i="1"/>
  <c r="K138" i="1"/>
  <c r="Q137" i="1"/>
  <c r="P137" i="1"/>
  <c r="O137" i="1"/>
  <c r="N137" i="1"/>
  <c r="M137" i="1"/>
  <c r="L137" i="1"/>
  <c r="K137" i="1"/>
  <c r="Q136" i="1"/>
  <c r="P136" i="1"/>
  <c r="O136" i="1"/>
  <c r="N136" i="1"/>
  <c r="M136" i="1"/>
  <c r="L136" i="1"/>
  <c r="K136" i="1"/>
  <c r="Q135" i="1"/>
  <c r="P135" i="1"/>
  <c r="O135" i="1"/>
  <c r="N135" i="1"/>
  <c r="M135" i="1"/>
  <c r="L135" i="1"/>
  <c r="K135" i="1"/>
  <c r="Q134" i="1"/>
  <c r="P134" i="1"/>
  <c r="O134" i="1"/>
  <c r="N134" i="1"/>
  <c r="M134" i="1"/>
  <c r="L134" i="1"/>
  <c r="K134" i="1"/>
  <c r="Q133" i="1"/>
  <c r="P133" i="1"/>
  <c r="O133" i="1"/>
  <c r="N133" i="1"/>
  <c r="M133" i="1"/>
  <c r="L133" i="1"/>
  <c r="K133" i="1"/>
  <c r="Q132" i="1"/>
  <c r="P132" i="1"/>
  <c r="O132" i="1"/>
  <c r="N132" i="1"/>
  <c r="M132" i="1"/>
  <c r="L132" i="1"/>
  <c r="K132" i="1"/>
  <c r="Q131" i="1"/>
  <c r="P131" i="1"/>
  <c r="O131" i="1"/>
  <c r="N131" i="1"/>
  <c r="M131" i="1"/>
  <c r="L131" i="1"/>
  <c r="K131" i="1"/>
  <c r="Q130" i="1"/>
  <c r="P130" i="1"/>
  <c r="O130" i="1"/>
  <c r="N130" i="1"/>
  <c r="M130" i="1"/>
  <c r="L130" i="1"/>
  <c r="K130" i="1"/>
  <c r="Q129" i="1"/>
  <c r="P129" i="1"/>
  <c r="O129" i="1"/>
  <c r="N129" i="1"/>
  <c r="M129" i="1"/>
  <c r="L129" i="1"/>
  <c r="K129" i="1"/>
  <c r="Q128" i="1"/>
  <c r="P128" i="1"/>
  <c r="O128" i="1"/>
  <c r="N128" i="1"/>
  <c r="M128" i="1"/>
  <c r="L128" i="1"/>
  <c r="K128" i="1"/>
  <c r="Q127" i="1"/>
  <c r="P127" i="1"/>
  <c r="O127" i="1"/>
  <c r="N127" i="1"/>
  <c r="M127" i="1"/>
  <c r="L127" i="1"/>
  <c r="K127" i="1"/>
  <c r="Q126" i="1"/>
  <c r="P126" i="1"/>
  <c r="O126" i="1"/>
  <c r="N126" i="1"/>
  <c r="M126" i="1"/>
  <c r="L126" i="1"/>
  <c r="K126" i="1"/>
  <c r="Q125" i="1"/>
  <c r="P125" i="1"/>
  <c r="O125" i="1"/>
  <c r="N125" i="1"/>
  <c r="M125" i="1"/>
  <c r="L125" i="1"/>
  <c r="K125" i="1"/>
  <c r="Q124" i="1"/>
  <c r="P124" i="1"/>
  <c r="O124" i="1"/>
  <c r="N124" i="1"/>
  <c r="M124" i="1"/>
  <c r="L124" i="1"/>
  <c r="K124" i="1"/>
  <c r="Q123" i="1"/>
  <c r="P123" i="1"/>
  <c r="O123" i="1"/>
  <c r="N123" i="1"/>
  <c r="M123" i="1"/>
  <c r="L123" i="1"/>
  <c r="K123" i="1"/>
  <c r="Q122" i="1"/>
  <c r="P122" i="1"/>
  <c r="O122" i="1"/>
  <c r="N122" i="1"/>
  <c r="M122" i="1"/>
  <c r="L122" i="1"/>
  <c r="K122" i="1"/>
  <c r="Q121" i="1"/>
  <c r="P121" i="1"/>
  <c r="O121" i="1"/>
  <c r="N121" i="1"/>
  <c r="M121" i="1"/>
  <c r="L121" i="1"/>
  <c r="K121" i="1"/>
  <c r="Q120" i="1"/>
  <c r="P120" i="1"/>
  <c r="O120" i="1"/>
  <c r="N120" i="1"/>
  <c r="M120" i="1"/>
  <c r="L120" i="1"/>
  <c r="K120" i="1"/>
  <c r="Q119" i="1"/>
  <c r="P119" i="1"/>
  <c r="O119" i="1"/>
  <c r="N119" i="1"/>
  <c r="M119" i="1"/>
  <c r="L119" i="1"/>
  <c r="K119" i="1"/>
  <c r="Q118" i="1"/>
  <c r="P118" i="1"/>
  <c r="O118" i="1"/>
  <c r="N118" i="1"/>
  <c r="M118" i="1"/>
  <c r="L118" i="1"/>
  <c r="K118" i="1"/>
  <c r="Q117" i="1"/>
  <c r="P117" i="1"/>
  <c r="O117" i="1"/>
  <c r="N117" i="1"/>
  <c r="M117" i="1"/>
  <c r="L117" i="1"/>
  <c r="K117" i="1"/>
  <c r="Q116" i="1"/>
  <c r="P116" i="1"/>
  <c r="O116" i="1"/>
  <c r="N116" i="1"/>
  <c r="M116" i="1"/>
  <c r="L116" i="1"/>
  <c r="K116" i="1"/>
  <c r="Q115" i="1"/>
  <c r="P115" i="1"/>
  <c r="O115" i="1"/>
  <c r="N115" i="1"/>
  <c r="M115" i="1"/>
  <c r="L115" i="1"/>
  <c r="K115" i="1"/>
  <c r="Q114" i="1"/>
  <c r="P114" i="1"/>
  <c r="O114" i="1"/>
  <c r="N114" i="1"/>
  <c r="M114" i="1"/>
  <c r="L114" i="1"/>
  <c r="K114" i="1"/>
  <c r="Q113" i="1"/>
  <c r="P113" i="1"/>
  <c r="O113" i="1"/>
  <c r="N113" i="1"/>
  <c r="M113" i="1"/>
  <c r="L113" i="1"/>
  <c r="K113" i="1"/>
  <c r="Q112" i="1"/>
  <c r="P112" i="1"/>
  <c r="O112" i="1"/>
  <c r="N112" i="1"/>
  <c r="M112" i="1"/>
  <c r="L112" i="1"/>
  <c r="K112" i="1"/>
  <c r="Q111" i="1"/>
  <c r="P111" i="1"/>
  <c r="O111" i="1"/>
  <c r="N111" i="1"/>
  <c r="M111" i="1"/>
  <c r="L111" i="1"/>
  <c r="K111" i="1"/>
  <c r="Q110" i="1"/>
  <c r="P110" i="1"/>
  <c r="O110" i="1"/>
  <c r="N110" i="1"/>
  <c r="M110" i="1"/>
  <c r="L110" i="1"/>
  <c r="K110" i="1"/>
  <c r="Q109" i="1"/>
  <c r="P109" i="1"/>
  <c r="O109" i="1"/>
  <c r="N109" i="1"/>
  <c r="M109" i="1"/>
  <c r="L109" i="1"/>
  <c r="K109" i="1"/>
  <c r="Q108" i="1"/>
  <c r="P108" i="1"/>
  <c r="O108" i="1"/>
  <c r="N108" i="1"/>
  <c r="M108" i="1"/>
  <c r="L108" i="1"/>
  <c r="K108" i="1"/>
  <c r="Q107" i="1"/>
  <c r="P107" i="1"/>
  <c r="O107" i="1"/>
  <c r="N107" i="1"/>
  <c r="M107" i="1"/>
  <c r="L107" i="1"/>
  <c r="K107" i="1"/>
  <c r="Q106" i="1"/>
  <c r="P106" i="1"/>
  <c r="O106" i="1"/>
  <c r="N106" i="1"/>
  <c r="M106" i="1"/>
  <c r="L106" i="1"/>
  <c r="K106" i="1"/>
  <c r="Q105" i="1"/>
  <c r="P105" i="1"/>
  <c r="O105" i="1"/>
  <c r="N105" i="1"/>
  <c r="M105" i="1"/>
  <c r="L105" i="1"/>
  <c r="K105" i="1"/>
  <c r="Q104" i="1"/>
  <c r="P104" i="1"/>
  <c r="O104" i="1"/>
  <c r="N104" i="1"/>
  <c r="M104" i="1"/>
  <c r="L104" i="1"/>
  <c r="K104" i="1"/>
  <c r="Q103" i="1"/>
  <c r="P103" i="1"/>
  <c r="O103" i="1"/>
  <c r="N103" i="1"/>
  <c r="M103" i="1"/>
  <c r="L103" i="1"/>
  <c r="K103" i="1"/>
  <c r="Q102" i="1"/>
  <c r="P102" i="1"/>
  <c r="O102" i="1"/>
  <c r="N102" i="1"/>
  <c r="M102" i="1"/>
  <c r="L102" i="1"/>
  <c r="K102" i="1"/>
  <c r="Q101" i="1"/>
  <c r="P101" i="1"/>
  <c r="O101" i="1"/>
  <c r="N101" i="1"/>
  <c r="M101" i="1"/>
  <c r="L101" i="1"/>
  <c r="K101" i="1"/>
  <c r="Q100" i="1"/>
  <c r="P100" i="1"/>
  <c r="O100" i="1"/>
  <c r="N100" i="1"/>
  <c r="M100" i="1"/>
  <c r="L100" i="1"/>
  <c r="K100" i="1"/>
  <c r="Q99" i="1"/>
  <c r="P99" i="1"/>
  <c r="O99" i="1"/>
  <c r="N99" i="1"/>
  <c r="M99" i="1"/>
  <c r="L99" i="1"/>
  <c r="K99" i="1"/>
  <c r="Q98" i="1"/>
  <c r="P98" i="1"/>
  <c r="O98" i="1"/>
  <c r="N98" i="1"/>
  <c r="M98" i="1"/>
  <c r="L98" i="1"/>
  <c r="K98" i="1"/>
  <c r="Q97" i="1"/>
  <c r="P97" i="1"/>
  <c r="O97" i="1"/>
  <c r="N97" i="1"/>
  <c r="M97" i="1"/>
  <c r="L97" i="1"/>
  <c r="K97" i="1"/>
  <c r="Q96" i="1"/>
  <c r="P96" i="1"/>
  <c r="O96" i="1"/>
  <c r="N96" i="1"/>
  <c r="M96" i="1"/>
  <c r="L96" i="1"/>
  <c r="K96" i="1"/>
  <c r="Q95" i="1"/>
  <c r="P95" i="1"/>
  <c r="O95" i="1"/>
  <c r="N95" i="1"/>
  <c r="M95" i="1"/>
  <c r="L95" i="1"/>
  <c r="K95" i="1"/>
  <c r="Q94" i="1"/>
  <c r="P94" i="1"/>
  <c r="O94" i="1"/>
  <c r="N94" i="1"/>
  <c r="M94" i="1"/>
  <c r="L94" i="1"/>
  <c r="K94" i="1"/>
  <c r="Q93" i="1"/>
  <c r="P93" i="1"/>
  <c r="O93" i="1"/>
  <c r="N93" i="1"/>
  <c r="M93" i="1"/>
  <c r="L93" i="1"/>
  <c r="K93" i="1"/>
  <c r="Q92" i="1"/>
  <c r="P92" i="1"/>
  <c r="O92" i="1"/>
  <c r="N92" i="1"/>
  <c r="M92" i="1"/>
  <c r="L92" i="1"/>
  <c r="K92" i="1"/>
  <c r="Q91" i="1"/>
  <c r="P91" i="1"/>
  <c r="O91" i="1"/>
  <c r="N91" i="1"/>
  <c r="M91" i="1"/>
  <c r="L91" i="1"/>
  <c r="K91" i="1"/>
  <c r="Q90" i="1"/>
  <c r="P90" i="1"/>
  <c r="O90" i="1"/>
  <c r="N90" i="1"/>
  <c r="M90" i="1"/>
  <c r="L90" i="1"/>
  <c r="K90" i="1"/>
  <c r="Q89" i="1"/>
  <c r="P89" i="1"/>
  <c r="O89" i="1"/>
  <c r="N89" i="1"/>
  <c r="M89" i="1"/>
  <c r="L89" i="1"/>
  <c r="K89" i="1"/>
  <c r="Q88" i="1"/>
  <c r="P88" i="1"/>
  <c r="O88" i="1"/>
  <c r="N88" i="1"/>
  <c r="M88" i="1"/>
  <c r="L88" i="1"/>
  <c r="K88" i="1"/>
  <c r="Q87" i="1"/>
  <c r="P87" i="1"/>
  <c r="O87" i="1"/>
  <c r="N87" i="1"/>
  <c r="M87" i="1"/>
  <c r="L87" i="1"/>
  <c r="K87" i="1"/>
  <c r="Q86" i="1"/>
  <c r="P86" i="1"/>
  <c r="O86" i="1"/>
  <c r="N86" i="1"/>
  <c r="M86" i="1"/>
  <c r="L86" i="1"/>
  <c r="K86" i="1"/>
  <c r="Q85" i="1"/>
  <c r="P85" i="1"/>
  <c r="O85" i="1"/>
  <c r="N85" i="1"/>
  <c r="M85" i="1"/>
  <c r="L85" i="1"/>
  <c r="K85" i="1"/>
  <c r="Q84" i="1"/>
  <c r="P84" i="1"/>
  <c r="O84" i="1"/>
  <c r="N84" i="1"/>
  <c r="M84" i="1"/>
  <c r="L84" i="1"/>
  <c r="K84" i="1"/>
  <c r="Q83" i="1"/>
  <c r="P83" i="1"/>
  <c r="O83" i="1"/>
  <c r="N83" i="1"/>
  <c r="M83" i="1"/>
  <c r="L83" i="1"/>
  <c r="K83" i="1"/>
  <c r="Q82" i="1"/>
  <c r="P82" i="1"/>
  <c r="O82" i="1"/>
  <c r="N82" i="1"/>
  <c r="M82" i="1"/>
  <c r="L82" i="1"/>
  <c r="K82" i="1"/>
  <c r="Q81" i="1"/>
  <c r="P81" i="1"/>
  <c r="O81" i="1"/>
  <c r="N81" i="1"/>
  <c r="M81" i="1"/>
  <c r="L81" i="1"/>
  <c r="K81" i="1"/>
  <c r="Q80" i="1"/>
  <c r="P80" i="1"/>
  <c r="O80" i="1"/>
  <c r="N80" i="1"/>
  <c r="M80" i="1"/>
  <c r="L80" i="1"/>
  <c r="K80" i="1"/>
  <c r="Q79" i="1"/>
  <c r="P79" i="1"/>
  <c r="O79" i="1"/>
  <c r="N79" i="1"/>
  <c r="M79" i="1"/>
  <c r="L79" i="1"/>
  <c r="K79" i="1"/>
  <c r="Q78" i="1"/>
  <c r="P78" i="1"/>
  <c r="O78" i="1"/>
  <c r="N78" i="1"/>
  <c r="M78" i="1"/>
  <c r="L78" i="1"/>
  <c r="K78" i="1"/>
  <c r="Q77" i="1"/>
  <c r="P77" i="1"/>
  <c r="O77" i="1"/>
  <c r="N77" i="1"/>
  <c r="M77" i="1"/>
  <c r="L77" i="1"/>
  <c r="K77" i="1"/>
  <c r="Q76" i="1"/>
  <c r="P76" i="1"/>
  <c r="O76" i="1"/>
  <c r="N76" i="1"/>
  <c r="M76" i="1"/>
  <c r="L76" i="1"/>
  <c r="K76" i="1"/>
  <c r="Q75" i="1"/>
  <c r="P75" i="1"/>
  <c r="O75" i="1"/>
  <c r="N75" i="1"/>
  <c r="M75" i="1"/>
  <c r="L75" i="1"/>
  <c r="K75" i="1"/>
  <c r="Q74" i="1"/>
  <c r="P74" i="1"/>
  <c r="O74" i="1"/>
  <c r="N74" i="1"/>
  <c r="M74" i="1"/>
  <c r="L74" i="1"/>
  <c r="K74" i="1"/>
  <c r="Q73" i="1"/>
  <c r="P73" i="1"/>
  <c r="O73" i="1"/>
  <c r="N73" i="1"/>
  <c r="M73" i="1"/>
  <c r="L73" i="1"/>
  <c r="K73" i="1"/>
  <c r="Q72" i="1"/>
  <c r="P72" i="1"/>
  <c r="O72" i="1"/>
  <c r="N72" i="1"/>
  <c r="M72" i="1"/>
  <c r="L72" i="1"/>
  <c r="K72" i="1"/>
  <c r="Q71" i="1"/>
  <c r="P71" i="1"/>
  <c r="O71" i="1"/>
  <c r="N71" i="1"/>
  <c r="M71" i="1"/>
  <c r="L71" i="1"/>
  <c r="K71" i="1"/>
  <c r="Q70" i="1"/>
  <c r="P70" i="1"/>
  <c r="O70" i="1"/>
  <c r="N70" i="1"/>
  <c r="M70" i="1"/>
  <c r="L70" i="1"/>
  <c r="K70" i="1"/>
  <c r="Q69" i="1"/>
  <c r="P69" i="1"/>
  <c r="O69" i="1"/>
  <c r="N69" i="1"/>
  <c r="M69" i="1"/>
  <c r="L69" i="1"/>
  <c r="K69" i="1"/>
  <c r="Q68" i="1"/>
  <c r="P68" i="1"/>
  <c r="O68" i="1"/>
  <c r="N68" i="1"/>
  <c r="M68" i="1"/>
  <c r="L68" i="1"/>
  <c r="K68" i="1"/>
  <c r="Q67" i="1"/>
  <c r="P67" i="1"/>
  <c r="O67" i="1"/>
  <c r="N67" i="1"/>
  <c r="M67" i="1"/>
  <c r="L67" i="1"/>
  <c r="K67" i="1"/>
  <c r="Q66" i="1"/>
  <c r="P66" i="1"/>
  <c r="O66" i="1"/>
  <c r="N66" i="1"/>
  <c r="M66" i="1"/>
  <c r="L66" i="1"/>
  <c r="K66" i="1"/>
  <c r="Q65" i="1"/>
  <c r="P65" i="1"/>
  <c r="O65" i="1"/>
  <c r="N65" i="1"/>
  <c r="M65" i="1"/>
  <c r="L65" i="1"/>
  <c r="K65" i="1"/>
  <c r="Q64" i="1"/>
  <c r="P64" i="1"/>
  <c r="O64" i="1"/>
  <c r="N64" i="1"/>
  <c r="M64" i="1"/>
  <c r="L64" i="1"/>
  <c r="K64" i="1"/>
  <c r="Q63" i="1"/>
  <c r="P63" i="1"/>
  <c r="O63" i="1"/>
  <c r="N63" i="1"/>
  <c r="M63" i="1"/>
  <c r="L63" i="1"/>
  <c r="K63" i="1"/>
  <c r="Q62" i="1"/>
  <c r="P62" i="1"/>
  <c r="O62" i="1"/>
  <c r="N62" i="1"/>
  <c r="M62" i="1"/>
  <c r="L62" i="1"/>
  <c r="K62" i="1"/>
  <c r="Q61" i="1"/>
  <c r="P61" i="1"/>
  <c r="O61" i="1"/>
  <c r="N61" i="1"/>
  <c r="M61" i="1"/>
  <c r="L61" i="1"/>
  <c r="K61" i="1"/>
  <c r="Q60" i="1"/>
  <c r="P60" i="1"/>
  <c r="O60" i="1"/>
  <c r="N60" i="1"/>
  <c r="M60" i="1"/>
  <c r="L60" i="1"/>
  <c r="K60" i="1"/>
  <c r="Q59" i="1"/>
  <c r="P59" i="1"/>
  <c r="O59" i="1"/>
  <c r="N59" i="1"/>
  <c r="M59" i="1"/>
  <c r="L59" i="1"/>
  <c r="K59" i="1"/>
  <c r="Q58" i="1"/>
  <c r="P58" i="1"/>
  <c r="O58" i="1"/>
  <c r="N58" i="1"/>
  <c r="M58" i="1"/>
  <c r="L58" i="1"/>
  <c r="K58" i="1"/>
  <c r="Q57" i="1"/>
  <c r="P57" i="1"/>
  <c r="O57" i="1"/>
  <c r="N57" i="1"/>
  <c r="M57" i="1"/>
  <c r="L57" i="1"/>
  <c r="K57" i="1"/>
  <c r="Q56" i="1"/>
  <c r="P56" i="1"/>
  <c r="O56" i="1"/>
  <c r="N56" i="1"/>
  <c r="M56" i="1"/>
  <c r="L56" i="1"/>
  <c r="K56" i="1"/>
  <c r="Q55" i="1"/>
  <c r="P55" i="1"/>
  <c r="O55" i="1"/>
  <c r="N55" i="1"/>
  <c r="M55" i="1"/>
  <c r="L55" i="1"/>
  <c r="K55" i="1"/>
  <c r="Q54" i="1"/>
  <c r="P54" i="1"/>
  <c r="O54" i="1"/>
  <c r="N54" i="1"/>
  <c r="M54" i="1"/>
  <c r="L54" i="1"/>
  <c r="K54" i="1"/>
  <c r="Q53" i="1"/>
  <c r="P53" i="1"/>
  <c r="O53" i="1"/>
  <c r="N53" i="1"/>
  <c r="M53" i="1"/>
  <c r="L53" i="1"/>
  <c r="K53" i="1"/>
  <c r="Q52" i="1"/>
  <c r="P52" i="1"/>
  <c r="O52" i="1"/>
  <c r="N52" i="1"/>
  <c r="M52" i="1"/>
  <c r="L52" i="1"/>
  <c r="K52" i="1"/>
  <c r="Q51" i="1"/>
  <c r="P51" i="1"/>
  <c r="O51" i="1"/>
  <c r="N51" i="1"/>
  <c r="M51" i="1"/>
  <c r="L51" i="1"/>
  <c r="K51" i="1"/>
  <c r="Q50" i="1"/>
  <c r="P50" i="1"/>
  <c r="O50" i="1"/>
  <c r="N50" i="1"/>
  <c r="M50" i="1"/>
  <c r="L50" i="1"/>
  <c r="K50" i="1"/>
  <c r="Q49" i="1"/>
  <c r="P49" i="1"/>
  <c r="O49" i="1"/>
  <c r="N49" i="1"/>
  <c r="M49" i="1"/>
  <c r="L49" i="1"/>
  <c r="K49" i="1"/>
  <c r="Q48" i="1"/>
  <c r="P48" i="1"/>
  <c r="O48" i="1"/>
  <c r="N48" i="1"/>
  <c r="M48" i="1"/>
  <c r="L48" i="1"/>
  <c r="K48" i="1"/>
  <c r="Q47" i="1"/>
  <c r="P47" i="1"/>
  <c r="O47" i="1"/>
  <c r="N47" i="1"/>
  <c r="M47" i="1"/>
  <c r="L47" i="1"/>
  <c r="K47" i="1"/>
  <c r="Q46" i="1"/>
  <c r="P46" i="1"/>
  <c r="O46" i="1"/>
  <c r="N46" i="1"/>
  <c r="M46" i="1"/>
  <c r="L46" i="1"/>
  <c r="K46" i="1"/>
  <c r="Q45" i="1"/>
  <c r="P45" i="1"/>
  <c r="O45" i="1"/>
  <c r="N45" i="1"/>
  <c r="M45" i="1"/>
  <c r="L45" i="1"/>
  <c r="K45" i="1"/>
  <c r="Q44" i="1"/>
  <c r="P44" i="1"/>
  <c r="O44" i="1"/>
  <c r="N44" i="1"/>
  <c r="M44" i="1"/>
  <c r="L44" i="1"/>
  <c r="K44" i="1"/>
  <c r="Q43" i="1"/>
  <c r="P43" i="1"/>
  <c r="O43" i="1"/>
  <c r="N43" i="1"/>
  <c r="M43" i="1"/>
  <c r="L43" i="1"/>
  <c r="K43" i="1"/>
  <c r="Q42" i="1"/>
  <c r="P42" i="1"/>
  <c r="O42" i="1"/>
  <c r="N42" i="1"/>
  <c r="M42" i="1"/>
  <c r="L42" i="1"/>
  <c r="K42" i="1"/>
  <c r="Q41" i="1"/>
  <c r="P41" i="1"/>
  <c r="O41" i="1"/>
  <c r="N41" i="1"/>
  <c r="M41" i="1"/>
  <c r="L41" i="1"/>
  <c r="K41" i="1"/>
  <c r="Q40" i="1"/>
  <c r="P40" i="1"/>
  <c r="O40" i="1"/>
  <c r="N40" i="1"/>
  <c r="M40" i="1"/>
  <c r="L40" i="1"/>
  <c r="K40" i="1"/>
  <c r="Q39" i="1"/>
  <c r="P39" i="1"/>
  <c r="O39" i="1"/>
  <c r="N39" i="1"/>
  <c r="M39" i="1"/>
  <c r="L39" i="1"/>
  <c r="K39" i="1"/>
  <c r="Q38" i="1"/>
  <c r="P38" i="1"/>
  <c r="O38" i="1"/>
  <c r="N38" i="1"/>
  <c r="M38" i="1"/>
  <c r="L38" i="1"/>
  <c r="K38" i="1"/>
  <c r="Q37" i="1"/>
  <c r="P37" i="1"/>
  <c r="O37" i="1"/>
  <c r="N37" i="1"/>
  <c r="M37" i="1"/>
  <c r="L37" i="1"/>
  <c r="K37" i="1"/>
  <c r="Q36" i="1"/>
  <c r="P36" i="1"/>
  <c r="O36" i="1"/>
  <c r="N36" i="1"/>
  <c r="M36" i="1"/>
  <c r="L36" i="1"/>
  <c r="K36" i="1"/>
  <c r="Q35" i="1"/>
  <c r="P35" i="1"/>
  <c r="O35" i="1"/>
  <c r="N35" i="1"/>
  <c r="M35" i="1"/>
  <c r="L35" i="1"/>
  <c r="K35" i="1"/>
  <c r="Q34" i="1"/>
  <c r="P34" i="1"/>
  <c r="O34" i="1"/>
  <c r="N34" i="1"/>
  <c r="M34" i="1"/>
  <c r="L34" i="1"/>
  <c r="K34" i="1"/>
  <c r="Q33" i="1"/>
  <c r="P33" i="1"/>
  <c r="O33" i="1"/>
  <c r="N33" i="1"/>
  <c r="M33" i="1"/>
  <c r="L33" i="1"/>
  <c r="K33" i="1"/>
  <c r="Q32" i="1"/>
  <c r="P32" i="1"/>
  <c r="O32" i="1"/>
  <c r="N32" i="1"/>
  <c r="M32" i="1"/>
  <c r="L32" i="1"/>
  <c r="K32" i="1"/>
  <c r="Q31" i="1"/>
  <c r="P31" i="1"/>
  <c r="O31" i="1"/>
  <c r="N31" i="1"/>
  <c r="M31" i="1"/>
  <c r="L31" i="1"/>
  <c r="K31" i="1"/>
  <c r="Q30" i="1"/>
  <c r="P30" i="1"/>
  <c r="O30" i="1"/>
  <c r="N30" i="1"/>
  <c r="M30" i="1"/>
  <c r="L30" i="1"/>
  <c r="K30" i="1"/>
  <c r="Q29" i="1"/>
  <c r="P29" i="1"/>
  <c r="O29" i="1"/>
  <c r="N29" i="1"/>
  <c r="M29" i="1"/>
  <c r="L29" i="1"/>
  <c r="K29" i="1"/>
  <c r="Q28" i="1"/>
  <c r="P28" i="1"/>
  <c r="O28" i="1"/>
  <c r="N28" i="1"/>
  <c r="M28" i="1"/>
  <c r="L28" i="1"/>
  <c r="K28" i="1"/>
  <c r="Q27" i="1"/>
  <c r="P27" i="1"/>
  <c r="O27" i="1"/>
  <c r="N27" i="1"/>
  <c r="M27" i="1"/>
  <c r="L27" i="1"/>
  <c r="K27" i="1"/>
  <c r="Q26" i="1"/>
  <c r="P26" i="1"/>
  <c r="O26" i="1"/>
  <c r="N26" i="1"/>
  <c r="M26" i="1"/>
  <c r="L26" i="1"/>
  <c r="K26" i="1"/>
  <c r="Q25" i="1"/>
  <c r="P25" i="1"/>
  <c r="O25" i="1"/>
  <c r="N25" i="1"/>
  <c r="M25" i="1"/>
  <c r="L25" i="1"/>
  <c r="K25" i="1"/>
  <c r="Q24" i="1"/>
  <c r="P24" i="1"/>
  <c r="O24" i="1"/>
  <c r="N24" i="1"/>
  <c r="M24" i="1"/>
  <c r="L24" i="1"/>
  <c r="K24" i="1"/>
  <c r="Q23" i="1"/>
  <c r="P23" i="1"/>
  <c r="O23" i="1"/>
  <c r="N23" i="1"/>
  <c r="M23" i="1"/>
  <c r="L23" i="1"/>
  <c r="K23" i="1"/>
  <c r="Q22" i="1"/>
  <c r="P22" i="1"/>
  <c r="O22" i="1"/>
  <c r="N22" i="1"/>
  <c r="M22" i="1"/>
  <c r="L22" i="1"/>
  <c r="K22" i="1"/>
  <c r="Q21" i="1"/>
  <c r="P21" i="1"/>
  <c r="O21" i="1"/>
  <c r="N21" i="1"/>
  <c r="M21" i="1"/>
  <c r="L21" i="1"/>
  <c r="K21" i="1"/>
  <c r="Q20" i="1"/>
  <c r="P20" i="1"/>
  <c r="O20" i="1"/>
  <c r="N20" i="1"/>
  <c r="M20" i="1"/>
  <c r="L20" i="1"/>
  <c r="K20" i="1"/>
  <c r="Q19" i="1"/>
  <c r="P19" i="1"/>
  <c r="O19" i="1"/>
  <c r="N19" i="1"/>
  <c r="M19" i="1"/>
  <c r="L19" i="1"/>
  <c r="K19" i="1"/>
  <c r="Q18" i="1"/>
  <c r="P18" i="1"/>
  <c r="O18" i="1"/>
  <c r="N18" i="1"/>
  <c r="M18" i="1"/>
  <c r="L18" i="1"/>
  <c r="K18" i="1"/>
  <c r="Q17" i="1"/>
  <c r="P17" i="1"/>
  <c r="O17" i="1"/>
  <c r="N17" i="1"/>
  <c r="M17" i="1"/>
  <c r="L17" i="1"/>
  <c r="K17" i="1"/>
  <c r="Q16" i="1"/>
  <c r="P16" i="1"/>
  <c r="O16" i="1"/>
  <c r="N16" i="1"/>
  <c r="M16" i="1"/>
  <c r="L16" i="1"/>
  <c r="K16" i="1"/>
  <c r="Q15" i="1"/>
  <c r="P15" i="1"/>
  <c r="O15" i="1"/>
  <c r="N15" i="1"/>
  <c r="M15" i="1"/>
  <c r="L15" i="1"/>
  <c r="K15" i="1"/>
  <c r="Q14" i="1"/>
  <c r="P14" i="1"/>
  <c r="O14" i="1"/>
  <c r="N14" i="1"/>
  <c r="M14" i="1"/>
  <c r="L14" i="1"/>
  <c r="K14" i="1"/>
  <c r="Q13" i="1"/>
  <c r="P13" i="1"/>
  <c r="O13" i="1"/>
  <c r="N13" i="1"/>
  <c r="M13" i="1"/>
  <c r="L13" i="1"/>
  <c r="K13" i="1"/>
  <c r="Q12" i="1"/>
  <c r="P12" i="1"/>
  <c r="O12" i="1"/>
  <c r="N12" i="1"/>
  <c r="M12" i="1"/>
  <c r="L12" i="1"/>
  <c r="K12" i="1"/>
  <c r="Q11" i="1"/>
  <c r="P11" i="1"/>
  <c r="O11" i="1"/>
  <c r="N11" i="1"/>
  <c r="M11" i="1"/>
  <c r="L11" i="1"/>
  <c r="K11" i="1"/>
  <c r="Q10" i="1"/>
  <c r="P10" i="1"/>
  <c r="O10" i="1"/>
  <c r="N10" i="1"/>
  <c r="M10" i="1"/>
  <c r="L10" i="1"/>
  <c r="K10" i="1"/>
  <c r="Q9" i="1"/>
  <c r="P9" i="1"/>
  <c r="O9" i="1"/>
  <c r="N9" i="1"/>
  <c r="M9" i="1"/>
  <c r="L9" i="1"/>
  <c r="K9" i="1"/>
  <c r="Q8" i="1"/>
  <c r="P8" i="1"/>
  <c r="O8" i="1"/>
  <c r="N8" i="1"/>
  <c r="M8" i="1"/>
  <c r="L8" i="1"/>
  <c r="K8" i="1"/>
  <c r="Q7" i="1"/>
  <c r="P7" i="1"/>
  <c r="O7" i="1"/>
  <c r="N7" i="1"/>
  <c r="M7" i="1"/>
  <c r="L7" i="1"/>
  <c r="K7" i="1"/>
  <c r="Q6" i="1"/>
  <c r="P6" i="1"/>
  <c r="O6" i="1"/>
  <c r="N6" i="1"/>
  <c r="M6" i="1"/>
  <c r="L6" i="1"/>
  <c r="K6" i="1"/>
  <c r="Q5" i="1"/>
  <c r="P5" i="1"/>
  <c r="O5" i="1"/>
  <c r="N5" i="1"/>
  <c r="M5" i="1"/>
  <c r="L5" i="1"/>
  <c r="K5" i="1"/>
  <c r="Q4" i="1"/>
  <c r="P4" i="1"/>
  <c r="O4" i="1"/>
  <c r="N4" i="1"/>
  <c r="M4" i="1"/>
  <c r="L4" i="1"/>
  <c r="K4" i="1"/>
  <c r="Q3" i="1"/>
  <c r="P3" i="1"/>
  <c r="O3" i="1"/>
  <c r="N3" i="1"/>
  <c r="M3" i="1"/>
  <c r="L3" i="1"/>
  <c r="K3" i="1"/>
  <c r="Q2" i="1"/>
  <c r="P2" i="1"/>
  <c r="O2" i="1"/>
  <c r="N2" i="1"/>
  <c r="M2" i="1"/>
  <c r="L2" i="1"/>
  <c r="K2" i="1"/>
  <c r="R1731" i="1" l="1"/>
  <c r="S1731" i="1" s="1"/>
  <c r="R1734" i="1"/>
  <c r="S1734" i="1" s="1"/>
  <c r="R1629" i="1"/>
  <c r="S1629" i="1" s="1"/>
  <c r="R1527" i="1"/>
  <c r="S1527" i="1" s="1"/>
  <c r="T1375" i="1"/>
  <c r="R1582" i="1"/>
  <c r="S1582" i="1" s="1"/>
  <c r="R1549" i="1"/>
  <c r="S1549" i="1" s="1"/>
  <c r="R1701" i="1"/>
  <c r="S1701" i="1" s="1"/>
  <c r="R1709" i="1"/>
  <c r="S1709" i="1" s="1"/>
  <c r="T1548" i="1"/>
  <c r="T1581" i="1"/>
  <c r="R1642" i="1"/>
  <c r="S1642" i="1" s="1"/>
  <c r="R1407" i="1"/>
  <c r="S1407" i="1" s="1"/>
  <c r="T1408" i="1"/>
  <c r="R1414" i="1"/>
  <c r="S1414" i="1" s="1"/>
  <c r="T1415" i="1"/>
  <c r="R1422" i="1"/>
  <c r="S1422" i="1" s="1"/>
  <c r="T1423" i="1"/>
  <c r="R1427" i="1"/>
  <c r="S1427" i="1" s="1"/>
  <c r="T1428" i="1"/>
  <c r="R1433" i="1"/>
  <c r="S1433" i="1" s="1"/>
  <c r="T1434" i="1"/>
  <c r="T1440" i="1"/>
  <c r="R1448" i="1"/>
  <c r="S1448" i="1" s="1"/>
  <c r="T1455" i="1"/>
  <c r="T1465" i="1"/>
  <c r="R1517" i="1"/>
  <c r="S1517" i="1" s="1"/>
  <c r="R1545" i="1"/>
  <c r="S1545" i="1" s="1"/>
  <c r="R1024" i="1"/>
  <c r="S1024" i="1" s="1"/>
  <c r="R1564" i="1"/>
  <c r="S1564" i="1" s="1"/>
  <c r="T1660" i="1"/>
  <c r="R1668" i="1"/>
  <c r="S1668" i="1" s="1"/>
  <c r="T1676" i="1"/>
  <c r="R1677" i="1"/>
  <c r="S1677" i="1" s="1"/>
  <c r="T1684" i="1"/>
  <c r="T1696" i="1"/>
  <c r="T651" i="1"/>
  <c r="T666" i="1"/>
  <c r="T721" i="1"/>
  <c r="T729" i="1"/>
  <c r="R1613" i="1"/>
  <c r="S1613" i="1" s="1"/>
  <c r="T1635" i="1"/>
  <c r="R1636" i="1"/>
  <c r="S1636" i="1" s="1"/>
  <c r="T1643" i="1"/>
  <c r="T1644" i="1"/>
  <c r="R1649" i="1"/>
  <c r="S1649" i="1" s="1"/>
  <c r="T1652" i="1"/>
  <c r="R1089" i="1"/>
  <c r="S1089" i="1" s="1"/>
  <c r="R1121" i="1"/>
  <c r="S1121" i="1" s="1"/>
  <c r="T1346" i="1"/>
  <c r="T1354" i="1"/>
  <c r="T1527" i="1"/>
  <c r="R1553" i="1"/>
  <c r="S1553" i="1" s="1"/>
  <c r="R1595" i="1"/>
  <c r="S1595" i="1" s="1"/>
  <c r="R1673" i="1"/>
  <c r="S1673" i="1" s="1"/>
  <c r="T1674" i="1"/>
  <c r="R1705" i="1"/>
  <c r="S1705" i="1" s="1"/>
  <c r="R1717" i="1"/>
  <c r="S1717" i="1" s="1"/>
  <c r="R506" i="1"/>
  <c r="S506" i="1" s="1"/>
  <c r="R1323" i="1"/>
  <c r="S1323" i="1" s="1"/>
  <c r="T1331" i="1"/>
  <c r="R1570" i="1"/>
  <c r="S1570" i="1" s="1"/>
  <c r="R1632" i="1"/>
  <c r="S1632" i="1" s="1"/>
  <c r="R1672" i="1"/>
  <c r="S1672" i="1" s="1"/>
  <c r="T1704" i="1"/>
  <c r="T505" i="1"/>
  <c r="T1139" i="1"/>
  <c r="R1214" i="1"/>
  <c r="S1214" i="1" s="1"/>
  <c r="T1300" i="1"/>
  <c r="R1528" i="1"/>
  <c r="S1528" i="1" s="1"/>
  <c r="T1561" i="1"/>
  <c r="T1631" i="1"/>
  <c r="T1664" i="1"/>
  <c r="R1110" i="1"/>
  <c r="S1110" i="1" s="1"/>
  <c r="R1558" i="1"/>
  <c r="S1558" i="1" s="1"/>
  <c r="R1592" i="1"/>
  <c r="S1592" i="1" s="1"/>
  <c r="R1602" i="1"/>
  <c r="S1602" i="1" s="1"/>
  <c r="R1621" i="1"/>
  <c r="S1621" i="1" s="1"/>
  <c r="R1663" i="1"/>
  <c r="S1663" i="1" s="1"/>
  <c r="R1093" i="1"/>
  <c r="S1093" i="1" s="1"/>
  <c r="T1096" i="1"/>
  <c r="R1101" i="1"/>
  <c r="S1101" i="1" s="1"/>
  <c r="R1539" i="1"/>
  <c r="S1539" i="1" s="1"/>
  <c r="T1557" i="1"/>
  <c r="T1599" i="1"/>
  <c r="T1601" i="1"/>
  <c r="T1615" i="1"/>
  <c r="R1653" i="1"/>
  <c r="S1653" i="1" s="1"/>
  <c r="T1661" i="1"/>
  <c r="R584" i="1"/>
  <c r="S584" i="1" s="1"/>
  <c r="R1103" i="1"/>
  <c r="S1103" i="1" s="1"/>
  <c r="R1104" i="1"/>
  <c r="S1104" i="1" s="1"/>
  <c r="T1149" i="1"/>
  <c r="T1292" i="1"/>
  <c r="T1335" i="1"/>
  <c r="T1350" i="1"/>
  <c r="R1385" i="1"/>
  <c r="S1385" i="1" s="1"/>
  <c r="R1409" i="1"/>
  <c r="S1409" i="1" s="1"/>
  <c r="R1416" i="1"/>
  <c r="S1416" i="1" s="1"/>
  <c r="R1429" i="1"/>
  <c r="S1429" i="1" s="1"/>
  <c r="R1435" i="1"/>
  <c r="S1435" i="1" s="1"/>
  <c r="T1443" i="1"/>
  <c r="T1517" i="1"/>
  <c r="R1533" i="1"/>
  <c r="S1533" i="1" s="1"/>
  <c r="T1553" i="1"/>
  <c r="T1575" i="1"/>
  <c r="T1577" i="1"/>
  <c r="T1586" i="1"/>
  <c r="T1624" i="1"/>
  <c r="R1635" i="1"/>
  <c r="S1635" i="1" s="1"/>
  <c r="R1645" i="1"/>
  <c r="S1645" i="1" s="1"/>
  <c r="R1654" i="1"/>
  <c r="S1654" i="1" s="1"/>
  <c r="T1662" i="1"/>
  <c r="R1665" i="1"/>
  <c r="S1665" i="1" s="1"/>
  <c r="T1666" i="1"/>
  <c r="R1676" i="1"/>
  <c r="S1676" i="1" s="1"/>
  <c r="R1686" i="1"/>
  <c r="S1686" i="1" s="1"/>
  <c r="R1692" i="1"/>
  <c r="S1692" i="1" s="1"/>
  <c r="T1700" i="1"/>
  <c r="T1720" i="1"/>
  <c r="R1726" i="1"/>
  <c r="S1726" i="1" s="1"/>
  <c r="R360" i="1"/>
  <c r="S360" i="1" s="1"/>
  <c r="T1050" i="1"/>
  <c r="R1052" i="1"/>
  <c r="S1052" i="1" s="1"/>
  <c r="T1072" i="1"/>
  <c r="T1140" i="1"/>
  <c r="R1254" i="1"/>
  <c r="S1254" i="1" s="1"/>
  <c r="R1292" i="1"/>
  <c r="S1292" i="1" s="1"/>
  <c r="T1308" i="1"/>
  <c r="T1323" i="1"/>
  <c r="T1362" i="1"/>
  <c r="R1408" i="1"/>
  <c r="S1408" i="1" s="1"/>
  <c r="R1415" i="1"/>
  <c r="S1415" i="1" s="1"/>
  <c r="R1423" i="1"/>
  <c r="S1423" i="1" s="1"/>
  <c r="R1428" i="1"/>
  <c r="S1428" i="1" s="1"/>
  <c r="R1434" i="1"/>
  <c r="S1434" i="1" s="1"/>
  <c r="R1441" i="1"/>
  <c r="S1441" i="1" s="1"/>
  <c r="T1449" i="1"/>
  <c r="R1456" i="1"/>
  <c r="S1456" i="1" s="1"/>
  <c r="T1462" i="1"/>
  <c r="R1552" i="1"/>
  <c r="S1552" i="1" s="1"/>
  <c r="R1594" i="1"/>
  <c r="S1594" i="1" s="1"/>
  <c r="T1613" i="1"/>
  <c r="T1630" i="1"/>
  <c r="R1631" i="1"/>
  <c r="S1631" i="1" s="1"/>
  <c r="T1642" i="1"/>
  <c r="R1652" i="1"/>
  <c r="S1652" i="1" s="1"/>
  <c r="T1654" i="1"/>
  <c r="R1661" i="1"/>
  <c r="S1661" i="1" s="1"/>
  <c r="T1663" i="1"/>
  <c r="R1664" i="1"/>
  <c r="S1664" i="1" s="1"/>
  <c r="T1673" i="1"/>
  <c r="T1686" i="1"/>
  <c r="R1696" i="1"/>
  <c r="S1696" i="1" s="1"/>
  <c r="R1720" i="1"/>
  <c r="S1720" i="1" s="1"/>
  <c r="T1734" i="1"/>
  <c r="T737" i="1"/>
  <c r="T745" i="1"/>
  <c r="T753" i="1"/>
  <c r="T761" i="1"/>
  <c r="T769" i="1"/>
  <c r="T777" i="1"/>
  <c r="T785" i="1"/>
  <c r="T793" i="1"/>
  <c r="T801" i="1"/>
  <c r="T809" i="1"/>
  <c r="T881" i="1"/>
  <c r="T936" i="1"/>
  <c r="R942" i="1"/>
  <c r="S942" i="1" s="1"/>
  <c r="T992" i="1"/>
  <c r="R1092" i="1"/>
  <c r="S1092" i="1" s="1"/>
  <c r="R1194" i="1"/>
  <c r="S1194" i="1" s="1"/>
  <c r="R1202" i="1"/>
  <c r="S1202" i="1" s="1"/>
  <c r="T1213" i="1"/>
  <c r="T1273" i="1"/>
  <c r="T1284" i="1"/>
  <c r="T1371" i="1"/>
  <c r="T1406" i="1"/>
  <c r="T1407" i="1"/>
  <c r="T1413" i="1"/>
  <c r="T1414" i="1"/>
  <c r="T1421" i="1"/>
  <c r="T1422" i="1"/>
  <c r="T1426" i="1"/>
  <c r="T1427" i="1"/>
  <c r="T1432" i="1"/>
  <c r="T1433" i="1"/>
  <c r="R1447" i="1"/>
  <c r="S1447" i="1" s="1"/>
  <c r="T1448" i="1"/>
  <c r="R1454" i="1"/>
  <c r="S1454" i="1" s="1"/>
  <c r="R1461" i="1"/>
  <c r="S1461" i="1" s="1"/>
  <c r="R1466" i="1"/>
  <c r="S1466" i="1" s="1"/>
  <c r="T1479" i="1"/>
  <c r="T1495" i="1"/>
  <c r="T1511" i="1"/>
  <c r="T1516" i="1"/>
  <c r="R1519" i="1"/>
  <c r="S1519" i="1" s="1"/>
  <c r="T1520" i="1"/>
  <c r="R1538" i="1"/>
  <c r="S1538" i="1" s="1"/>
  <c r="T1550" i="1"/>
  <c r="T1564" i="1"/>
  <c r="R1576" i="1"/>
  <c r="S1576" i="1" s="1"/>
  <c r="R1581" i="1"/>
  <c r="S1581" i="1" s="1"/>
  <c r="T1582" i="1"/>
  <c r="R1591" i="1"/>
  <c r="S1591" i="1" s="1"/>
  <c r="T1593" i="1"/>
  <c r="R1604" i="1"/>
  <c r="S1604" i="1" s="1"/>
  <c r="T1605" i="1"/>
  <c r="R1620" i="1"/>
  <c r="S1620" i="1" s="1"/>
  <c r="T1622" i="1"/>
  <c r="T1629" i="1"/>
  <c r="T1651" i="1"/>
  <c r="R1660" i="1"/>
  <c r="S1660" i="1" s="1"/>
  <c r="T1672" i="1"/>
  <c r="R1689" i="1"/>
  <c r="S1689" i="1" s="1"/>
  <c r="R1695" i="1"/>
  <c r="S1695" i="1" s="1"/>
  <c r="R1707" i="1"/>
  <c r="S1707" i="1" s="1"/>
  <c r="T1708" i="1"/>
  <c r="T1731" i="1"/>
  <c r="T532" i="1"/>
  <c r="R1077" i="1"/>
  <c r="S1077" i="1" s="1"/>
  <c r="R1087" i="1"/>
  <c r="S1087" i="1" s="1"/>
  <c r="R1091" i="1"/>
  <c r="S1091" i="1" s="1"/>
  <c r="R1122" i="1"/>
  <c r="S1122" i="1" s="1"/>
  <c r="R1193" i="1"/>
  <c r="S1193" i="1" s="1"/>
  <c r="T1272" i="1"/>
  <c r="T1296" i="1"/>
  <c r="T1316" i="1"/>
  <c r="T1381" i="1"/>
  <c r="T1389" i="1"/>
  <c r="R1405" i="1"/>
  <c r="S1405" i="1" s="1"/>
  <c r="R1412" i="1"/>
  <c r="S1412" i="1" s="1"/>
  <c r="R1420" i="1"/>
  <c r="S1420" i="1" s="1"/>
  <c r="R1431" i="1"/>
  <c r="S1431" i="1" s="1"/>
  <c r="T1447" i="1"/>
  <c r="T1461" i="1"/>
  <c r="T1468" i="1"/>
  <c r="T1519" i="1"/>
  <c r="R1526" i="1"/>
  <c r="S1526" i="1" s="1"/>
  <c r="R1541" i="1"/>
  <c r="S1541" i="1" s="1"/>
  <c r="T1547" i="1"/>
  <c r="T1549" i="1"/>
  <c r="T1562" i="1"/>
  <c r="T1570" i="1"/>
  <c r="R1588" i="1"/>
  <c r="S1588" i="1" s="1"/>
  <c r="T1590" i="1"/>
  <c r="T1591" i="1"/>
  <c r="T1602" i="1"/>
  <c r="T1611" i="1"/>
  <c r="R1617" i="1"/>
  <c r="S1617" i="1" s="1"/>
  <c r="T1620" i="1"/>
  <c r="T1640" i="1"/>
  <c r="R1651" i="1"/>
  <c r="S1651" i="1" s="1"/>
  <c r="R1656" i="1"/>
  <c r="S1656" i="1" s="1"/>
  <c r="R1680" i="1"/>
  <c r="S1680" i="1" s="1"/>
  <c r="R1694" i="1"/>
  <c r="S1694" i="1" s="1"/>
  <c r="T1705" i="1"/>
  <c r="R1713" i="1"/>
  <c r="S1713" i="1" s="1"/>
  <c r="R1727" i="1"/>
  <c r="S1727" i="1" s="1"/>
  <c r="R1730" i="1"/>
  <c r="S1730" i="1" s="1"/>
  <c r="T1732" i="1"/>
  <c r="R32" i="1"/>
  <c r="S32" i="1" s="1"/>
  <c r="T40" i="1"/>
  <c r="T89" i="1"/>
  <c r="R103" i="1"/>
  <c r="S103" i="1" s="1"/>
  <c r="R1075" i="1"/>
  <c r="S1075" i="1" s="1"/>
  <c r="R1081" i="1"/>
  <c r="S1081" i="1" s="1"/>
  <c r="R1166" i="1"/>
  <c r="S1166" i="1" s="1"/>
  <c r="R1182" i="1"/>
  <c r="S1182" i="1" s="1"/>
  <c r="R1265" i="1"/>
  <c r="S1265" i="1" s="1"/>
  <c r="T1312" i="1"/>
  <c r="T1327" i="1"/>
  <c r="R1404" i="1"/>
  <c r="S1404" i="1" s="1"/>
  <c r="R1411" i="1"/>
  <c r="S1411" i="1" s="1"/>
  <c r="R1419" i="1"/>
  <c r="S1419" i="1" s="1"/>
  <c r="R1425" i="1"/>
  <c r="S1425" i="1" s="1"/>
  <c r="R1430" i="1"/>
  <c r="S1430" i="1" s="1"/>
  <c r="R1438" i="1"/>
  <c r="S1438" i="1" s="1"/>
  <c r="R1445" i="1"/>
  <c r="S1445" i="1" s="1"/>
  <c r="R1452" i="1"/>
  <c r="S1452" i="1" s="1"/>
  <c r="R1459" i="1"/>
  <c r="S1459" i="1" s="1"/>
  <c r="R1473" i="1"/>
  <c r="S1473" i="1" s="1"/>
  <c r="R1487" i="1"/>
  <c r="S1487" i="1" s="1"/>
  <c r="R1503" i="1"/>
  <c r="S1503" i="1" s="1"/>
  <c r="T1518" i="1"/>
  <c r="T1525" i="1"/>
  <c r="T1526" i="1"/>
  <c r="T1528" i="1"/>
  <c r="R1536" i="1"/>
  <c r="S1536" i="1" s="1"/>
  <c r="R1537" i="1"/>
  <c r="S1537" i="1" s="1"/>
  <c r="T1552" i="1"/>
  <c r="R1561" i="1"/>
  <c r="S1561" i="1" s="1"/>
  <c r="T1579" i="1"/>
  <c r="T1600" i="1"/>
  <c r="T1619" i="1"/>
  <c r="R1628" i="1"/>
  <c r="S1628" i="1" s="1"/>
  <c r="R1639" i="1"/>
  <c r="S1639" i="1" s="1"/>
  <c r="T1668" i="1"/>
  <c r="R1681" i="1"/>
  <c r="S1681" i="1" s="1"/>
  <c r="R1704" i="1"/>
  <c r="S1704" i="1" s="1"/>
  <c r="R1714" i="1"/>
  <c r="S1714" i="1" s="1"/>
  <c r="T1730" i="1"/>
  <c r="T1080" i="1"/>
  <c r="R1105" i="1"/>
  <c r="S1105" i="1" s="1"/>
  <c r="T1121" i="1"/>
  <c r="T1161" i="1"/>
  <c r="R1255" i="1"/>
  <c r="S1255" i="1" s="1"/>
  <c r="R1262" i="1"/>
  <c r="S1262" i="1" s="1"/>
  <c r="T1288" i="1"/>
  <c r="T1304" i="1"/>
  <c r="R1342" i="1"/>
  <c r="S1342" i="1" s="1"/>
  <c r="T1355" i="1"/>
  <c r="T1367" i="1"/>
  <c r="R1403" i="1"/>
  <c r="S1403" i="1" s="1"/>
  <c r="T1404" i="1"/>
  <c r="R1410" i="1"/>
  <c r="S1410" i="1" s="1"/>
  <c r="T1411" i="1"/>
  <c r="R1418" i="1"/>
  <c r="S1418" i="1" s="1"/>
  <c r="T1419" i="1"/>
  <c r="T1425" i="1"/>
  <c r="T1430" i="1"/>
  <c r="R1437" i="1"/>
  <c r="S1437" i="1" s="1"/>
  <c r="R1444" i="1"/>
  <c r="S1444" i="1" s="1"/>
  <c r="R1451" i="1"/>
  <c r="S1451" i="1" s="1"/>
  <c r="R1458" i="1"/>
  <c r="S1458" i="1" s="1"/>
  <c r="R1544" i="1"/>
  <c r="S1544" i="1" s="1"/>
  <c r="T1545" i="1"/>
  <c r="R1554" i="1"/>
  <c r="S1554" i="1" s="1"/>
  <c r="T1558" i="1"/>
  <c r="R1568" i="1"/>
  <c r="S1568" i="1" s="1"/>
  <c r="T1569" i="1"/>
  <c r="R1590" i="1"/>
  <c r="S1590" i="1" s="1"/>
  <c r="T1610" i="1"/>
  <c r="R1619" i="1"/>
  <c r="S1619" i="1" s="1"/>
  <c r="R1624" i="1"/>
  <c r="S1624" i="1" s="1"/>
  <c r="T1656" i="1"/>
  <c r="R1679" i="1"/>
  <c r="S1679" i="1" s="1"/>
  <c r="T1680" i="1"/>
  <c r="T1692" i="1"/>
  <c r="T1701" i="1"/>
  <c r="T1721" i="1"/>
  <c r="R1079" i="1"/>
  <c r="S1079" i="1" s="1"/>
  <c r="T1104" i="1"/>
  <c r="R1129" i="1"/>
  <c r="S1129" i="1" s="1"/>
  <c r="R1150" i="1"/>
  <c r="S1150" i="1" s="1"/>
  <c r="T1254" i="1"/>
  <c r="R1261" i="1"/>
  <c r="S1261" i="1" s="1"/>
  <c r="T1319" i="1"/>
  <c r="R1366" i="1"/>
  <c r="S1366" i="1" s="1"/>
  <c r="T1403" i="1"/>
  <c r="T1410" i="1"/>
  <c r="T1417" i="1"/>
  <c r="T1418" i="1"/>
  <c r="T1424" i="1"/>
  <c r="T1436" i="1"/>
  <c r="T1437" i="1"/>
  <c r="R1443" i="1"/>
  <c r="S1443" i="1" s="1"/>
  <c r="T1451" i="1"/>
  <c r="T1464" i="1"/>
  <c r="R1483" i="1"/>
  <c r="S1483" i="1" s="1"/>
  <c r="R1491" i="1"/>
  <c r="S1491" i="1" s="1"/>
  <c r="R1499" i="1"/>
  <c r="S1499" i="1" s="1"/>
  <c r="R1507" i="1"/>
  <c r="S1507" i="1" s="1"/>
  <c r="R1515" i="1"/>
  <c r="S1515" i="1" s="1"/>
  <c r="T1524" i="1"/>
  <c r="R1532" i="1"/>
  <c r="S1532" i="1" s="1"/>
  <c r="T1567" i="1"/>
  <c r="T1568" i="1"/>
  <c r="R1575" i="1"/>
  <c r="S1575" i="1" s="1"/>
  <c r="T1589" i="1"/>
  <c r="T1609" i="1"/>
  <c r="R1625" i="1"/>
  <c r="S1625" i="1" s="1"/>
  <c r="T1636" i="1"/>
  <c r="T1677" i="1"/>
  <c r="R1685" i="1"/>
  <c r="S1685" i="1" s="1"/>
  <c r="R1697" i="1"/>
  <c r="S1697" i="1" s="1"/>
  <c r="R1700" i="1"/>
  <c r="S1700" i="1" s="1"/>
  <c r="T1702" i="1"/>
  <c r="T1712" i="1"/>
  <c r="T1405" i="1"/>
  <c r="R1406" i="1"/>
  <c r="S1406" i="1" s="1"/>
  <c r="T1409" i="1"/>
  <c r="T1412" i="1"/>
  <c r="R1413" i="1"/>
  <c r="S1413" i="1" s="1"/>
  <c r="T1416" i="1"/>
  <c r="R1417" i="1"/>
  <c r="S1417" i="1" s="1"/>
  <c r="T1420" i="1"/>
  <c r="R1421" i="1"/>
  <c r="S1421" i="1" s="1"/>
  <c r="R1424" i="1"/>
  <c r="S1424" i="1" s="1"/>
  <c r="R1426" i="1"/>
  <c r="S1426" i="1" s="1"/>
  <c r="T1429" i="1"/>
  <c r="T1431" i="1"/>
  <c r="R1432" i="1"/>
  <c r="S1432" i="1" s="1"/>
  <c r="T1435" i="1"/>
  <c r="R1436" i="1"/>
  <c r="S1436" i="1" s="1"/>
  <c r="R1440" i="1"/>
  <c r="S1440" i="1" s="1"/>
  <c r="T1444" i="1"/>
  <c r="R1450" i="1"/>
  <c r="S1450" i="1" s="1"/>
  <c r="T1450" i="1"/>
  <c r="T1454" i="1"/>
  <c r="R1455" i="1"/>
  <c r="S1455" i="1" s="1"/>
  <c r="T1458" i="1"/>
  <c r="R1463" i="1"/>
  <c r="S1463" i="1" s="1"/>
  <c r="T1463" i="1"/>
  <c r="R1464" i="1"/>
  <c r="S1464" i="1" s="1"/>
  <c r="R1465" i="1"/>
  <c r="S1465" i="1" s="1"/>
  <c r="R1469" i="1"/>
  <c r="S1469" i="1" s="1"/>
  <c r="T1469" i="1"/>
  <c r="T1480" i="1"/>
  <c r="R1480" i="1"/>
  <c r="S1480" i="1" s="1"/>
  <c r="T1481" i="1"/>
  <c r="R1481" i="1"/>
  <c r="S1481" i="1" s="1"/>
  <c r="R1482" i="1"/>
  <c r="S1482" i="1" s="1"/>
  <c r="T1482" i="1"/>
  <c r="T1496" i="1"/>
  <c r="R1496" i="1"/>
  <c r="S1496" i="1" s="1"/>
  <c r="T1497" i="1"/>
  <c r="R1497" i="1"/>
  <c r="S1497" i="1" s="1"/>
  <c r="R1498" i="1"/>
  <c r="S1498" i="1" s="1"/>
  <c r="T1498" i="1"/>
  <c r="T1512" i="1"/>
  <c r="R1512" i="1"/>
  <c r="S1512" i="1" s="1"/>
  <c r="T1513" i="1"/>
  <c r="R1513" i="1"/>
  <c r="S1513" i="1" s="1"/>
  <c r="R1514" i="1"/>
  <c r="S1514" i="1" s="1"/>
  <c r="T1514" i="1"/>
  <c r="R1524" i="1"/>
  <c r="S1524" i="1" s="1"/>
  <c r="T1530" i="1"/>
  <c r="R1530" i="1"/>
  <c r="S1530" i="1" s="1"/>
  <c r="R1531" i="1"/>
  <c r="S1531" i="1" s="1"/>
  <c r="T1531" i="1"/>
  <c r="T1536" i="1"/>
  <c r="T1544" i="1"/>
  <c r="R1548" i="1"/>
  <c r="S1548" i="1" s="1"/>
  <c r="R1550" i="1"/>
  <c r="S1550" i="1" s="1"/>
  <c r="R1560" i="1"/>
  <c r="S1560" i="1" s="1"/>
  <c r="T1563" i="1"/>
  <c r="T1646" i="1"/>
  <c r="T1445" i="1"/>
  <c r="T1459" i="1"/>
  <c r="T1483" i="1"/>
  <c r="T1499" i="1"/>
  <c r="T1515" i="1"/>
  <c r="T1532" i="1"/>
  <c r="T1533" i="1"/>
  <c r="T1538" i="1"/>
  <c r="T1546" i="1"/>
  <c r="R1546" i="1"/>
  <c r="S1546" i="1" s="1"/>
  <c r="R1574" i="1"/>
  <c r="S1574" i="1" s="1"/>
  <c r="T1574" i="1"/>
  <c r="T1724" i="1"/>
  <c r="R1724" i="1"/>
  <c r="S1724" i="1" s="1"/>
  <c r="R1446" i="1"/>
  <c r="S1446" i="1" s="1"/>
  <c r="T1446" i="1"/>
  <c r="R1460" i="1"/>
  <c r="S1460" i="1" s="1"/>
  <c r="T1460" i="1"/>
  <c r="R1468" i="1"/>
  <c r="S1468" i="1" s="1"/>
  <c r="T1470" i="1"/>
  <c r="R1470" i="1"/>
  <c r="S1470" i="1" s="1"/>
  <c r="T1471" i="1"/>
  <c r="R1471" i="1"/>
  <c r="S1471" i="1" s="1"/>
  <c r="R1472" i="1"/>
  <c r="S1472" i="1" s="1"/>
  <c r="T1472" i="1"/>
  <c r="T1484" i="1"/>
  <c r="R1484" i="1"/>
  <c r="S1484" i="1" s="1"/>
  <c r="T1485" i="1"/>
  <c r="R1485" i="1"/>
  <c r="S1485" i="1" s="1"/>
  <c r="R1486" i="1"/>
  <c r="S1486" i="1" s="1"/>
  <c r="T1486" i="1"/>
  <c r="T1500" i="1"/>
  <c r="R1500" i="1"/>
  <c r="S1500" i="1" s="1"/>
  <c r="T1501" i="1"/>
  <c r="R1501" i="1"/>
  <c r="S1501" i="1" s="1"/>
  <c r="R1502" i="1"/>
  <c r="S1502" i="1" s="1"/>
  <c r="T1502" i="1"/>
  <c r="R1518" i="1"/>
  <c r="S1518" i="1" s="1"/>
  <c r="T1534" i="1"/>
  <c r="R1534" i="1"/>
  <c r="S1534" i="1" s="1"/>
  <c r="T1535" i="1"/>
  <c r="T1537" i="1"/>
  <c r="T1539" i="1"/>
  <c r="R1540" i="1"/>
  <c r="S1540" i="1" s="1"/>
  <c r="T1540" i="1"/>
  <c r="T1543" i="1"/>
  <c r="R1716" i="1"/>
  <c r="S1716" i="1" s="1"/>
  <c r="T1716" i="1"/>
  <c r="T1441" i="1"/>
  <c r="T1456" i="1"/>
  <c r="T1466" i="1"/>
  <c r="T1473" i="1"/>
  <c r="T1487" i="1"/>
  <c r="T1503" i="1"/>
  <c r="R1516" i="1"/>
  <c r="S1516" i="1" s="1"/>
  <c r="T1542" i="1"/>
  <c r="T1571" i="1"/>
  <c r="T1572" i="1"/>
  <c r="T1580" i="1"/>
  <c r="R1580" i="1"/>
  <c r="S1580" i="1" s="1"/>
  <c r="R1584" i="1"/>
  <c r="S1584" i="1" s="1"/>
  <c r="R1442" i="1"/>
  <c r="S1442" i="1" s="1"/>
  <c r="T1442" i="1"/>
  <c r="R1457" i="1"/>
  <c r="S1457" i="1" s="1"/>
  <c r="T1457" i="1"/>
  <c r="R1467" i="1"/>
  <c r="S1467" i="1" s="1"/>
  <c r="T1467" i="1"/>
  <c r="T1474" i="1"/>
  <c r="R1474" i="1"/>
  <c r="S1474" i="1" s="1"/>
  <c r="T1475" i="1"/>
  <c r="R1475" i="1"/>
  <c r="S1475" i="1" s="1"/>
  <c r="R1476" i="1"/>
  <c r="S1476" i="1" s="1"/>
  <c r="T1476" i="1"/>
  <c r="T1488" i="1"/>
  <c r="R1488" i="1"/>
  <c r="S1488" i="1" s="1"/>
  <c r="T1489" i="1"/>
  <c r="R1489" i="1"/>
  <c r="S1489" i="1" s="1"/>
  <c r="R1490" i="1"/>
  <c r="S1490" i="1" s="1"/>
  <c r="T1490" i="1"/>
  <c r="T1504" i="1"/>
  <c r="R1504" i="1"/>
  <c r="S1504" i="1" s="1"/>
  <c r="T1505" i="1"/>
  <c r="R1505" i="1"/>
  <c r="S1505" i="1" s="1"/>
  <c r="R1506" i="1"/>
  <c r="S1506" i="1" s="1"/>
  <c r="T1506" i="1"/>
  <c r="R1535" i="1"/>
  <c r="S1535" i="1" s="1"/>
  <c r="T1541" i="1"/>
  <c r="R1543" i="1"/>
  <c r="S1543" i="1" s="1"/>
  <c r="R1555" i="1"/>
  <c r="S1555" i="1" s="1"/>
  <c r="R1569" i="1"/>
  <c r="S1569" i="1" s="1"/>
  <c r="T1607" i="1"/>
  <c r="R1607" i="1"/>
  <c r="S1607" i="1" s="1"/>
  <c r="T1693" i="1"/>
  <c r="R1693" i="1"/>
  <c r="S1693" i="1" s="1"/>
  <c r="T1438" i="1"/>
  <c r="T1452" i="1"/>
  <c r="T1491" i="1"/>
  <c r="T1507" i="1"/>
  <c r="R1520" i="1"/>
  <c r="S1520" i="1" s="1"/>
  <c r="R1525" i="1"/>
  <c r="S1525" i="1" s="1"/>
  <c r="T1566" i="1"/>
  <c r="R1566" i="1"/>
  <c r="S1566" i="1" s="1"/>
  <c r="R1571" i="1"/>
  <c r="S1571" i="1" s="1"/>
  <c r="R1688" i="1"/>
  <c r="S1688" i="1" s="1"/>
  <c r="T1688" i="1"/>
  <c r="R1565" i="1"/>
  <c r="S1565" i="1" s="1"/>
  <c r="T1565" i="1"/>
  <c r="R1439" i="1"/>
  <c r="S1439" i="1" s="1"/>
  <c r="T1439" i="1"/>
  <c r="R1449" i="1"/>
  <c r="S1449" i="1" s="1"/>
  <c r="R1453" i="1"/>
  <c r="S1453" i="1" s="1"/>
  <c r="T1453" i="1"/>
  <c r="R1462" i="1"/>
  <c r="S1462" i="1" s="1"/>
  <c r="T1477" i="1"/>
  <c r="R1477" i="1"/>
  <c r="S1477" i="1" s="1"/>
  <c r="R1478" i="1"/>
  <c r="S1478" i="1" s="1"/>
  <c r="T1478" i="1"/>
  <c r="R1479" i="1"/>
  <c r="S1479" i="1" s="1"/>
  <c r="T1492" i="1"/>
  <c r="R1492" i="1"/>
  <c r="S1492" i="1" s="1"/>
  <c r="T1493" i="1"/>
  <c r="R1493" i="1"/>
  <c r="S1493" i="1" s="1"/>
  <c r="R1494" i="1"/>
  <c r="S1494" i="1" s="1"/>
  <c r="T1494" i="1"/>
  <c r="R1495" i="1"/>
  <c r="S1495" i="1" s="1"/>
  <c r="T1508" i="1"/>
  <c r="R1508" i="1"/>
  <c r="S1508" i="1" s="1"/>
  <c r="T1509" i="1"/>
  <c r="R1509" i="1"/>
  <c r="S1509" i="1" s="1"/>
  <c r="R1510" i="1"/>
  <c r="S1510" i="1" s="1"/>
  <c r="T1510" i="1"/>
  <c r="R1511" i="1"/>
  <c r="S1511" i="1" s="1"/>
  <c r="T1522" i="1"/>
  <c r="R1522" i="1"/>
  <c r="S1522" i="1" s="1"/>
  <c r="T1523" i="1"/>
  <c r="R1523" i="1"/>
  <c r="S1523" i="1" s="1"/>
  <c r="R1562" i="1"/>
  <c r="S1562" i="1" s="1"/>
  <c r="R1600" i="1"/>
  <c r="S1600" i="1" s="1"/>
  <c r="R1606" i="1"/>
  <c r="S1606" i="1" s="1"/>
  <c r="T1606" i="1"/>
  <c r="R1667" i="1"/>
  <c r="S1667" i="1" s="1"/>
  <c r="T1667" i="1"/>
  <c r="R1521" i="1"/>
  <c r="S1521" i="1" s="1"/>
  <c r="T1521" i="1"/>
  <c r="R1542" i="1"/>
  <c r="S1542" i="1" s="1"/>
  <c r="R1547" i="1"/>
  <c r="S1547" i="1" s="1"/>
  <c r="T1551" i="1"/>
  <c r="T1554" i="1"/>
  <c r="R1556" i="1"/>
  <c r="S1556" i="1" s="1"/>
  <c r="R1557" i="1"/>
  <c r="S1557" i="1" s="1"/>
  <c r="T1559" i="1"/>
  <c r="T1560" i="1"/>
  <c r="R1567" i="1"/>
  <c r="S1567" i="1" s="1"/>
  <c r="T1583" i="1"/>
  <c r="T1585" i="1"/>
  <c r="R1598" i="1"/>
  <c r="S1598" i="1" s="1"/>
  <c r="R1599" i="1"/>
  <c r="S1599" i="1" s="1"/>
  <c r="R1603" i="1"/>
  <c r="S1603" i="1" s="1"/>
  <c r="T1616" i="1"/>
  <c r="T1639" i="1"/>
  <c r="R1644" i="1"/>
  <c r="S1644" i="1" s="1"/>
  <c r="R1669" i="1"/>
  <c r="S1669" i="1" s="1"/>
  <c r="T1555" i="1"/>
  <c r="T1556" i="1"/>
  <c r="R1563" i="1"/>
  <c r="S1563" i="1" s="1"/>
  <c r="R1578" i="1"/>
  <c r="S1578" i="1" s="1"/>
  <c r="T1594" i="1"/>
  <c r="T1598" i="1"/>
  <c r="T1603" i="1"/>
  <c r="R1608" i="1"/>
  <c r="S1608" i="1" s="1"/>
  <c r="T1628" i="1"/>
  <c r="T1638" i="1"/>
  <c r="R1529" i="1"/>
  <c r="S1529" i="1" s="1"/>
  <c r="T1529" i="1"/>
  <c r="R1551" i="1"/>
  <c r="S1551" i="1" s="1"/>
  <c r="R1559" i="1"/>
  <c r="S1559" i="1" s="1"/>
  <c r="T1578" i="1"/>
  <c r="R1583" i="1"/>
  <c r="S1583" i="1" s="1"/>
  <c r="R1593" i="1"/>
  <c r="S1593" i="1" s="1"/>
  <c r="T1595" i="1"/>
  <c r="R1596" i="1"/>
  <c r="S1596" i="1" s="1"/>
  <c r="T1597" i="1"/>
  <c r="T1612" i="1"/>
  <c r="R1612" i="1"/>
  <c r="S1612" i="1" s="1"/>
  <c r="R1614" i="1"/>
  <c r="S1614" i="1" s="1"/>
  <c r="T1618" i="1"/>
  <c r="R1633" i="1"/>
  <c r="S1633" i="1" s="1"/>
  <c r="T1634" i="1"/>
  <c r="R1648" i="1"/>
  <c r="S1648" i="1" s="1"/>
  <c r="T1648" i="1"/>
  <c r="T1659" i="1"/>
  <c r="R1627" i="1"/>
  <c r="S1627" i="1" s="1"/>
  <c r="T1647" i="1"/>
  <c r="T1650" i="1"/>
  <c r="R1572" i="1"/>
  <c r="S1572" i="1" s="1"/>
  <c r="T1573" i="1"/>
  <c r="R1587" i="1"/>
  <c r="S1587" i="1" s="1"/>
  <c r="T1587" i="1"/>
  <c r="R1610" i="1"/>
  <c r="S1610" i="1" s="1"/>
  <c r="R1623" i="1"/>
  <c r="S1623" i="1" s="1"/>
  <c r="T1623" i="1"/>
  <c r="T1627" i="1"/>
  <c r="T1632" i="1"/>
  <c r="R1637" i="1"/>
  <c r="S1637" i="1" s="1"/>
  <c r="R1643" i="1"/>
  <c r="S1643" i="1" s="1"/>
  <c r="R1657" i="1"/>
  <c r="S1657" i="1" s="1"/>
  <c r="T1658" i="1"/>
  <c r="T1695" i="1"/>
  <c r="T1726" i="1"/>
  <c r="R1622" i="1"/>
  <c r="S1622" i="1" s="1"/>
  <c r="T1626" i="1"/>
  <c r="T1641" i="1"/>
  <c r="R1641" i="1"/>
  <c r="S1641" i="1" s="1"/>
  <c r="R1655" i="1"/>
  <c r="S1655" i="1" s="1"/>
  <c r="T1655" i="1"/>
  <c r="T1679" i="1"/>
  <c r="T1707" i="1"/>
  <c r="R1708" i="1"/>
  <c r="S1708" i="1" s="1"/>
  <c r="T1714" i="1"/>
  <c r="R1725" i="1"/>
  <c r="S1725" i="1" s="1"/>
  <c r="T1588" i="1"/>
  <c r="R1601" i="1"/>
  <c r="S1601" i="1" s="1"/>
  <c r="T1617" i="1"/>
  <c r="R1630" i="1"/>
  <c r="S1630" i="1" s="1"/>
  <c r="T1649" i="1"/>
  <c r="R1662" i="1"/>
  <c r="S1662" i="1" s="1"/>
  <c r="R1678" i="1"/>
  <c r="S1678" i="1" s="1"/>
  <c r="T1689" i="1"/>
  <c r="T1694" i="1"/>
  <c r="R1706" i="1"/>
  <c r="S1706" i="1" s="1"/>
  <c r="T1717" i="1"/>
  <c r="R1719" i="1"/>
  <c r="S1719" i="1" s="1"/>
  <c r="T1719" i="1"/>
  <c r="T1725" i="1"/>
  <c r="T1576" i="1"/>
  <c r="R1589" i="1"/>
  <c r="S1589" i="1" s="1"/>
  <c r="T1608" i="1"/>
  <c r="R1618" i="1"/>
  <c r="S1618" i="1" s="1"/>
  <c r="T1637" i="1"/>
  <c r="R1650" i="1"/>
  <c r="S1650" i="1" s="1"/>
  <c r="T1669" i="1"/>
  <c r="R1671" i="1"/>
  <c r="S1671" i="1" s="1"/>
  <c r="T1671" i="1"/>
  <c r="T1678" i="1"/>
  <c r="R1690" i="1"/>
  <c r="S1690" i="1" s="1"/>
  <c r="T1697" i="1"/>
  <c r="R1699" i="1"/>
  <c r="S1699" i="1" s="1"/>
  <c r="T1699" i="1"/>
  <c r="T1706" i="1"/>
  <c r="R1718" i="1"/>
  <c r="S1718" i="1" s="1"/>
  <c r="T1727" i="1"/>
  <c r="R1729" i="1"/>
  <c r="S1729" i="1" s="1"/>
  <c r="T1729" i="1"/>
  <c r="R1577" i="1"/>
  <c r="S1577" i="1" s="1"/>
  <c r="T1596" i="1"/>
  <c r="R1609" i="1"/>
  <c r="S1609" i="1" s="1"/>
  <c r="T1625" i="1"/>
  <c r="R1638" i="1"/>
  <c r="S1638" i="1" s="1"/>
  <c r="T1657" i="1"/>
  <c r="R1659" i="1"/>
  <c r="S1659" i="1" s="1"/>
  <c r="R1670" i="1"/>
  <c r="S1670" i="1" s="1"/>
  <c r="T1681" i="1"/>
  <c r="R1683" i="1"/>
  <c r="S1683" i="1" s="1"/>
  <c r="T1683" i="1"/>
  <c r="R1684" i="1"/>
  <c r="S1684" i="1" s="1"/>
  <c r="T1690" i="1"/>
  <c r="R1698" i="1"/>
  <c r="S1698" i="1" s="1"/>
  <c r="T1709" i="1"/>
  <c r="R1711" i="1"/>
  <c r="S1711" i="1" s="1"/>
  <c r="T1711" i="1"/>
  <c r="R1712" i="1"/>
  <c r="S1712" i="1" s="1"/>
  <c r="T1718" i="1"/>
  <c r="R1721" i="1"/>
  <c r="S1721" i="1" s="1"/>
  <c r="R1728" i="1"/>
  <c r="S1728" i="1" s="1"/>
  <c r="R1579" i="1"/>
  <c r="S1579" i="1" s="1"/>
  <c r="T1584" i="1"/>
  <c r="R1586" i="1"/>
  <c r="S1586" i="1" s="1"/>
  <c r="R1611" i="1"/>
  <c r="S1611" i="1" s="1"/>
  <c r="T1614" i="1"/>
  <c r="R1616" i="1"/>
  <c r="S1616" i="1" s="1"/>
  <c r="R1626" i="1"/>
  <c r="S1626" i="1" s="1"/>
  <c r="R1640" i="1"/>
  <c r="S1640" i="1" s="1"/>
  <c r="T1645" i="1"/>
  <c r="R1647" i="1"/>
  <c r="S1647" i="1" s="1"/>
  <c r="R1658" i="1"/>
  <c r="S1658" i="1" s="1"/>
  <c r="T1670" i="1"/>
  <c r="R1682" i="1"/>
  <c r="S1682" i="1" s="1"/>
  <c r="R1691" i="1"/>
  <c r="S1691" i="1" s="1"/>
  <c r="T1691" i="1"/>
  <c r="T1698" i="1"/>
  <c r="R1710" i="1"/>
  <c r="S1710" i="1" s="1"/>
  <c r="R1723" i="1"/>
  <c r="S1723" i="1" s="1"/>
  <c r="T1723" i="1"/>
  <c r="T1728" i="1"/>
  <c r="R1585" i="1"/>
  <c r="S1585" i="1" s="1"/>
  <c r="R1597" i="1"/>
  <c r="S1597" i="1" s="1"/>
  <c r="T1604" i="1"/>
  <c r="R1615" i="1"/>
  <c r="S1615" i="1" s="1"/>
  <c r="T1633" i="1"/>
  <c r="R1646" i="1"/>
  <c r="S1646" i="1" s="1"/>
  <c r="T1665" i="1"/>
  <c r="R1675" i="1"/>
  <c r="S1675" i="1" s="1"/>
  <c r="T1675" i="1"/>
  <c r="T1682" i="1"/>
  <c r="R1703" i="1"/>
  <c r="S1703" i="1" s="1"/>
  <c r="T1703" i="1"/>
  <c r="T1710" i="1"/>
  <c r="R1722" i="1"/>
  <c r="S1722" i="1" s="1"/>
  <c r="R1733" i="1"/>
  <c r="S1733" i="1" s="1"/>
  <c r="T1733" i="1"/>
  <c r="R1573" i="1"/>
  <c r="S1573" i="1" s="1"/>
  <c r="T1592" i="1"/>
  <c r="R1605" i="1"/>
  <c r="S1605" i="1" s="1"/>
  <c r="T1621" i="1"/>
  <c r="R1634" i="1"/>
  <c r="S1634" i="1" s="1"/>
  <c r="T1653" i="1"/>
  <c r="R1666" i="1"/>
  <c r="S1666" i="1" s="1"/>
  <c r="R1674" i="1"/>
  <c r="S1674" i="1" s="1"/>
  <c r="T1685" i="1"/>
  <c r="R1687" i="1"/>
  <c r="S1687" i="1" s="1"/>
  <c r="T1687" i="1"/>
  <c r="R1702" i="1"/>
  <c r="S1702" i="1" s="1"/>
  <c r="T1713" i="1"/>
  <c r="R1715" i="1"/>
  <c r="S1715" i="1" s="1"/>
  <c r="T1715" i="1"/>
  <c r="T1722" i="1"/>
  <c r="R1732" i="1"/>
  <c r="S1732" i="1" s="1"/>
  <c r="R330" i="1"/>
  <c r="S330" i="1" s="1"/>
  <c r="R651" i="1"/>
  <c r="S651" i="1" s="1"/>
  <c r="R832" i="1"/>
  <c r="S832" i="1" s="1"/>
  <c r="R868" i="1"/>
  <c r="S868" i="1" s="1"/>
  <c r="R880" i="1"/>
  <c r="S880" i="1" s="1"/>
  <c r="T905" i="1"/>
  <c r="R912" i="1"/>
  <c r="S912" i="1" s="1"/>
  <c r="R920" i="1"/>
  <c r="S920" i="1" s="1"/>
  <c r="T941" i="1"/>
  <c r="R967" i="1"/>
  <c r="S967" i="1" s="1"/>
  <c r="R999" i="1"/>
  <c r="S999" i="1" s="1"/>
  <c r="R1018" i="1"/>
  <c r="S1018" i="1" s="1"/>
  <c r="T1023" i="1"/>
  <c r="T1031" i="1"/>
  <c r="T1039" i="1"/>
  <c r="T1051" i="1"/>
  <c r="T1103" i="1"/>
  <c r="T1114" i="1"/>
  <c r="R1117" i="1"/>
  <c r="S1117" i="1" s="1"/>
  <c r="T1134" i="1"/>
  <c r="T1245" i="1"/>
  <c r="R1272" i="1"/>
  <c r="S1272" i="1" s="1"/>
  <c r="R1312" i="1"/>
  <c r="S1312" i="1" s="1"/>
  <c r="R1331" i="1"/>
  <c r="S1331" i="1" s="1"/>
  <c r="T1359" i="1"/>
  <c r="R1375" i="1"/>
  <c r="S1375" i="1" s="1"/>
  <c r="T1376" i="1"/>
  <c r="T1394" i="1"/>
  <c r="T1402" i="1"/>
  <c r="R346" i="1"/>
  <c r="S346" i="1" s="1"/>
  <c r="T363" i="1"/>
  <c r="R417" i="1"/>
  <c r="S417" i="1" s="1"/>
  <c r="R441" i="1"/>
  <c r="S441" i="1" s="1"/>
  <c r="T460" i="1"/>
  <c r="T603" i="1"/>
  <c r="R606" i="1"/>
  <c r="S606" i="1" s="1"/>
  <c r="T610" i="1"/>
  <c r="R612" i="1"/>
  <c r="S612" i="1" s="1"/>
  <c r="R614" i="1"/>
  <c r="S614" i="1" s="1"/>
  <c r="T635" i="1"/>
  <c r="R823" i="1"/>
  <c r="S823" i="1" s="1"/>
  <c r="R864" i="1"/>
  <c r="S864" i="1" s="1"/>
  <c r="R887" i="1"/>
  <c r="S887" i="1" s="1"/>
  <c r="T903" i="1"/>
  <c r="R950" i="1"/>
  <c r="S950" i="1" s="1"/>
  <c r="R966" i="1"/>
  <c r="S966" i="1" s="1"/>
  <c r="R974" i="1"/>
  <c r="S974" i="1" s="1"/>
  <c r="T998" i="1"/>
  <c r="T1006" i="1"/>
  <c r="R1014" i="1"/>
  <c r="S1014" i="1" s="1"/>
  <c r="T1022" i="1"/>
  <c r="R1036" i="1"/>
  <c r="S1036" i="1" s="1"/>
  <c r="R1069" i="1"/>
  <c r="S1069" i="1" s="1"/>
  <c r="T1084" i="1"/>
  <c r="R1088" i="1"/>
  <c r="S1088" i="1" s="1"/>
  <c r="T1090" i="1"/>
  <c r="R1100" i="1"/>
  <c r="S1100" i="1" s="1"/>
  <c r="T1113" i="1"/>
  <c r="T1120" i="1"/>
  <c r="R1162" i="1"/>
  <c r="S1162" i="1" s="1"/>
  <c r="R1174" i="1"/>
  <c r="S1174" i="1" s="1"/>
  <c r="R1198" i="1"/>
  <c r="S1198" i="1" s="1"/>
  <c r="R1218" i="1"/>
  <c r="S1218" i="1" s="1"/>
  <c r="R1234" i="1"/>
  <c r="S1234" i="1" s="1"/>
  <c r="R1300" i="1"/>
  <c r="S1300" i="1" s="1"/>
  <c r="R1350" i="1"/>
  <c r="S1350" i="1" s="1"/>
  <c r="T1351" i="1"/>
  <c r="R1393" i="1"/>
  <c r="S1393" i="1" s="1"/>
  <c r="R1401" i="1"/>
  <c r="S1401" i="1" s="1"/>
  <c r="R338" i="1"/>
  <c r="S338" i="1" s="1"/>
  <c r="R400" i="1"/>
  <c r="S400" i="1" s="1"/>
  <c r="R580" i="1"/>
  <c r="S580" i="1" s="1"/>
  <c r="R586" i="1"/>
  <c r="S586" i="1" s="1"/>
  <c r="R596" i="1"/>
  <c r="S596" i="1" s="1"/>
  <c r="R855" i="1"/>
  <c r="S855" i="1" s="1"/>
  <c r="R856" i="1"/>
  <c r="S856" i="1" s="1"/>
  <c r="T863" i="1"/>
  <c r="T902" i="1"/>
  <c r="T973" i="1"/>
  <c r="R982" i="1"/>
  <c r="S982" i="1" s="1"/>
  <c r="T985" i="1"/>
  <c r="R986" i="1"/>
  <c r="S986" i="1" s="1"/>
  <c r="R1002" i="1"/>
  <c r="S1002" i="1" s="1"/>
  <c r="T1005" i="1"/>
  <c r="R1029" i="1"/>
  <c r="S1029" i="1" s="1"/>
  <c r="T1035" i="1"/>
  <c r="R1071" i="1"/>
  <c r="S1071" i="1" s="1"/>
  <c r="R1078" i="1"/>
  <c r="S1078" i="1" s="1"/>
  <c r="R1181" i="1"/>
  <c r="S1181" i="1" s="1"/>
  <c r="T1183" i="1"/>
  <c r="R1225" i="1"/>
  <c r="S1225" i="1" s="1"/>
  <c r="T1253" i="1"/>
  <c r="R1288" i="1"/>
  <c r="S1288" i="1" s="1"/>
  <c r="R1319" i="1"/>
  <c r="S1319" i="1" s="1"/>
  <c r="R1381" i="1"/>
  <c r="S1381" i="1" s="1"/>
  <c r="T1393" i="1"/>
  <c r="T1401" i="1"/>
  <c r="T205" i="1"/>
  <c r="R215" i="1"/>
  <c r="S215" i="1" s="1"/>
  <c r="R566" i="1"/>
  <c r="S566" i="1" s="1"/>
  <c r="R891" i="1"/>
  <c r="S891" i="1" s="1"/>
  <c r="T926" i="1"/>
  <c r="T976" i="1"/>
  <c r="R1004" i="1"/>
  <c r="S1004" i="1" s="1"/>
  <c r="R1040" i="1"/>
  <c r="S1040" i="1" s="1"/>
  <c r="R1056" i="1"/>
  <c r="S1056" i="1" s="1"/>
  <c r="R1083" i="1"/>
  <c r="S1083" i="1" s="1"/>
  <c r="R1109" i="1"/>
  <c r="S1109" i="1" s="1"/>
  <c r="R1206" i="1"/>
  <c r="S1206" i="1" s="1"/>
  <c r="R1230" i="1"/>
  <c r="S1230" i="1" s="1"/>
  <c r="R1274" i="1"/>
  <c r="S1274" i="1" s="1"/>
  <c r="R1308" i="1"/>
  <c r="S1308" i="1" s="1"/>
  <c r="R1327" i="1"/>
  <c r="S1327" i="1" s="1"/>
  <c r="R1355" i="1"/>
  <c r="S1355" i="1" s="1"/>
  <c r="T1356" i="1"/>
  <c r="R152" i="1"/>
  <c r="S152" i="1" s="1"/>
  <c r="T230" i="1"/>
  <c r="T238" i="1"/>
  <c r="T246" i="1"/>
  <c r="T254" i="1"/>
  <c r="T262" i="1"/>
  <c r="T270" i="1"/>
  <c r="T278" i="1"/>
  <c r="T286" i="1"/>
  <c r="T294" i="1"/>
  <c r="T302" i="1"/>
  <c r="R493" i="1"/>
  <c r="S493" i="1" s="1"/>
  <c r="T535" i="1"/>
  <c r="T565" i="1"/>
  <c r="T852" i="1"/>
  <c r="R884" i="1"/>
  <c r="S884" i="1" s="1"/>
  <c r="R961" i="1"/>
  <c r="S961" i="1" s="1"/>
  <c r="T1000" i="1"/>
  <c r="R1001" i="1"/>
  <c r="S1001" i="1" s="1"/>
  <c r="T1068" i="1"/>
  <c r="R1074" i="1"/>
  <c r="S1074" i="1" s="1"/>
  <c r="T1076" i="1"/>
  <c r="T1117" i="1"/>
  <c r="R1133" i="1"/>
  <c r="S1133" i="1" s="1"/>
  <c r="R1213" i="1"/>
  <c r="S1213" i="1" s="1"/>
  <c r="T1248" i="1"/>
  <c r="R1296" i="1"/>
  <c r="S1296" i="1" s="1"/>
  <c r="R1346" i="1"/>
  <c r="S1346" i="1" s="1"/>
  <c r="R1389" i="1"/>
  <c r="S1389" i="1" s="1"/>
  <c r="T1398" i="1"/>
  <c r="R104" i="1"/>
  <c r="S104" i="1" s="1"/>
  <c r="T113" i="1"/>
  <c r="T132" i="1"/>
  <c r="T151" i="1"/>
  <c r="T492" i="1"/>
  <c r="R564" i="1"/>
  <c r="S564" i="1" s="1"/>
  <c r="R827" i="1"/>
  <c r="S827" i="1" s="1"/>
  <c r="T835" i="1"/>
  <c r="R843" i="1"/>
  <c r="S843" i="1" s="1"/>
  <c r="R851" i="1"/>
  <c r="S851" i="1" s="1"/>
  <c r="R867" i="1"/>
  <c r="S867" i="1" s="1"/>
  <c r="T883" i="1"/>
  <c r="T954" i="1"/>
  <c r="T960" i="1"/>
  <c r="R962" i="1"/>
  <c r="S962" i="1" s="1"/>
  <c r="R1073" i="1"/>
  <c r="S1073" i="1" s="1"/>
  <c r="R1096" i="1"/>
  <c r="S1096" i="1" s="1"/>
  <c r="R1123" i="1"/>
  <c r="S1123" i="1" s="1"/>
  <c r="T1137" i="1"/>
  <c r="R1161" i="1"/>
  <c r="S1161" i="1" s="1"/>
  <c r="R1170" i="1"/>
  <c r="S1170" i="1" s="1"/>
  <c r="T1215" i="1"/>
  <c r="R1226" i="1"/>
  <c r="S1226" i="1" s="1"/>
  <c r="T1257" i="1"/>
  <c r="R1258" i="1"/>
  <c r="S1258" i="1" s="1"/>
  <c r="T1265" i="1"/>
  <c r="R1266" i="1"/>
  <c r="S1266" i="1" s="1"/>
  <c r="R1284" i="1"/>
  <c r="S1284" i="1" s="1"/>
  <c r="R1316" i="1"/>
  <c r="S1316" i="1" s="1"/>
  <c r="R1335" i="1"/>
  <c r="S1335" i="1" s="1"/>
  <c r="R1362" i="1"/>
  <c r="S1362" i="1" s="1"/>
  <c r="T1363" i="1"/>
  <c r="R1397" i="1"/>
  <c r="S1397" i="1" s="1"/>
  <c r="T103" i="1"/>
  <c r="T104" i="1"/>
  <c r="R546" i="1"/>
  <c r="S546" i="1" s="1"/>
  <c r="T563" i="1"/>
  <c r="R652" i="1"/>
  <c r="S652" i="1" s="1"/>
  <c r="R683" i="1"/>
  <c r="S683" i="1" s="1"/>
  <c r="T715" i="1"/>
  <c r="R717" i="1"/>
  <c r="S717" i="1" s="1"/>
  <c r="T723" i="1"/>
  <c r="R725" i="1"/>
  <c r="S725" i="1" s="1"/>
  <c r="T731" i="1"/>
  <c r="R733" i="1"/>
  <c r="S733" i="1" s="1"/>
  <c r="T739" i="1"/>
  <c r="R741" i="1"/>
  <c r="S741" i="1" s="1"/>
  <c r="T747" i="1"/>
  <c r="R749" i="1"/>
  <c r="S749" i="1" s="1"/>
  <c r="T755" i="1"/>
  <c r="R757" i="1"/>
  <c r="S757" i="1" s="1"/>
  <c r="T763" i="1"/>
  <c r="R765" i="1"/>
  <c r="S765" i="1" s="1"/>
  <c r="R770" i="1"/>
  <c r="S770" i="1" s="1"/>
  <c r="T771" i="1"/>
  <c r="R773" i="1"/>
  <c r="S773" i="1" s="1"/>
  <c r="R778" i="1"/>
  <c r="S778" i="1" s="1"/>
  <c r="T779" i="1"/>
  <c r="R781" i="1"/>
  <c r="S781" i="1" s="1"/>
  <c r="R786" i="1"/>
  <c r="S786" i="1" s="1"/>
  <c r="T787" i="1"/>
  <c r="R789" i="1"/>
  <c r="S789" i="1" s="1"/>
  <c r="R794" i="1"/>
  <c r="S794" i="1" s="1"/>
  <c r="T795" i="1"/>
  <c r="R797" i="1"/>
  <c r="S797" i="1" s="1"/>
  <c r="R802" i="1"/>
  <c r="S802" i="1" s="1"/>
  <c r="T803" i="1"/>
  <c r="R805" i="1"/>
  <c r="S805" i="1" s="1"/>
  <c r="R810" i="1"/>
  <c r="S810" i="1" s="1"/>
  <c r="T811" i="1"/>
  <c r="R813" i="1"/>
  <c r="S813" i="1" s="1"/>
  <c r="T818" i="1"/>
  <c r="T819" i="1"/>
  <c r="R820" i="1"/>
  <c r="S820" i="1" s="1"/>
  <c r="R883" i="1"/>
  <c r="S883" i="1" s="1"/>
  <c r="T914" i="1"/>
  <c r="R937" i="1"/>
  <c r="S937" i="1" s="1"/>
  <c r="T949" i="1"/>
  <c r="T961" i="1"/>
  <c r="T969" i="1"/>
  <c r="T993" i="1"/>
  <c r="R994" i="1"/>
  <c r="S994" i="1" s="1"/>
  <c r="T1001" i="1"/>
  <c r="R1051" i="1"/>
  <c r="S1051" i="1" s="1"/>
  <c r="R1085" i="1"/>
  <c r="S1085" i="1" s="1"/>
  <c r="T1093" i="1"/>
  <c r="T1122" i="1"/>
  <c r="T1128" i="1"/>
  <c r="R1140" i="1"/>
  <c r="S1140" i="1" s="1"/>
  <c r="T1143" i="1"/>
  <c r="T1255" i="1"/>
  <c r="R1304" i="1"/>
  <c r="S1304" i="1" s="1"/>
  <c r="T1342" i="1"/>
  <c r="R1354" i="1"/>
  <c r="S1354" i="1" s="1"/>
  <c r="T1366" i="1"/>
  <c r="R1371" i="1"/>
  <c r="S1371" i="1" s="1"/>
  <c r="T1372" i="1"/>
  <c r="T1385" i="1"/>
  <c r="T1099" i="1"/>
  <c r="R1099" i="1"/>
  <c r="S1099" i="1" s="1"/>
  <c r="T1246" i="1"/>
  <c r="R1246" i="1"/>
  <c r="S1246" i="1" s="1"/>
  <c r="T1079" i="1"/>
  <c r="R1080" i="1"/>
  <c r="S1080" i="1" s="1"/>
  <c r="T1081" i="1"/>
  <c r="R1094" i="1"/>
  <c r="S1094" i="1" s="1"/>
  <c r="T1101" i="1"/>
  <c r="T1105" i="1"/>
  <c r="R1107" i="1"/>
  <c r="S1107" i="1" s="1"/>
  <c r="T1118" i="1"/>
  <c r="T1154" i="1"/>
  <c r="R1154" i="1"/>
  <c r="S1154" i="1" s="1"/>
  <c r="T1203" i="1"/>
  <c r="T1210" i="1"/>
  <c r="R1210" i="1"/>
  <c r="S1210" i="1" s="1"/>
  <c r="T1224" i="1"/>
  <c r="R1224" i="1"/>
  <c r="S1224" i="1" s="1"/>
  <c r="T1293" i="1"/>
  <c r="R1293" i="1"/>
  <c r="S1293" i="1" s="1"/>
  <c r="T1324" i="1"/>
  <c r="R1324" i="1"/>
  <c r="S1324" i="1" s="1"/>
  <c r="T1190" i="1"/>
  <c r="R1190" i="1"/>
  <c r="S1190" i="1" s="1"/>
  <c r="T1212" i="1"/>
  <c r="R1212" i="1"/>
  <c r="S1212" i="1" s="1"/>
  <c r="T1297" i="1"/>
  <c r="R1297" i="1"/>
  <c r="S1297" i="1" s="1"/>
  <c r="T1328" i="1"/>
  <c r="R1328" i="1"/>
  <c r="S1328" i="1" s="1"/>
  <c r="R1082" i="1"/>
  <c r="S1082" i="1" s="1"/>
  <c r="T1082" i="1"/>
  <c r="T1094" i="1"/>
  <c r="R1095" i="1"/>
  <c r="S1095" i="1" s="1"/>
  <c r="T1098" i="1"/>
  <c r="R1098" i="1"/>
  <c r="S1098" i="1" s="1"/>
  <c r="T1102" i="1"/>
  <c r="T1107" i="1"/>
  <c r="R1111" i="1"/>
  <c r="S1111" i="1" s="1"/>
  <c r="R1149" i="1"/>
  <c r="S1149" i="1" s="1"/>
  <c r="T1222" i="1"/>
  <c r="R1222" i="1"/>
  <c r="S1222" i="1" s="1"/>
  <c r="T1244" i="1"/>
  <c r="R1244" i="1"/>
  <c r="S1244" i="1" s="1"/>
  <c r="T1289" i="1"/>
  <c r="R1289" i="1"/>
  <c r="S1289" i="1" s="1"/>
  <c r="T1320" i="1"/>
  <c r="R1320" i="1"/>
  <c r="S1320" i="1" s="1"/>
  <c r="T1092" i="1"/>
  <c r="T1108" i="1"/>
  <c r="R1108" i="1"/>
  <c r="S1108" i="1" s="1"/>
  <c r="T1109" i="1"/>
  <c r="R1068" i="1"/>
  <c r="S1068" i="1" s="1"/>
  <c r="T1069" i="1"/>
  <c r="T1083" i="1"/>
  <c r="R1084" i="1"/>
  <c r="S1084" i="1" s="1"/>
  <c r="T1085" i="1"/>
  <c r="T1097" i="1"/>
  <c r="T1106" i="1"/>
  <c r="T1110" i="1"/>
  <c r="T1131" i="1"/>
  <c r="R1131" i="1"/>
  <c r="S1131" i="1" s="1"/>
  <c r="R1132" i="1"/>
  <c r="S1132" i="1" s="1"/>
  <c r="T1132" i="1"/>
  <c r="R1142" i="1"/>
  <c r="S1142" i="1" s="1"/>
  <c r="T1148" i="1"/>
  <c r="R1148" i="1"/>
  <c r="S1148" i="1" s="1"/>
  <c r="T1151" i="1"/>
  <c r="T1235" i="1"/>
  <c r="T1242" i="1"/>
  <c r="R1242" i="1"/>
  <c r="S1242" i="1" s="1"/>
  <c r="R1247" i="1"/>
  <c r="S1247" i="1" s="1"/>
  <c r="T1285" i="1"/>
  <c r="R1285" i="1"/>
  <c r="S1285" i="1" s="1"/>
  <c r="T1317" i="1"/>
  <c r="R1317" i="1"/>
  <c r="S1317" i="1" s="1"/>
  <c r="T1347" i="1"/>
  <c r="R1347" i="1"/>
  <c r="S1347" i="1" s="1"/>
  <c r="T1078" i="1"/>
  <c r="T1100" i="1"/>
  <c r="R1070" i="1"/>
  <c r="S1070" i="1" s="1"/>
  <c r="T1070" i="1"/>
  <c r="R1086" i="1"/>
  <c r="S1086" i="1" s="1"/>
  <c r="T1086" i="1"/>
  <c r="R1128" i="1"/>
  <c r="S1128" i="1" s="1"/>
  <c r="T1146" i="1"/>
  <c r="R1146" i="1"/>
  <c r="S1146" i="1" s="1"/>
  <c r="T1181" i="1"/>
  <c r="R1186" i="1"/>
  <c r="S1186" i="1" s="1"/>
  <c r="T1251" i="1"/>
  <c r="R1251" i="1"/>
  <c r="S1251" i="1" s="1"/>
  <c r="T1261" i="1"/>
  <c r="T1282" i="1"/>
  <c r="R1282" i="1"/>
  <c r="S1282" i="1" s="1"/>
  <c r="T1313" i="1"/>
  <c r="R1313" i="1"/>
  <c r="S1313" i="1" s="1"/>
  <c r="T1343" i="1"/>
  <c r="R1343" i="1"/>
  <c r="S1343" i="1" s="1"/>
  <c r="T1071" i="1"/>
  <c r="R1072" i="1"/>
  <c r="S1072" i="1" s="1"/>
  <c r="T1073" i="1"/>
  <c r="T1087" i="1"/>
  <c r="R1127" i="1"/>
  <c r="S1127" i="1" s="1"/>
  <c r="R1130" i="1"/>
  <c r="S1130" i="1" s="1"/>
  <c r="T1130" i="1"/>
  <c r="R1135" i="1"/>
  <c r="S1135" i="1" s="1"/>
  <c r="T1147" i="1"/>
  <c r="T1160" i="1"/>
  <c r="R1160" i="1"/>
  <c r="S1160" i="1" s="1"/>
  <c r="T1193" i="1"/>
  <c r="T1309" i="1"/>
  <c r="R1309" i="1"/>
  <c r="S1309" i="1" s="1"/>
  <c r="T1339" i="1"/>
  <c r="R1339" i="1"/>
  <c r="S1339" i="1" s="1"/>
  <c r="T1074" i="1"/>
  <c r="T1088" i="1"/>
  <c r="R1114" i="1"/>
  <c r="S1114" i="1" s="1"/>
  <c r="R1120" i="1"/>
  <c r="S1120" i="1" s="1"/>
  <c r="R1144" i="1"/>
  <c r="S1144" i="1" s="1"/>
  <c r="T1158" i="1"/>
  <c r="R1158" i="1"/>
  <c r="S1158" i="1" s="1"/>
  <c r="T1180" i="1"/>
  <c r="R1180" i="1"/>
  <c r="S1180" i="1" s="1"/>
  <c r="T1281" i="1"/>
  <c r="R1281" i="1"/>
  <c r="S1281" i="1" s="1"/>
  <c r="T1305" i="1"/>
  <c r="R1305" i="1"/>
  <c r="S1305" i="1" s="1"/>
  <c r="T1336" i="1"/>
  <c r="R1336" i="1"/>
  <c r="S1336" i="1" s="1"/>
  <c r="T1075" i="1"/>
  <c r="R1076" i="1"/>
  <c r="S1076" i="1" s="1"/>
  <c r="T1077" i="1"/>
  <c r="T1089" i="1"/>
  <c r="R1090" i="1"/>
  <c r="S1090" i="1" s="1"/>
  <c r="T1091" i="1"/>
  <c r="T1095" i="1"/>
  <c r="R1113" i="1"/>
  <c r="S1113" i="1" s="1"/>
  <c r="T1115" i="1"/>
  <c r="R1115" i="1"/>
  <c r="S1115" i="1" s="1"/>
  <c r="R1116" i="1"/>
  <c r="S1116" i="1" s="1"/>
  <c r="T1116" i="1"/>
  <c r="R1119" i="1"/>
  <c r="S1119" i="1" s="1"/>
  <c r="R1125" i="1"/>
  <c r="S1125" i="1" s="1"/>
  <c r="R1126" i="1"/>
  <c r="S1126" i="1" s="1"/>
  <c r="T1126" i="1"/>
  <c r="T1138" i="1"/>
  <c r="R1138" i="1"/>
  <c r="S1138" i="1" s="1"/>
  <c r="T1171" i="1"/>
  <c r="T1178" i="1"/>
  <c r="R1178" i="1"/>
  <c r="S1178" i="1" s="1"/>
  <c r="T1192" i="1"/>
  <c r="R1192" i="1"/>
  <c r="S1192" i="1" s="1"/>
  <c r="T1225" i="1"/>
  <c r="R1238" i="1"/>
  <c r="S1238" i="1" s="1"/>
  <c r="T1249" i="1"/>
  <c r="R1249" i="1"/>
  <c r="S1249" i="1" s="1"/>
  <c r="T1264" i="1"/>
  <c r="R1280" i="1"/>
  <c r="S1280" i="1" s="1"/>
  <c r="T1280" i="1"/>
  <c r="T1301" i="1"/>
  <c r="R1301" i="1"/>
  <c r="S1301" i="1" s="1"/>
  <c r="T1332" i="1"/>
  <c r="R1332" i="1"/>
  <c r="S1332" i="1" s="1"/>
  <c r="R1097" i="1"/>
  <c r="S1097" i="1" s="1"/>
  <c r="R1106" i="1"/>
  <c r="S1106" i="1" s="1"/>
  <c r="T1123" i="1"/>
  <c r="T1133" i="1"/>
  <c r="R1139" i="1"/>
  <c r="S1139" i="1" s="1"/>
  <c r="R1141" i="1"/>
  <c r="S1141" i="1" s="1"/>
  <c r="T1141" i="1"/>
  <c r="T1155" i="1"/>
  <c r="T1162" i="1"/>
  <c r="T1164" i="1"/>
  <c r="R1164" i="1"/>
  <c r="S1164" i="1" s="1"/>
  <c r="R1165" i="1"/>
  <c r="S1165" i="1" s="1"/>
  <c r="T1165" i="1"/>
  <c r="T1187" i="1"/>
  <c r="T1194" i="1"/>
  <c r="T1196" i="1"/>
  <c r="R1196" i="1"/>
  <c r="S1196" i="1" s="1"/>
  <c r="R1197" i="1"/>
  <c r="S1197" i="1" s="1"/>
  <c r="T1197" i="1"/>
  <c r="T1219" i="1"/>
  <c r="T1226" i="1"/>
  <c r="T1228" i="1"/>
  <c r="R1228" i="1"/>
  <c r="S1228" i="1" s="1"/>
  <c r="R1229" i="1"/>
  <c r="S1229" i="1" s="1"/>
  <c r="T1229" i="1"/>
  <c r="T1262" i="1"/>
  <c r="T1267" i="1"/>
  <c r="R1267" i="1"/>
  <c r="S1267" i="1" s="1"/>
  <c r="R1102" i="1"/>
  <c r="S1102" i="1" s="1"/>
  <c r="T1111" i="1"/>
  <c r="R1118" i="1"/>
  <c r="S1118" i="1" s="1"/>
  <c r="R1124" i="1"/>
  <c r="S1124" i="1" s="1"/>
  <c r="T1124" i="1"/>
  <c r="T1135" i="1"/>
  <c r="T1142" i="1"/>
  <c r="T1159" i="1"/>
  <c r="T1166" i="1"/>
  <c r="T1168" i="1"/>
  <c r="R1168" i="1"/>
  <c r="S1168" i="1" s="1"/>
  <c r="R1169" i="1"/>
  <c r="S1169" i="1" s="1"/>
  <c r="T1169" i="1"/>
  <c r="T1191" i="1"/>
  <c r="T1198" i="1"/>
  <c r="T1200" i="1"/>
  <c r="R1200" i="1"/>
  <c r="S1200" i="1" s="1"/>
  <c r="R1201" i="1"/>
  <c r="S1201" i="1" s="1"/>
  <c r="T1201" i="1"/>
  <c r="T1223" i="1"/>
  <c r="T1230" i="1"/>
  <c r="T1232" i="1"/>
  <c r="R1232" i="1"/>
  <c r="S1232" i="1" s="1"/>
  <c r="R1233" i="1"/>
  <c r="S1233" i="1" s="1"/>
  <c r="T1233" i="1"/>
  <c r="T1252" i="1"/>
  <c r="R1253" i="1"/>
  <c r="S1253" i="1" s="1"/>
  <c r="R1257" i="1"/>
  <c r="S1257" i="1" s="1"/>
  <c r="T1259" i="1"/>
  <c r="R1259" i="1"/>
  <c r="S1259" i="1" s="1"/>
  <c r="R1260" i="1"/>
  <c r="S1260" i="1" s="1"/>
  <c r="T1260" i="1"/>
  <c r="T1268" i="1"/>
  <c r="R1112" i="1"/>
  <c r="S1112" i="1" s="1"/>
  <c r="T1112" i="1"/>
  <c r="T1125" i="1"/>
  <c r="R1134" i="1"/>
  <c r="S1134" i="1" s="1"/>
  <c r="R1136" i="1"/>
  <c r="S1136" i="1" s="1"/>
  <c r="T1136" i="1"/>
  <c r="T1144" i="1"/>
  <c r="T1163" i="1"/>
  <c r="T1170" i="1"/>
  <c r="T1172" i="1"/>
  <c r="R1172" i="1"/>
  <c r="S1172" i="1" s="1"/>
  <c r="R1173" i="1"/>
  <c r="S1173" i="1" s="1"/>
  <c r="T1173" i="1"/>
  <c r="T1195" i="1"/>
  <c r="T1202" i="1"/>
  <c r="T1204" i="1"/>
  <c r="R1204" i="1"/>
  <c r="S1204" i="1" s="1"/>
  <c r="R1205" i="1"/>
  <c r="S1205" i="1" s="1"/>
  <c r="T1205" i="1"/>
  <c r="T1227" i="1"/>
  <c r="T1234" i="1"/>
  <c r="T1236" i="1"/>
  <c r="R1236" i="1"/>
  <c r="S1236" i="1" s="1"/>
  <c r="R1237" i="1"/>
  <c r="S1237" i="1" s="1"/>
  <c r="T1237" i="1"/>
  <c r="T1390" i="1"/>
  <c r="R1390" i="1"/>
  <c r="S1390" i="1" s="1"/>
  <c r="T1119" i="1"/>
  <c r="T1127" i="1"/>
  <c r="R1143" i="1"/>
  <c r="S1143" i="1" s="1"/>
  <c r="R1145" i="1"/>
  <c r="S1145" i="1" s="1"/>
  <c r="T1145" i="1"/>
  <c r="T1167" i="1"/>
  <c r="T1174" i="1"/>
  <c r="T1176" i="1"/>
  <c r="R1176" i="1"/>
  <c r="S1176" i="1" s="1"/>
  <c r="R1177" i="1"/>
  <c r="S1177" i="1" s="1"/>
  <c r="T1177" i="1"/>
  <c r="T1199" i="1"/>
  <c r="T1206" i="1"/>
  <c r="T1208" i="1"/>
  <c r="R1208" i="1"/>
  <c r="S1208" i="1" s="1"/>
  <c r="R1209" i="1"/>
  <c r="S1209" i="1" s="1"/>
  <c r="T1209" i="1"/>
  <c r="T1231" i="1"/>
  <c r="T1238" i="1"/>
  <c r="T1240" i="1"/>
  <c r="R1240" i="1"/>
  <c r="S1240" i="1" s="1"/>
  <c r="R1241" i="1"/>
  <c r="S1241" i="1" s="1"/>
  <c r="T1241" i="1"/>
  <c r="R1256" i="1"/>
  <c r="S1256" i="1" s="1"/>
  <c r="T1256" i="1"/>
  <c r="T1278" i="1"/>
  <c r="R1278" i="1"/>
  <c r="S1278" i="1" s="1"/>
  <c r="R1351" i="1"/>
  <c r="S1351" i="1" s="1"/>
  <c r="R1356" i="1"/>
  <c r="S1356" i="1" s="1"/>
  <c r="R1359" i="1"/>
  <c r="S1359" i="1" s="1"/>
  <c r="R1363" i="1"/>
  <c r="S1363" i="1" s="1"/>
  <c r="R1367" i="1"/>
  <c r="S1367" i="1" s="1"/>
  <c r="R1372" i="1"/>
  <c r="S1372" i="1" s="1"/>
  <c r="R1376" i="1"/>
  <c r="S1376" i="1" s="1"/>
  <c r="T1386" i="1"/>
  <c r="R1386" i="1"/>
  <c r="S1386" i="1" s="1"/>
  <c r="T1382" i="1"/>
  <c r="R1382" i="1"/>
  <c r="S1382" i="1" s="1"/>
  <c r="T1129" i="1"/>
  <c r="R1137" i="1"/>
  <c r="S1137" i="1" s="1"/>
  <c r="T1150" i="1"/>
  <c r="T1152" i="1"/>
  <c r="R1152" i="1"/>
  <c r="S1152" i="1" s="1"/>
  <c r="R1153" i="1"/>
  <c r="S1153" i="1" s="1"/>
  <c r="T1153" i="1"/>
  <c r="T1175" i="1"/>
  <c r="T1182" i="1"/>
  <c r="T1184" i="1"/>
  <c r="R1184" i="1"/>
  <c r="S1184" i="1" s="1"/>
  <c r="R1185" i="1"/>
  <c r="S1185" i="1" s="1"/>
  <c r="T1185" i="1"/>
  <c r="T1207" i="1"/>
  <c r="T1214" i="1"/>
  <c r="T1216" i="1"/>
  <c r="R1216" i="1"/>
  <c r="S1216" i="1" s="1"/>
  <c r="R1217" i="1"/>
  <c r="S1217" i="1" s="1"/>
  <c r="T1217" i="1"/>
  <c r="T1239" i="1"/>
  <c r="R1245" i="1"/>
  <c r="S1245" i="1" s="1"/>
  <c r="R1273" i="1"/>
  <c r="S1273" i="1" s="1"/>
  <c r="T1277" i="1"/>
  <c r="T1156" i="1"/>
  <c r="R1156" i="1"/>
  <c r="S1156" i="1" s="1"/>
  <c r="R1157" i="1"/>
  <c r="S1157" i="1" s="1"/>
  <c r="T1157" i="1"/>
  <c r="T1179" i="1"/>
  <c r="T1186" i="1"/>
  <c r="T1188" i="1"/>
  <c r="R1188" i="1"/>
  <c r="S1188" i="1" s="1"/>
  <c r="R1189" i="1"/>
  <c r="S1189" i="1" s="1"/>
  <c r="T1189" i="1"/>
  <c r="T1211" i="1"/>
  <c r="T1218" i="1"/>
  <c r="T1220" i="1"/>
  <c r="R1220" i="1"/>
  <c r="S1220" i="1" s="1"/>
  <c r="R1221" i="1"/>
  <c r="S1221" i="1" s="1"/>
  <c r="T1221" i="1"/>
  <c r="T1243" i="1"/>
  <c r="T1247" i="1"/>
  <c r="R1248" i="1"/>
  <c r="S1248" i="1" s="1"/>
  <c r="R1250" i="1"/>
  <c r="S1250" i="1" s="1"/>
  <c r="T1250" i="1"/>
  <c r="T1269" i="1"/>
  <c r="R1269" i="1"/>
  <c r="S1269" i="1" s="1"/>
  <c r="T1270" i="1"/>
  <c r="R1270" i="1"/>
  <c r="S1270" i="1" s="1"/>
  <c r="T1271" i="1"/>
  <c r="R1271" i="1"/>
  <c r="S1271" i="1" s="1"/>
  <c r="T1276" i="1"/>
  <c r="T1283" i="1"/>
  <c r="R1286" i="1"/>
  <c r="S1286" i="1" s="1"/>
  <c r="T1286" i="1"/>
  <c r="T1287" i="1"/>
  <c r="R1290" i="1"/>
  <c r="S1290" i="1" s="1"/>
  <c r="T1290" i="1"/>
  <c r="T1291" i="1"/>
  <c r="R1294" i="1"/>
  <c r="S1294" i="1" s="1"/>
  <c r="T1294" i="1"/>
  <c r="T1295" i="1"/>
  <c r="R1298" i="1"/>
  <c r="S1298" i="1" s="1"/>
  <c r="T1298" i="1"/>
  <c r="T1299" i="1"/>
  <c r="R1302" i="1"/>
  <c r="S1302" i="1" s="1"/>
  <c r="T1302" i="1"/>
  <c r="T1303" i="1"/>
  <c r="R1306" i="1"/>
  <c r="S1306" i="1" s="1"/>
  <c r="T1306" i="1"/>
  <c r="T1307" i="1"/>
  <c r="R1310" i="1"/>
  <c r="S1310" i="1" s="1"/>
  <c r="T1310" i="1"/>
  <c r="T1311" i="1"/>
  <c r="R1314" i="1"/>
  <c r="S1314" i="1" s="1"/>
  <c r="T1314" i="1"/>
  <c r="T1315" i="1"/>
  <c r="T1318" i="1"/>
  <c r="R1321" i="1"/>
  <c r="S1321" i="1" s="1"/>
  <c r="T1321" i="1"/>
  <c r="T1322" i="1"/>
  <c r="R1325" i="1"/>
  <c r="S1325" i="1" s="1"/>
  <c r="T1325" i="1"/>
  <c r="T1326" i="1"/>
  <c r="R1329" i="1"/>
  <c r="S1329" i="1" s="1"/>
  <c r="T1329" i="1"/>
  <c r="T1330" i="1"/>
  <c r="R1333" i="1"/>
  <c r="S1333" i="1" s="1"/>
  <c r="T1333" i="1"/>
  <c r="T1334" i="1"/>
  <c r="R1337" i="1"/>
  <c r="S1337" i="1" s="1"/>
  <c r="T1337" i="1"/>
  <c r="T1338" i="1"/>
  <c r="R1340" i="1"/>
  <c r="S1340" i="1" s="1"/>
  <c r="T1340" i="1"/>
  <c r="T1341" i="1"/>
  <c r="R1344" i="1"/>
  <c r="S1344" i="1" s="1"/>
  <c r="T1344" i="1"/>
  <c r="T1345" i="1"/>
  <c r="R1348" i="1"/>
  <c r="S1348" i="1" s="1"/>
  <c r="T1348" i="1"/>
  <c r="T1349" i="1"/>
  <c r="R1352" i="1"/>
  <c r="S1352" i="1" s="1"/>
  <c r="T1352" i="1"/>
  <c r="T1353" i="1"/>
  <c r="R1357" i="1"/>
  <c r="S1357" i="1" s="1"/>
  <c r="T1357" i="1"/>
  <c r="T1358" i="1"/>
  <c r="R1360" i="1"/>
  <c r="S1360" i="1" s="1"/>
  <c r="T1360" i="1"/>
  <c r="T1361" i="1"/>
  <c r="R1364" i="1"/>
  <c r="S1364" i="1" s="1"/>
  <c r="T1364" i="1"/>
  <c r="R1365" i="1"/>
  <c r="S1365" i="1" s="1"/>
  <c r="T1365" i="1"/>
  <c r="R1368" i="1"/>
  <c r="S1368" i="1" s="1"/>
  <c r="T1368" i="1"/>
  <c r="R1369" i="1"/>
  <c r="S1369" i="1" s="1"/>
  <c r="T1369" i="1"/>
  <c r="T1370" i="1"/>
  <c r="R1373" i="1"/>
  <c r="S1373" i="1" s="1"/>
  <c r="T1373" i="1"/>
  <c r="T1374" i="1"/>
  <c r="R1377" i="1"/>
  <c r="S1377" i="1" s="1"/>
  <c r="T1377" i="1"/>
  <c r="T1378" i="1"/>
  <c r="R1379" i="1"/>
  <c r="S1379" i="1" s="1"/>
  <c r="T1379" i="1"/>
  <c r="T1380" i="1"/>
  <c r="R1383" i="1"/>
  <c r="S1383" i="1" s="1"/>
  <c r="T1383" i="1"/>
  <c r="T1384" i="1"/>
  <c r="R1387" i="1"/>
  <c r="S1387" i="1" s="1"/>
  <c r="T1387" i="1"/>
  <c r="T1388" i="1"/>
  <c r="R1391" i="1"/>
  <c r="S1391" i="1" s="1"/>
  <c r="T1391" i="1"/>
  <c r="T1392" i="1"/>
  <c r="R1147" i="1"/>
  <c r="S1147" i="1" s="1"/>
  <c r="R1151" i="1"/>
  <c r="S1151" i="1" s="1"/>
  <c r="R1155" i="1"/>
  <c r="S1155" i="1" s="1"/>
  <c r="R1159" i="1"/>
  <c r="S1159" i="1" s="1"/>
  <c r="R1163" i="1"/>
  <c r="S1163" i="1" s="1"/>
  <c r="R1167" i="1"/>
  <c r="S1167" i="1" s="1"/>
  <c r="R1171" i="1"/>
  <c r="S1171" i="1" s="1"/>
  <c r="R1175" i="1"/>
  <c r="S1175" i="1" s="1"/>
  <c r="R1179" i="1"/>
  <c r="S1179" i="1" s="1"/>
  <c r="R1183" i="1"/>
  <c r="S1183" i="1" s="1"/>
  <c r="R1187" i="1"/>
  <c r="S1187" i="1" s="1"/>
  <c r="R1191" i="1"/>
  <c r="S1191" i="1" s="1"/>
  <c r="R1195" i="1"/>
  <c r="S1195" i="1" s="1"/>
  <c r="R1199" i="1"/>
  <c r="S1199" i="1" s="1"/>
  <c r="R1203" i="1"/>
  <c r="S1203" i="1" s="1"/>
  <c r="R1207" i="1"/>
  <c r="S1207" i="1" s="1"/>
  <c r="R1211" i="1"/>
  <c r="S1211" i="1" s="1"/>
  <c r="R1215" i="1"/>
  <c r="S1215" i="1" s="1"/>
  <c r="R1219" i="1"/>
  <c r="S1219" i="1" s="1"/>
  <c r="R1223" i="1"/>
  <c r="S1223" i="1" s="1"/>
  <c r="R1227" i="1"/>
  <c r="S1227" i="1" s="1"/>
  <c r="R1231" i="1"/>
  <c r="S1231" i="1" s="1"/>
  <c r="R1235" i="1"/>
  <c r="S1235" i="1" s="1"/>
  <c r="R1239" i="1"/>
  <c r="S1239" i="1" s="1"/>
  <c r="R1243" i="1"/>
  <c r="S1243" i="1" s="1"/>
  <c r="R1252" i="1"/>
  <c r="S1252" i="1" s="1"/>
  <c r="T1263" i="1"/>
  <c r="R1263" i="1"/>
  <c r="S1263" i="1" s="1"/>
  <c r="T1274" i="1"/>
  <c r="R1277" i="1"/>
  <c r="S1277" i="1" s="1"/>
  <c r="R1264" i="1"/>
  <c r="S1264" i="1" s="1"/>
  <c r="T1275" i="1"/>
  <c r="R1275" i="1"/>
  <c r="S1275" i="1" s="1"/>
  <c r="R1399" i="1"/>
  <c r="S1399" i="1" s="1"/>
  <c r="T1399" i="1"/>
  <c r="T1400" i="1"/>
  <c r="T1266" i="1"/>
  <c r="R1276" i="1"/>
  <c r="S1276" i="1" s="1"/>
  <c r="T1258" i="1"/>
  <c r="R1268" i="1"/>
  <c r="S1268" i="1" s="1"/>
  <c r="T1279" i="1"/>
  <c r="R1279" i="1"/>
  <c r="S1279" i="1" s="1"/>
  <c r="R1395" i="1"/>
  <c r="S1395" i="1" s="1"/>
  <c r="T1395" i="1"/>
  <c r="T1396" i="1"/>
  <c r="T1397" i="1"/>
  <c r="R1283" i="1"/>
  <c r="S1283" i="1" s="1"/>
  <c r="R1287" i="1"/>
  <c r="S1287" i="1" s="1"/>
  <c r="R1291" i="1"/>
  <c r="S1291" i="1" s="1"/>
  <c r="R1295" i="1"/>
  <c r="S1295" i="1" s="1"/>
  <c r="R1299" i="1"/>
  <c r="S1299" i="1" s="1"/>
  <c r="R1303" i="1"/>
  <c r="S1303" i="1" s="1"/>
  <c r="R1307" i="1"/>
  <c r="S1307" i="1" s="1"/>
  <c r="R1311" i="1"/>
  <c r="S1311" i="1" s="1"/>
  <c r="R1315" i="1"/>
  <c r="S1315" i="1" s="1"/>
  <c r="R1318" i="1"/>
  <c r="S1318" i="1" s="1"/>
  <c r="R1322" i="1"/>
  <c r="S1322" i="1" s="1"/>
  <c r="R1326" i="1"/>
  <c r="S1326" i="1" s="1"/>
  <c r="R1330" i="1"/>
  <c r="S1330" i="1" s="1"/>
  <c r="R1334" i="1"/>
  <c r="S1334" i="1" s="1"/>
  <c r="R1338" i="1"/>
  <c r="S1338" i="1" s="1"/>
  <c r="R1341" i="1"/>
  <c r="S1341" i="1" s="1"/>
  <c r="R1345" i="1"/>
  <c r="S1345" i="1" s="1"/>
  <c r="R1349" i="1"/>
  <c r="S1349" i="1" s="1"/>
  <c r="R1353" i="1"/>
  <c r="S1353" i="1" s="1"/>
  <c r="R1358" i="1"/>
  <c r="S1358" i="1" s="1"/>
  <c r="R1361" i="1"/>
  <c r="S1361" i="1" s="1"/>
  <c r="R1370" i="1"/>
  <c r="S1370" i="1" s="1"/>
  <c r="R1374" i="1"/>
  <c r="S1374" i="1" s="1"/>
  <c r="R1378" i="1"/>
  <c r="S1378" i="1" s="1"/>
  <c r="R1380" i="1"/>
  <c r="S1380" i="1" s="1"/>
  <c r="R1384" i="1"/>
  <c r="S1384" i="1" s="1"/>
  <c r="R1388" i="1"/>
  <c r="S1388" i="1" s="1"/>
  <c r="R1392" i="1"/>
  <c r="S1392" i="1" s="1"/>
  <c r="R1396" i="1"/>
  <c r="S1396" i="1" s="1"/>
  <c r="R1400" i="1"/>
  <c r="S1400" i="1" s="1"/>
  <c r="R1394" i="1"/>
  <c r="S1394" i="1" s="1"/>
  <c r="R1398" i="1"/>
  <c r="S1398" i="1" s="1"/>
  <c r="R1402" i="1"/>
  <c r="S1402" i="1" s="1"/>
  <c r="R204" i="1"/>
  <c r="S204" i="1" s="1"/>
  <c r="T409" i="1"/>
  <c r="R413" i="1"/>
  <c r="S413" i="1" s="1"/>
  <c r="T416" i="1"/>
  <c r="R433" i="1"/>
  <c r="S433" i="1" s="1"/>
  <c r="R435" i="1"/>
  <c r="S435" i="1" s="1"/>
  <c r="R537" i="1"/>
  <c r="S537" i="1" s="1"/>
  <c r="T678" i="1"/>
  <c r="R679" i="1"/>
  <c r="S679" i="1" s="1"/>
  <c r="R710" i="1"/>
  <c r="S710" i="1" s="1"/>
  <c r="R715" i="1"/>
  <c r="S715" i="1" s="1"/>
  <c r="T722" i="1"/>
  <c r="R723" i="1"/>
  <c r="S723" i="1" s="1"/>
  <c r="T730" i="1"/>
  <c r="R731" i="1"/>
  <c r="S731" i="1" s="1"/>
  <c r="T738" i="1"/>
  <c r="R739" i="1"/>
  <c r="S739" i="1" s="1"/>
  <c r="T746" i="1"/>
  <c r="T754" i="1"/>
  <c r="T762" i="1"/>
  <c r="T770" i="1"/>
  <c r="T778" i="1"/>
  <c r="T786" i="1"/>
  <c r="T794" i="1"/>
  <c r="T802" i="1"/>
  <c r="T810" i="1"/>
  <c r="T827" i="1"/>
  <c r="R828" i="1"/>
  <c r="S828" i="1" s="1"/>
  <c r="R847" i="1"/>
  <c r="S847" i="1" s="1"/>
  <c r="R888" i="1"/>
  <c r="S888" i="1" s="1"/>
  <c r="R901" i="1"/>
  <c r="S901" i="1" s="1"/>
  <c r="T915" i="1"/>
  <c r="T933" i="1"/>
  <c r="R947" i="1"/>
  <c r="S947" i="1" s="1"/>
  <c r="T984" i="1"/>
  <c r="R995" i="1"/>
  <c r="S995" i="1" s="1"/>
  <c r="R1005" i="1"/>
  <c r="S1005" i="1" s="1"/>
  <c r="R1037" i="1"/>
  <c r="S1037" i="1" s="1"/>
  <c r="T1044" i="1"/>
  <c r="R29" i="1"/>
  <c r="S29" i="1" s="1"/>
  <c r="R58" i="1"/>
  <c r="S58" i="1" s="1"/>
  <c r="T13" i="1"/>
  <c r="T19" i="1"/>
  <c r="T39" i="1"/>
  <c r="T46" i="1"/>
  <c r="T54" i="1"/>
  <c r="T76" i="1"/>
  <c r="T77" i="1"/>
  <c r="T455" i="1"/>
  <c r="T514" i="1"/>
  <c r="T522" i="1"/>
  <c r="T536" i="1"/>
  <c r="R556" i="1"/>
  <c r="S556" i="1" s="1"/>
  <c r="T608" i="1"/>
  <c r="R648" i="1"/>
  <c r="S648" i="1" s="1"/>
  <c r="T709" i="1"/>
  <c r="R720" i="1"/>
  <c r="S720" i="1" s="1"/>
  <c r="R728" i="1"/>
  <c r="S728" i="1" s="1"/>
  <c r="R736" i="1"/>
  <c r="S736" i="1" s="1"/>
  <c r="R744" i="1"/>
  <c r="S744" i="1" s="1"/>
  <c r="R752" i="1"/>
  <c r="S752" i="1" s="1"/>
  <c r="R760" i="1"/>
  <c r="S760" i="1" s="1"/>
  <c r="R768" i="1"/>
  <c r="S768" i="1" s="1"/>
  <c r="R776" i="1"/>
  <c r="S776" i="1" s="1"/>
  <c r="R784" i="1"/>
  <c r="S784" i="1" s="1"/>
  <c r="R792" i="1"/>
  <c r="S792" i="1" s="1"/>
  <c r="R800" i="1"/>
  <c r="S800" i="1" s="1"/>
  <c r="R808" i="1"/>
  <c r="S808" i="1" s="1"/>
  <c r="T816" i="1"/>
  <c r="R836" i="1"/>
  <c r="S836" i="1" s="1"/>
  <c r="R840" i="1"/>
  <c r="S840" i="1" s="1"/>
  <c r="R844" i="1"/>
  <c r="S844" i="1" s="1"/>
  <c r="T851" i="1"/>
  <c r="R872" i="1"/>
  <c r="S872" i="1" s="1"/>
  <c r="T879" i="1"/>
  <c r="T911" i="1"/>
  <c r="R916" i="1"/>
  <c r="S916" i="1" s="1"/>
  <c r="R955" i="1"/>
  <c r="S955" i="1" s="1"/>
  <c r="R975" i="1"/>
  <c r="S975" i="1" s="1"/>
  <c r="T989" i="1"/>
  <c r="R1010" i="1"/>
  <c r="S1010" i="1" s="1"/>
  <c r="T1021" i="1"/>
  <c r="T1030" i="1"/>
  <c r="R1032" i="1"/>
  <c r="S1032" i="1" s="1"/>
  <c r="T1036" i="1"/>
  <c r="R1045" i="1"/>
  <c r="S1045" i="1" s="1"/>
  <c r="R4" i="1"/>
  <c r="S4" i="1" s="1"/>
  <c r="R28" i="1"/>
  <c r="S28" i="1" s="1"/>
  <c r="R146" i="1"/>
  <c r="S146" i="1" s="1"/>
  <c r="R166" i="1"/>
  <c r="S166" i="1" s="1"/>
  <c r="T189" i="1"/>
  <c r="T221" i="1"/>
  <c r="R229" i="1"/>
  <c r="S229" i="1" s="1"/>
  <c r="R237" i="1"/>
  <c r="S237" i="1" s="1"/>
  <c r="R245" i="1"/>
  <c r="S245" i="1" s="1"/>
  <c r="R253" i="1"/>
  <c r="S253" i="1" s="1"/>
  <c r="R261" i="1"/>
  <c r="S261" i="1" s="1"/>
  <c r="R269" i="1"/>
  <c r="S269" i="1" s="1"/>
  <c r="R277" i="1"/>
  <c r="S277" i="1" s="1"/>
  <c r="R285" i="1"/>
  <c r="S285" i="1" s="1"/>
  <c r="R293" i="1"/>
  <c r="S293" i="1" s="1"/>
  <c r="R301" i="1"/>
  <c r="S301" i="1" s="1"/>
  <c r="R309" i="1"/>
  <c r="S309" i="1" s="1"/>
  <c r="T470" i="1"/>
  <c r="R497" i="1"/>
  <c r="S497" i="1" s="1"/>
  <c r="R513" i="1"/>
  <c r="S513" i="1" s="1"/>
  <c r="R689" i="1"/>
  <c r="S689" i="1" s="1"/>
  <c r="R695" i="1"/>
  <c r="S695" i="1" s="1"/>
  <c r="T704" i="1"/>
  <c r="R706" i="1"/>
  <c r="S706" i="1" s="1"/>
  <c r="R708" i="1"/>
  <c r="S708" i="1" s="1"/>
  <c r="R818" i="1"/>
  <c r="S818" i="1" s="1"/>
  <c r="T823" i="1"/>
  <c r="R905" i="1"/>
  <c r="S905" i="1" s="1"/>
  <c r="R927" i="1"/>
  <c r="S927" i="1" s="1"/>
  <c r="T930" i="1"/>
  <c r="R941" i="1"/>
  <c r="S941" i="1" s="1"/>
  <c r="T942" i="1"/>
  <c r="R951" i="1"/>
  <c r="S951" i="1" s="1"/>
  <c r="T959" i="1"/>
  <c r="T962" i="1"/>
  <c r="T981" i="1"/>
  <c r="T986" i="1"/>
  <c r="R998" i="1"/>
  <c r="S998" i="1" s="1"/>
  <c r="T1008" i="1"/>
  <c r="T1016" i="1"/>
  <c r="R1017" i="1"/>
  <c r="S1017" i="1" s="1"/>
  <c r="R1031" i="1"/>
  <c r="S1031" i="1" s="1"/>
  <c r="R1035" i="1"/>
  <c r="S1035" i="1" s="1"/>
  <c r="R1041" i="1"/>
  <c r="S1041" i="1" s="1"/>
  <c r="T1049" i="1"/>
  <c r="R1065" i="1"/>
  <c r="S1065" i="1" s="1"/>
  <c r="R1066" i="1"/>
  <c r="S1066" i="1" s="1"/>
  <c r="T1024" i="1"/>
  <c r="T25" i="1"/>
  <c r="R47" i="1"/>
  <c r="S47" i="1" s="1"/>
  <c r="T140" i="1"/>
  <c r="R141" i="1"/>
  <c r="S141" i="1" s="1"/>
  <c r="R333" i="1"/>
  <c r="S333" i="1" s="1"/>
  <c r="R429" i="1"/>
  <c r="S429" i="1" s="1"/>
  <c r="R468" i="1"/>
  <c r="S468" i="1" s="1"/>
  <c r="R481" i="1"/>
  <c r="S481" i="1" s="1"/>
  <c r="T493" i="1"/>
  <c r="T512" i="1"/>
  <c r="T521" i="1"/>
  <c r="T664" i="1"/>
  <c r="R691" i="1"/>
  <c r="S691" i="1" s="1"/>
  <c r="T719" i="1"/>
  <c r="R721" i="1"/>
  <c r="S721" i="1" s="1"/>
  <c r="T727" i="1"/>
  <c r="R729" i="1"/>
  <c r="S729" i="1" s="1"/>
  <c r="T735" i="1"/>
  <c r="R737" i="1"/>
  <c r="S737" i="1" s="1"/>
  <c r="T743" i="1"/>
  <c r="R745" i="1"/>
  <c r="S745" i="1" s="1"/>
  <c r="T751" i="1"/>
  <c r="R753" i="1"/>
  <c r="S753" i="1" s="1"/>
  <c r="T759" i="1"/>
  <c r="R761" i="1"/>
  <c r="S761" i="1" s="1"/>
  <c r="R766" i="1"/>
  <c r="S766" i="1" s="1"/>
  <c r="T767" i="1"/>
  <c r="R769" i="1"/>
  <c r="S769" i="1" s="1"/>
  <c r="R774" i="1"/>
  <c r="S774" i="1" s="1"/>
  <c r="T775" i="1"/>
  <c r="R777" i="1"/>
  <c r="S777" i="1" s="1"/>
  <c r="R782" i="1"/>
  <c r="S782" i="1" s="1"/>
  <c r="T783" i="1"/>
  <c r="R785" i="1"/>
  <c r="S785" i="1" s="1"/>
  <c r="R790" i="1"/>
  <c r="S790" i="1" s="1"/>
  <c r="T791" i="1"/>
  <c r="R793" i="1"/>
  <c r="S793" i="1" s="1"/>
  <c r="R798" i="1"/>
  <c r="S798" i="1" s="1"/>
  <c r="T799" i="1"/>
  <c r="R801" i="1"/>
  <c r="S801" i="1" s="1"/>
  <c r="R806" i="1"/>
  <c r="S806" i="1" s="1"/>
  <c r="T807" i="1"/>
  <c r="R809" i="1"/>
  <c r="S809" i="1" s="1"/>
  <c r="R814" i="1"/>
  <c r="S814" i="1" s="1"/>
  <c r="T815" i="1"/>
  <c r="R822" i="1"/>
  <c r="S822" i="1" s="1"/>
  <c r="R831" i="1"/>
  <c r="S831" i="1" s="1"/>
  <c r="T840" i="1"/>
  <c r="T859" i="1"/>
  <c r="R860" i="1"/>
  <c r="S860" i="1" s="1"/>
  <c r="T897" i="1"/>
  <c r="R898" i="1"/>
  <c r="S898" i="1" s="1"/>
  <c r="T908" i="1"/>
  <c r="R919" i="1"/>
  <c r="S919" i="1" s="1"/>
  <c r="R946" i="1"/>
  <c r="S946" i="1" s="1"/>
  <c r="T950" i="1"/>
  <c r="T958" i="1"/>
  <c r="R979" i="1"/>
  <c r="S979" i="1" s="1"/>
  <c r="R993" i="1"/>
  <c r="S993" i="1" s="1"/>
  <c r="T1015" i="1"/>
  <c r="R1025" i="1"/>
  <c r="S1025" i="1" s="1"/>
  <c r="T1040" i="1"/>
  <c r="T1048" i="1"/>
  <c r="T1052" i="1"/>
  <c r="R16" i="1"/>
  <c r="S16" i="1" s="1"/>
  <c r="R43" i="1"/>
  <c r="S43" i="1" s="1"/>
  <c r="R73" i="1"/>
  <c r="S73" i="1" s="1"/>
  <c r="R138" i="1"/>
  <c r="S138" i="1" s="1"/>
  <c r="R145" i="1"/>
  <c r="S145" i="1" s="1"/>
  <c r="T147" i="1"/>
  <c r="R341" i="1"/>
  <c r="S341" i="1" s="1"/>
  <c r="T372" i="1"/>
  <c r="T467" i="1"/>
  <c r="T484" i="1"/>
  <c r="R492" i="1"/>
  <c r="S492" i="1" s="1"/>
  <c r="T553" i="1"/>
  <c r="R592" i="1"/>
  <c r="S592" i="1" s="1"/>
  <c r="R598" i="1"/>
  <c r="S598" i="1" s="1"/>
  <c r="T645" i="1"/>
  <c r="R659" i="1"/>
  <c r="S659" i="1" s="1"/>
  <c r="R665" i="1"/>
  <c r="S665" i="1" s="1"/>
  <c r="T702" i="1"/>
  <c r="T717" i="1"/>
  <c r="T718" i="1"/>
  <c r="R719" i="1"/>
  <c r="S719" i="1" s="1"/>
  <c r="T725" i="1"/>
  <c r="T726" i="1"/>
  <c r="R727" i="1"/>
  <c r="S727" i="1" s="1"/>
  <c r="T733" i="1"/>
  <c r="T734" i="1"/>
  <c r="R735" i="1"/>
  <c r="S735" i="1" s="1"/>
  <c r="T741" i="1"/>
  <c r="T742" i="1"/>
  <c r="R743" i="1"/>
  <c r="S743" i="1" s="1"/>
  <c r="T749" i="1"/>
  <c r="T750" i="1"/>
  <c r="T757" i="1"/>
  <c r="T758" i="1"/>
  <c r="T765" i="1"/>
  <c r="T766" i="1"/>
  <c r="T773" i="1"/>
  <c r="T774" i="1"/>
  <c r="T781" i="1"/>
  <c r="T782" i="1"/>
  <c r="T789" i="1"/>
  <c r="T790" i="1"/>
  <c r="T797" i="1"/>
  <c r="T798" i="1"/>
  <c r="T805" i="1"/>
  <c r="T806" i="1"/>
  <c r="T813" i="1"/>
  <c r="T814" i="1"/>
  <c r="R824" i="1"/>
  <c r="S824" i="1" s="1"/>
  <c r="T831" i="1"/>
  <c r="T839" i="1"/>
  <c r="R866" i="1"/>
  <c r="S866" i="1" s="1"/>
  <c r="T867" i="1"/>
  <c r="T871" i="1"/>
  <c r="T896" i="1"/>
  <c r="T907" i="1"/>
  <c r="T913" i="1"/>
  <c r="R915" i="1"/>
  <c r="S915" i="1" s="1"/>
  <c r="T919" i="1"/>
  <c r="R931" i="1"/>
  <c r="S931" i="1" s="1"/>
  <c r="R938" i="1"/>
  <c r="S938" i="1" s="1"/>
  <c r="T944" i="1"/>
  <c r="T953" i="1"/>
  <c r="R954" i="1"/>
  <c r="S954" i="1" s="1"/>
  <c r="R970" i="1"/>
  <c r="S970" i="1" s="1"/>
  <c r="R987" i="1"/>
  <c r="S987" i="1" s="1"/>
  <c r="R1007" i="1"/>
  <c r="S1007" i="1" s="1"/>
  <c r="T1019" i="1"/>
  <c r="T1043" i="1"/>
  <c r="R1044" i="1"/>
  <c r="S1044" i="1" s="1"/>
  <c r="T28" i="1"/>
  <c r="T42" i="1"/>
  <c r="R44" i="1"/>
  <c r="S44" i="1" s="1"/>
  <c r="T58" i="1"/>
  <c r="R63" i="1"/>
  <c r="S63" i="1" s="1"/>
  <c r="R66" i="1"/>
  <c r="S66" i="1" s="1"/>
  <c r="T72" i="1"/>
  <c r="T122" i="1"/>
  <c r="T123" i="1"/>
  <c r="T396" i="1"/>
  <c r="T445" i="1"/>
  <c r="R467" i="1"/>
  <c r="S467" i="1" s="1"/>
  <c r="R474" i="1"/>
  <c r="S474" i="1" s="1"/>
  <c r="T480" i="1"/>
  <c r="R589" i="1"/>
  <c r="S589" i="1" s="1"/>
  <c r="T619" i="1"/>
  <c r="T628" i="1"/>
  <c r="R650" i="1"/>
  <c r="S650" i="1" s="1"/>
  <c r="T655" i="1"/>
  <c r="R656" i="1"/>
  <c r="S656" i="1" s="1"/>
  <c r="R657" i="1"/>
  <c r="S657" i="1" s="1"/>
  <c r="T662" i="1"/>
  <c r="R716" i="1"/>
  <c r="S716" i="1" s="1"/>
  <c r="R724" i="1"/>
  <c r="S724" i="1" s="1"/>
  <c r="R732" i="1"/>
  <c r="S732" i="1" s="1"/>
  <c r="R740" i="1"/>
  <c r="S740" i="1" s="1"/>
  <c r="R748" i="1"/>
  <c r="S748" i="1" s="1"/>
  <c r="R756" i="1"/>
  <c r="S756" i="1" s="1"/>
  <c r="R764" i="1"/>
  <c r="S764" i="1" s="1"/>
  <c r="R772" i="1"/>
  <c r="S772" i="1" s="1"/>
  <c r="R780" i="1"/>
  <c r="S780" i="1" s="1"/>
  <c r="R788" i="1"/>
  <c r="S788" i="1" s="1"/>
  <c r="R796" i="1"/>
  <c r="S796" i="1" s="1"/>
  <c r="R804" i="1"/>
  <c r="S804" i="1" s="1"/>
  <c r="R812" i="1"/>
  <c r="S812" i="1" s="1"/>
  <c r="T847" i="1"/>
  <c r="R848" i="1"/>
  <c r="S848" i="1" s="1"/>
  <c r="T875" i="1"/>
  <c r="R876" i="1"/>
  <c r="S876" i="1" s="1"/>
  <c r="R886" i="1"/>
  <c r="S886" i="1" s="1"/>
  <c r="T887" i="1"/>
  <c r="R902" i="1"/>
  <c r="S902" i="1" s="1"/>
  <c r="R914" i="1"/>
  <c r="S914" i="1" s="1"/>
  <c r="T937" i="1"/>
  <c r="T952" i="1"/>
  <c r="R963" i="1"/>
  <c r="S963" i="1" s="1"/>
  <c r="R969" i="1"/>
  <c r="S969" i="1" s="1"/>
  <c r="R973" i="1"/>
  <c r="S973" i="1" s="1"/>
  <c r="T974" i="1"/>
  <c r="R983" i="1"/>
  <c r="S983" i="1" s="1"/>
  <c r="T991" i="1"/>
  <c r="T994" i="1"/>
  <c r="T1013" i="1"/>
  <c r="T1017" i="1"/>
  <c r="R1028" i="1"/>
  <c r="S1028" i="1" s="1"/>
  <c r="T1042" i="1"/>
  <c r="R1053" i="1"/>
  <c r="S1053" i="1" s="1"/>
  <c r="R90" i="1"/>
  <c r="S90" i="1" s="1"/>
  <c r="R95" i="1"/>
  <c r="S95" i="1" s="1"/>
  <c r="T121" i="1"/>
  <c r="R133" i="1"/>
  <c r="S133" i="1" s="1"/>
  <c r="T172" i="1"/>
  <c r="R178" i="1"/>
  <c r="S178" i="1" s="1"/>
  <c r="R182" i="1"/>
  <c r="S182" i="1" s="1"/>
  <c r="R216" i="1"/>
  <c r="S216" i="1" s="1"/>
  <c r="R218" i="1"/>
  <c r="S218" i="1" s="1"/>
  <c r="R364" i="1"/>
  <c r="S364" i="1" s="1"/>
  <c r="T378" i="1"/>
  <c r="R379" i="1"/>
  <c r="S379" i="1" s="1"/>
  <c r="T417" i="1"/>
  <c r="R420" i="1"/>
  <c r="S420" i="1" s="1"/>
  <c r="R423" i="1"/>
  <c r="S423" i="1" s="1"/>
  <c r="R442" i="1"/>
  <c r="S442" i="1" s="1"/>
  <c r="R449" i="1"/>
  <c r="S449" i="1" s="1"/>
  <c r="R461" i="1"/>
  <c r="S461" i="1" s="1"/>
  <c r="T473" i="1"/>
  <c r="R533" i="1"/>
  <c r="S533" i="1" s="1"/>
  <c r="T605" i="1"/>
  <c r="R626" i="1"/>
  <c r="S626" i="1" s="1"/>
  <c r="R819" i="1"/>
  <c r="S819" i="1" s="1"/>
  <c r="R852" i="1"/>
  <c r="S852" i="1" s="1"/>
  <c r="R854" i="1"/>
  <c r="S854" i="1" s="1"/>
  <c r="T855" i="1"/>
  <c r="R895" i="1"/>
  <c r="S895" i="1" s="1"/>
  <c r="R903" i="1"/>
  <c r="S903" i="1" s="1"/>
  <c r="T906" i="1"/>
  <c r="R926" i="1"/>
  <c r="S926" i="1" s="1"/>
  <c r="R943" i="1"/>
  <c r="S943" i="1" s="1"/>
  <c r="T966" i="1"/>
  <c r="R978" i="1"/>
  <c r="S978" i="1" s="1"/>
  <c r="T982" i="1"/>
  <c r="T990" i="1"/>
  <c r="R1006" i="1"/>
  <c r="S1006" i="1" s="1"/>
  <c r="R1011" i="1"/>
  <c r="S1011" i="1" s="1"/>
  <c r="T1028" i="1"/>
  <c r="T1047" i="1"/>
  <c r="T1056" i="1"/>
  <c r="R1059" i="1"/>
  <c r="S1059" i="1" s="1"/>
  <c r="R1062" i="1"/>
  <c r="S1062" i="1" s="1"/>
  <c r="T716" i="1"/>
  <c r="T720" i="1"/>
  <c r="T724" i="1"/>
  <c r="T728" i="1"/>
  <c r="T732" i="1"/>
  <c r="T736" i="1"/>
  <c r="T740" i="1"/>
  <c r="T744" i="1"/>
  <c r="T748" i="1"/>
  <c r="T752" i="1"/>
  <c r="T756" i="1"/>
  <c r="T760" i="1"/>
  <c r="T764" i="1"/>
  <c r="T768" i="1"/>
  <c r="T772" i="1"/>
  <c r="T776" i="1"/>
  <c r="T780" i="1"/>
  <c r="T784" i="1"/>
  <c r="T788" i="1"/>
  <c r="T792" i="1"/>
  <c r="T796" i="1"/>
  <c r="T800" i="1"/>
  <c r="T804" i="1"/>
  <c r="T808" i="1"/>
  <c r="T812" i="1"/>
  <c r="R817" i="1"/>
  <c r="S817" i="1" s="1"/>
  <c r="T817" i="1"/>
  <c r="T832" i="1"/>
  <c r="T833" i="1"/>
  <c r="R833" i="1"/>
  <c r="S833" i="1" s="1"/>
  <c r="R834" i="1"/>
  <c r="S834" i="1" s="1"/>
  <c r="T834" i="1"/>
  <c r="R835" i="1"/>
  <c r="S835" i="1" s="1"/>
  <c r="T843" i="1"/>
  <c r="T864" i="1"/>
  <c r="T880" i="1"/>
  <c r="T885" i="1"/>
  <c r="R890" i="1"/>
  <c r="S890" i="1" s="1"/>
  <c r="T890" i="1"/>
  <c r="R893" i="1"/>
  <c r="S893" i="1" s="1"/>
  <c r="T894" i="1"/>
  <c r="T922" i="1"/>
  <c r="R922" i="1"/>
  <c r="S922" i="1" s="1"/>
  <c r="R932" i="1"/>
  <c r="S932" i="1" s="1"/>
  <c r="T932" i="1"/>
  <c r="T1067" i="1"/>
  <c r="R1067" i="1"/>
  <c r="S1067" i="1" s="1"/>
  <c r="T854" i="1"/>
  <c r="T865" i="1"/>
  <c r="R865" i="1"/>
  <c r="S865" i="1" s="1"/>
  <c r="R1027" i="1"/>
  <c r="S1027" i="1" s="1"/>
  <c r="T1027" i="1"/>
  <c r="T844" i="1"/>
  <c r="T845" i="1"/>
  <c r="R845" i="1"/>
  <c r="S845" i="1" s="1"/>
  <c r="R846" i="1"/>
  <c r="S846" i="1" s="1"/>
  <c r="T846" i="1"/>
  <c r="T869" i="1"/>
  <c r="R869" i="1"/>
  <c r="S869" i="1" s="1"/>
  <c r="R870" i="1"/>
  <c r="S870" i="1" s="1"/>
  <c r="T870" i="1"/>
  <c r="R871" i="1"/>
  <c r="S871" i="1" s="1"/>
  <c r="T884" i="1"/>
  <c r="T889" i="1"/>
  <c r="R921" i="1"/>
  <c r="S921" i="1" s="1"/>
  <c r="T921" i="1"/>
  <c r="R924" i="1"/>
  <c r="S924" i="1" s="1"/>
  <c r="R965" i="1"/>
  <c r="S965" i="1" s="1"/>
  <c r="T965" i="1"/>
  <c r="T1009" i="1"/>
  <c r="R1009" i="1"/>
  <c r="S1009" i="1" s="1"/>
  <c r="T822" i="1"/>
  <c r="R910" i="1"/>
  <c r="S910" i="1" s="1"/>
  <c r="T910" i="1"/>
  <c r="R718" i="1"/>
  <c r="S718" i="1" s="1"/>
  <c r="R722" i="1"/>
  <c r="S722" i="1" s="1"/>
  <c r="R726" i="1"/>
  <c r="S726" i="1" s="1"/>
  <c r="R730" i="1"/>
  <c r="S730" i="1" s="1"/>
  <c r="R734" i="1"/>
  <c r="S734" i="1" s="1"/>
  <c r="R738" i="1"/>
  <c r="S738" i="1" s="1"/>
  <c r="R742" i="1"/>
  <c r="S742" i="1" s="1"/>
  <c r="R746" i="1"/>
  <c r="S746" i="1" s="1"/>
  <c r="R750" i="1"/>
  <c r="S750" i="1" s="1"/>
  <c r="R754" i="1"/>
  <c r="S754" i="1" s="1"/>
  <c r="R758" i="1"/>
  <c r="S758" i="1" s="1"/>
  <c r="R762" i="1"/>
  <c r="S762" i="1" s="1"/>
  <c r="T824" i="1"/>
  <c r="T825" i="1"/>
  <c r="R825" i="1"/>
  <c r="S825" i="1" s="1"/>
  <c r="R826" i="1"/>
  <c r="S826" i="1" s="1"/>
  <c r="T826" i="1"/>
  <c r="T856" i="1"/>
  <c r="T857" i="1"/>
  <c r="R857" i="1"/>
  <c r="S857" i="1" s="1"/>
  <c r="R858" i="1"/>
  <c r="S858" i="1" s="1"/>
  <c r="T858" i="1"/>
  <c r="R859" i="1"/>
  <c r="S859" i="1" s="1"/>
  <c r="T868" i="1"/>
  <c r="T888" i="1"/>
  <c r="T891" i="1"/>
  <c r="T892" i="1"/>
  <c r="T901" i="1"/>
  <c r="R1055" i="1"/>
  <c r="S1055" i="1" s="1"/>
  <c r="T1055" i="1"/>
  <c r="T1063" i="1"/>
  <c r="R1063" i="1"/>
  <c r="S1063" i="1" s="1"/>
  <c r="T886" i="1"/>
  <c r="T836" i="1"/>
  <c r="T837" i="1"/>
  <c r="R837" i="1"/>
  <c r="S837" i="1" s="1"/>
  <c r="R838" i="1"/>
  <c r="S838" i="1" s="1"/>
  <c r="T838" i="1"/>
  <c r="R839" i="1"/>
  <c r="S839" i="1" s="1"/>
  <c r="T873" i="1"/>
  <c r="R873" i="1"/>
  <c r="S873" i="1" s="1"/>
  <c r="R874" i="1"/>
  <c r="S874" i="1" s="1"/>
  <c r="T874" i="1"/>
  <c r="R875" i="1"/>
  <c r="S875" i="1" s="1"/>
  <c r="T918" i="1"/>
  <c r="T929" i="1"/>
  <c r="T945" i="1"/>
  <c r="R945" i="1"/>
  <c r="S945" i="1" s="1"/>
  <c r="R747" i="1"/>
  <c r="S747" i="1" s="1"/>
  <c r="R751" i="1"/>
  <c r="S751" i="1" s="1"/>
  <c r="R755" i="1"/>
  <c r="S755" i="1" s="1"/>
  <c r="R759" i="1"/>
  <c r="S759" i="1" s="1"/>
  <c r="R763" i="1"/>
  <c r="S763" i="1" s="1"/>
  <c r="R767" i="1"/>
  <c r="S767" i="1" s="1"/>
  <c r="R771" i="1"/>
  <c r="S771" i="1" s="1"/>
  <c r="R775" i="1"/>
  <c r="S775" i="1" s="1"/>
  <c r="R779" i="1"/>
  <c r="S779" i="1" s="1"/>
  <c r="R783" i="1"/>
  <c r="S783" i="1" s="1"/>
  <c r="R787" i="1"/>
  <c r="S787" i="1" s="1"/>
  <c r="R791" i="1"/>
  <c r="S791" i="1" s="1"/>
  <c r="R795" i="1"/>
  <c r="S795" i="1" s="1"/>
  <c r="R799" i="1"/>
  <c r="S799" i="1" s="1"/>
  <c r="R803" i="1"/>
  <c r="S803" i="1" s="1"/>
  <c r="R807" i="1"/>
  <c r="S807" i="1" s="1"/>
  <c r="R811" i="1"/>
  <c r="S811" i="1" s="1"/>
  <c r="R815" i="1"/>
  <c r="S815" i="1" s="1"/>
  <c r="T848" i="1"/>
  <c r="T849" i="1"/>
  <c r="R849" i="1"/>
  <c r="S849" i="1" s="1"/>
  <c r="R850" i="1"/>
  <c r="S850" i="1" s="1"/>
  <c r="T850" i="1"/>
  <c r="T872" i="1"/>
  <c r="T900" i="1"/>
  <c r="T928" i="1"/>
  <c r="T935" i="1"/>
  <c r="R935" i="1"/>
  <c r="S935" i="1" s="1"/>
  <c r="T968" i="1"/>
  <c r="R997" i="1"/>
  <c r="S997" i="1" s="1"/>
  <c r="T997" i="1"/>
  <c r="T1020" i="1"/>
  <c r="T866" i="1"/>
  <c r="T820" i="1"/>
  <c r="T828" i="1"/>
  <c r="T829" i="1"/>
  <c r="R829" i="1"/>
  <c r="S829" i="1" s="1"/>
  <c r="R830" i="1"/>
  <c r="S830" i="1" s="1"/>
  <c r="T830" i="1"/>
  <c r="T860" i="1"/>
  <c r="T861" i="1"/>
  <c r="R861" i="1"/>
  <c r="S861" i="1" s="1"/>
  <c r="R862" i="1"/>
  <c r="S862" i="1" s="1"/>
  <c r="T862" i="1"/>
  <c r="R863" i="1"/>
  <c r="S863" i="1" s="1"/>
  <c r="T877" i="1"/>
  <c r="R877" i="1"/>
  <c r="S877" i="1" s="1"/>
  <c r="R878" i="1"/>
  <c r="S878" i="1" s="1"/>
  <c r="T878" i="1"/>
  <c r="R879" i="1"/>
  <c r="S879" i="1" s="1"/>
  <c r="R892" i="1"/>
  <c r="S892" i="1" s="1"/>
  <c r="T895" i="1"/>
  <c r="R896" i="1"/>
  <c r="S896" i="1" s="1"/>
  <c r="R911" i="1"/>
  <c r="S911" i="1" s="1"/>
  <c r="T853" i="1"/>
  <c r="R853" i="1"/>
  <c r="S853" i="1" s="1"/>
  <c r="R816" i="1"/>
  <c r="S816" i="1" s="1"/>
  <c r="R821" i="1"/>
  <c r="S821" i="1" s="1"/>
  <c r="T821" i="1"/>
  <c r="T841" i="1"/>
  <c r="R841" i="1"/>
  <c r="S841" i="1" s="1"/>
  <c r="R842" i="1"/>
  <c r="S842" i="1" s="1"/>
  <c r="T842" i="1"/>
  <c r="T876" i="1"/>
  <c r="R882" i="1"/>
  <c r="S882" i="1" s="1"/>
  <c r="T882" i="1"/>
  <c r="R923" i="1"/>
  <c r="S923" i="1" s="1"/>
  <c r="T923" i="1"/>
  <c r="T934" i="1"/>
  <c r="T957" i="1"/>
  <c r="T977" i="1"/>
  <c r="R977" i="1"/>
  <c r="S977" i="1" s="1"/>
  <c r="T1060" i="1"/>
  <c r="R1060" i="1"/>
  <c r="S1060" i="1" s="1"/>
  <c r="R897" i="1"/>
  <c r="S897" i="1" s="1"/>
  <c r="R909" i="1"/>
  <c r="S909" i="1" s="1"/>
  <c r="T909" i="1"/>
  <c r="T912" i="1"/>
  <c r="R964" i="1"/>
  <c r="S964" i="1" s="1"/>
  <c r="T964" i="1"/>
  <c r="T967" i="1"/>
  <c r="R996" i="1"/>
  <c r="S996" i="1" s="1"/>
  <c r="T996" i="1"/>
  <c r="T999" i="1"/>
  <c r="R1026" i="1"/>
  <c r="S1026" i="1" s="1"/>
  <c r="T1026" i="1"/>
  <c r="T1029" i="1"/>
  <c r="R1054" i="1"/>
  <c r="S1054" i="1" s="1"/>
  <c r="T1054" i="1"/>
  <c r="R1057" i="1"/>
  <c r="S1057" i="1" s="1"/>
  <c r="T1057" i="1"/>
  <c r="R1061" i="1"/>
  <c r="S1061" i="1" s="1"/>
  <c r="T1061" i="1"/>
  <c r="R1064" i="1"/>
  <c r="S1064" i="1" s="1"/>
  <c r="T1064" i="1"/>
  <c r="R904" i="1"/>
  <c r="S904" i="1" s="1"/>
  <c r="T904" i="1"/>
  <c r="R936" i="1"/>
  <c r="S936" i="1" s="1"/>
  <c r="T938" i="1"/>
  <c r="T1058" i="1"/>
  <c r="R1058" i="1"/>
  <c r="S1058" i="1" s="1"/>
  <c r="T1065" i="1"/>
  <c r="R906" i="1"/>
  <c r="S906" i="1" s="1"/>
  <c r="R913" i="1"/>
  <c r="S913" i="1" s="1"/>
  <c r="R925" i="1"/>
  <c r="S925" i="1" s="1"/>
  <c r="T925" i="1"/>
  <c r="T927" i="1"/>
  <c r="R929" i="1"/>
  <c r="S929" i="1" s="1"/>
  <c r="R940" i="1"/>
  <c r="S940" i="1" s="1"/>
  <c r="T940" i="1"/>
  <c r="T943" i="1"/>
  <c r="T970" i="1"/>
  <c r="R972" i="1"/>
  <c r="S972" i="1" s="1"/>
  <c r="T972" i="1"/>
  <c r="T975" i="1"/>
  <c r="T1002" i="1"/>
  <c r="T1004" i="1"/>
  <c r="T1007" i="1"/>
  <c r="R1034" i="1"/>
  <c r="S1034" i="1" s="1"/>
  <c r="T1034" i="1"/>
  <c r="R881" i="1"/>
  <c r="S881" i="1" s="1"/>
  <c r="R885" i="1"/>
  <c r="S885" i="1" s="1"/>
  <c r="R889" i="1"/>
  <c r="S889" i="1" s="1"/>
  <c r="R899" i="1"/>
  <c r="S899" i="1" s="1"/>
  <c r="T899" i="1"/>
  <c r="R900" i="1"/>
  <c r="S900" i="1" s="1"/>
  <c r="R907" i="1"/>
  <c r="S907" i="1" s="1"/>
  <c r="R930" i="1"/>
  <c r="S930" i="1" s="1"/>
  <c r="R949" i="1"/>
  <c r="S949" i="1" s="1"/>
  <c r="R958" i="1"/>
  <c r="S958" i="1" s="1"/>
  <c r="R981" i="1"/>
  <c r="S981" i="1" s="1"/>
  <c r="R990" i="1"/>
  <c r="S990" i="1" s="1"/>
  <c r="R1008" i="1"/>
  <c r="S1008" i="1" s="1"/>
  <c r="R1012" i="1"/>
  <c r="S1012" i="1" s="1"/>
  <c r="R1013" i="1"/>
  <c r="S1013" i="1" s="1"/>
  <c r="R1021" i="1"/>
  <c r="S1021" i="1" s="1"/>
  <c r="T1032" i="1"/>
  <c r="R1039" i="1"/>
  <c r="S1039" i="1" s="1"/>
  <c r="R1048" i="1"/>
  <c r="S1048" i="1" s="1"/>
  <c r="T893" i="1"/>
  <c r="T898" i="1"/>
  <c r="R918" i="1"/>
  <c r="S918" i="1" s="1"/>
  <c r="R928" i="1"/>
  <c r="S928" i="1" s="1"/>
  <c r="R934" i="1"/>
  <c r="S934" i="1" s="1"/>
  <c r="R944" i="1"/>
  <c r="S944" i="1" s="1"/>
  <c r="T946" i="1"/>
  <c r="R948" i="1"/>
  <c r="S948" i="1" s="1"/>
  <c r="T948" i="1"/>
  <c r="T951" i="1"/>
  <c r="R953" i="1"/>
  <c r="S953" i="1" s="1"/>
  <c r="T978" i="1"/>
  <c r="R980" i="1"/>
  <c r="S980" i="1" s="1"/>
  <c r="T980" i="1"/>
  <c r="T983" i="1"/>
  <c r="R985" i="1"/>
  <c r="S985" i="1" s="1"/>
  <c r="T1010" i="1"/>
  <c r="T1012" i="1"/>
  <c r="T1014" i="1"/>
  <c r="R1016" i="1"/>
  <c r="S1016" i="1" s="1"/>
  <c r="R1038" i="1"/>
  <c r="S1038" i="1" s="1"/>
  <c r="T1038" i="1"/>
  <c r="T1041" i="1"/>
  <c r="R1043" i="1"/>
  <c r="S1043" i="1" s="1"/>
  <c r="R894" i="1"/>
  <c r="S894" i="1" s="1"/>
  <c r="R908" i="1"/>
  <c r="S908" i="1" s="1"/>
  <c r="R917" i="1"/>
  <c r="S917" i="1" s="1"/>
  <c r="T917" i="1"/>
  <c r="T920" i="1"/>
  <c r="R939" i="1"/>
  <c r="S939" i="1" s="1"/>
  <c r="R957" i="1"/>
  <c r="S957" i="1" s="1"/>
  <c r="R959" i="1"/>
  <c r="S959" i="1" s="1"/>
  <c r="R971" i="1"/>
  <c r="S971" i="1" s="1"/>
  <c r="R989" i="1"/>
  <c r="S989" i="1" s="1"/>
  <c r="R991" i="1"/>
  <c r="S991" i="1" s="1"/>
  <c r="R1003" i="1"/>
  <c r="S1003" i="1" s="1"/>
  <c r="R1015" i="1"/>
  <c r="S1015" i="1" s="1"/>
  <c r="R1019" i="1"/>
  <c r="S1019" i="1" s="1"/>
  <c r="R1020" i="1"/>
  <c r="S1020" i="1" s="1"/>
  <c r="R1022" i="1"/>
  <c r="S1022" i="1" s="1"/>
  <c r="R1033" i="1"/>
  <c r="S1033" i="1" s="1"/>
  <c r="R1047" i="1"/>
  <c r="S1047" i="1" s="1"/>
  <c r="R1049" i="1"/>
  <c r="S1049" i="1" s="1"/>
  <c r="R933" i="1"/>
  <c r="S933" i="1" s="1"/>
  <c r="R956" i="1"/>
  <c r="S956" i="1" s="1"/>
  <c r="T956" i="1"/>
  <c r="R988" i="1"/>
  <c r="S988" i="1" s="1"/>
  <c r="T988" i="1"/>
  <c r="R1046" i="1"/>
  <c r="S1046" i="1" s="1"/>
  <c r="T1046" i="1"/>
  <c r="T1059" i="1"/>
  <c r="T1062" i="1"/>
  <c r="T1066" i="1"/>
  <c r="R952" i="1"/>
  <c r="S952" i="1" s="1"/>
  <c r="R960" i="1"/>
  <c r="S960" i="1" s="1"/>
  <c r="R968" i="1"/>
  <c r="S968" i="1" s="1"/>
  <c r="R976" i="1"/>
  <c r="S976" i="1" s="1"/>
  <c r="R984" i="1"/>
  <c r="S984" i="1" s="1"/>
  <c r="R992" i="1"/>
  <c r="S992" i="1" s="1"/>
  <c r="R1000" i="1"/>
  <c r="S1000" i="1" s="1"/>
  <c r="R1023" i="1"/>
  <c r="S1023" i="1" s="1"/>
  <c r="R1030" i="1"/>
  <c r="S1030" i="1" s="1"/>
  <c r="R1042" i="1"/>
  <c r="S1042" i="1" s="1"/>
  <c r="R1050" i="1"/>
  <c r="S1050" i="1" s="1"/>
  <c r="T916" i="1"/>
  <c r="T924" i="1"/>
  <c r="T931" i="1"/>
  <c r="T939" i="1"/>
  <c r="T947" i="1"/>
  <c r="T955" i="1"/>
  <c r="T963" i="1"/>
  <c r="T971" i="1"/>
  <c r="T979" i="1"/>
  <c r="T987" i="1"/>
  <c r="T995" i="1"/>
  <c r="T1003" i="1"/>
  <c r="T1011" i="1"/>
  <c r="T1018" i="1"/>
  <c r="T1025" i="1"/>
  <c r="T1033" i="1"/>
  <c r="T1037" i="1"/>
  <c r="T1045" i="1"/>
  <c r="T1053" i="1"/>
  <c r="R370" i="1"/>
  <c r="S370" i="1" s="1"/>
  <c r="T370" i="1"/>
  <c r="R386" i="1"/>
  <c r="S386" i="1" s="1"/>
  <c r="T386" i="1"/>
  <c r="T558" i="1"/>
  <c r="R558" i="1"/>
  <c r="S558" i="1" s="1"/>
  <c r="T5" i="1"/>
  <c r="T12" i="1"/>
  <c r="R19" i="1"/>
  <c r="S19" i="1" s="1"/>
  <c r="R35" i="1"/>
  <c r="S35" i="1" s="1"/>
  <c r="R113" i="1"/>
  <c r="S113" i="1" s="1"/>
  <c r="R147" i="1"/>
  <c r="S147" i="1" s="1"/>
  <c r="R156" i="1"/>
  <c r="S156" i="1" s="1"/>
  <c r="T159" i="1"/>
  <c r="T216" i="1"/>
  <c r="R557" i="1"/>
  <c r="S557" i="1" s="1"/>
  <c r="T557" i="1"/>
  <c r="T70" i="1"/>
  <c r="R144" i="1"/>
  <c r="S144" i="1" s="1"/>
  <c r="T318" i="1"/>
  <c r="R318" i="1"/>
  <c r="S318" i="1" s="1"/>
  <c r="T384" i="1"/>
  <c r="R494" i="1"/>
  <c r="S494" i="1" s="1"/>
  <c r="R617" i="1"/>
  <c r="S617" i="1" s="1"/>
  <c r="R663" i="1"/>
  <c r="S663" i="1" s="1"/>
  <c r="R696" i="1"/>
  <c r="S696" i="1" s="1"/>
  <c r="R704" i="1"/>
  <c r="S704" i="1" s="1"/>
  <c r="R13" i="1"/>
  <c r="S13" i="1" s="1"/>
  <c r="R18" i="1"/>
  <c r="S18" i="1" s="1"/>
  <c r="T21" i="1"/>
  <c r="T32" i="1"/>
  <c r="T38" i="1"/>
  <c r="R46" i="1"/>
  <c r="S46" i="1" s="1"/>
  <c r="R101" i="1"/>
  <c r="S101" i="1" s="1"/>
  <c r="R111" i="1"/>
  <c r="S111" i="1" s="1"/>
  <c r="R112" i="1"/>
  <c r="S112" i="1" s="1"/>
  <c r="T128" i="1"/>
  <c r="R128" i="1"/>
  <c r="S128" i="1" s="1"/>
  <c r="R139" i="1"/>
  <c r="S139" i="1" s="1"/>
  <c r="T144" i="1"/>
  <c r="R173" i="1"/>
  <c r="S173" i="1" s="1"/>
  <c r="R180" i="1"/>
  <c r="S180" i="1" s="1"/>
  <c r="R187" i="1"/>
  <c r="S187" i="1" s="1"/>
  <c r="R188" i="1"/>
  <c r="S188" i="1" s="1"/>
  <c r="R198" i="1"/>
  <c r="S198" i="1" s="1"/>
  <c r="R222" i="1"/>
  <c r="S222" i="1" s="1"/>
  <c r="R334" i="1"/>
  <c r="S334" i="1" s="1"/>
  <c r="T383" i="1"/>
  <c r="R383" i="1"/>
  <c r="S383" i="1" s="1"/>
  <c r="T399" i="1"/>
  <c r="T402" i="1"/>
  <c r="R405" i="1"/>
  <c r="S405" i="1" s="1"/>
  <c r="T408" i="1"/>
  <c r="R430" i="1"/>
  <c r="S430" i="1" s="1"/>
  <c r="T448" i="1"/>
  <c r="T457" i="1"/>
  <c r="R512" i="1"/>
  <c r="S512" i="1" s="1"/>
  <c r="R535" i="1"/>
  <c r="S535" i="1" s="1"/>
  <c r="T537" i="1"/>
  <c r="T555" i="1"/>
  <c r="R610" i="1"/>
  <c r="S610" i="1" s="1"/>
  <c r="R616" i="1"/>
  <c r="S616" i="1" s="1"/>
  <c r="T8" i="1"/>
  <c r="R33" i="1"/>
  <c r="S33" i="1" s="1"/>
  <c r="R74" i="1"/>
  <c r="S74" i="1" s="1"/>
  <c r="R6" i="1"/>
  <c r="S6" i="1" s="1"/>
  <c r="T9" i="1"/>
  <c r="R10" i="1"/>
  <c r="S10" i="1" s="1"/>
  <c r="T34" i="1"/>
  <c r="R49" i="1"/>
  <c r="S49" i="1" s="1"/>
  <c r="R55" i="1"/>
  <c r="S55" i="1" s="1"/>
  <c r="R61" i="1"/>
  <c r="S61" i="1" s="1"/>
  <c r="R64" i="1"/>
  <c r="S64" i="1" s="1"/>
  <c r="T69" i="1"/>
  <c r="T83" i="1"/>
  <c r="R92" i="1"/>
  <c r="S92" i="1" s="1"/>
  <c r="T101" i="1"/>
  <c r="T111" i="1"/>
  <c r="T119" i="1"/>
  <c r="R127" i="1"/>
  <c r="S127" i="1" s="1"/>
  <c r="T127" i="1"/>
  <c r="R136" i="1"/>
  <c r="S136" i="1" s="1"/>
  <c r="T342" i="1"/>
  <c r="R342" i="1"/>
  <c r="S342" i="1" s="1"/>
  <c r="T350" i="1"/>
  <c r="R350" i="1"/>
  <c r="S350" i="1" s="1"/>
  <c r="R374" i="1"/>
  <c r="S374" i="1" s="1"/>
  <c r="R375" i="1"/>
  <c r="S375" i="1" s="1"/>
  <c r="R391" i="1"/>
  <c r="S391" i="1" s="1"/>
  <c r="T429" i="1"/>
  <c r="R448" i="1"/>
  <c r="S448" i="1" s="1"/>
  <c r="R480" i="1"/>
  <c r="S480" i="1" s="1"/>
  <c r="R503" i="1"/>
  <c r="S503" i="1" s="1"/>
  <c r="R511" i="1"/>
  <c r="S511" i="1" s="1"/>
  <c r="T511" i="1"/>
  <c r="T527" i="1"/>
  <c r="T534" i="1"/>
  <c r="R554" i="1"/>
  <c r="S554" i="1" s="1"/>
  <c r="T589" i="1"/>
  <c r="R649" i="1"/>
  <c r="S649" i="1" s="1"/>
  <c r="R20" i="1"/>
  <c r="S20" i="1" s="1"/>
  <c r="R59" i="1"/>
  <c r="S59" i="1" s="1"/>
  <c r="R81" i="1"/>
  <c r="S81" i="1" s="1"/>
  <c r="T94" i="1"/>
  <c r="T310" i="1"/>
  <c r="R310" i="1"/>
  <c r="S310" i="1" s="1"/>
  <c r="R22" i="1"/>
  <c r="S22" i="1" s="1"/>
  <c r="R39" i="1"/>
  <c r="S39" i="1" s="1"/>
  <c r="R45" i="1"/>
  <c r="S45" i="1" s="1"/>
  <c r="T50" i="1"/>
  <c r="T68" i="1"/>
  <c r="R76" i="1"/>
  <c r="S76" i="1" s="1"/>
  <c r="T91" i="1"/>
  <c r="T92" i="1"/>
  <c r="T136" i="1"/>
  <c r="R202" i="1"/>
  <c r="S202" i="1" s="1"/>
  <c r="R220" i="1"/>
  <c r="S220" i="1" s="1"/>
  <c r="T447" i="1"/>
  <c r="T479" i="1"/>
  <c r="T499" i="1"/>
  <c r="T500" i="1"/>
  <c r="R500" i="1"/>
  <c r="S500" i="1" s="1"/>
  <c r="T525" i="1"/>
  <c r="T526" i="1"/>
  <c r="R526" i="1"/>
  <c r="S526" i="1" s="1"/>
  <c r="R572" i="1"/>
  <c r="S572" i="1" s="1"/>
  <c r="T164" i="1"/>
  <c r="R164" i="1"/>
  <c r="S164" i="1" s="1"/>
  <c r="R26" i="1"/>
  <c r="S26" i="1" s="1"/>
  <c r="T62" i="1"/>
  <c r="R5" i="1"/>
  <c r="S5" i="1" s="1"/>
  <c r="T35" i="1"/>
  <c r="T47" i="1"/>
  <c r="R57" i="1"/>
  <c r="S57" i="1" s="1"/>
  <c r="T65" i="1"/>
  <c r="R77" i="1"/>
  <c r="S77" i="1" s="1"/>
  <c r="R79" i="1"/>
  <c r="S79" i="1" s="1"/>
  <c r="R89" i="1"/>
  <c r="S89" i="1" s="1"/>
  <c r="T90" i="1"/>
  <c r="T116" i="1"/>
  <c r="R160" i="1"/>
  <c r="S160" i="1" s="1"/>
  <c r="T166" i="1"/>
  <c r="R167" i="1"/>
  <c r="S167" i="1" s="1"/>
  <c r="R169" i="1"/>
  <c r="S169" i="1" s="1"/>
  <c r="T176" i="1"/>
  <c r="R186" i="1"/>
  <c r="S186" i="1" s="1"/>
  <c r="T201" i="1"/>
  <c r="R326" i="1"/>
  <c r="S326" i="1" s="1"/>
  <c r="T388" i="1"/>
  <c r="T420" i="1"/>
  <c r="R428" i="1"/>
  <c r="S428" i="1" s="1"/>
  <c r="T428" i="1"/>
  <c r="T435" i="1"/>
  <c r="R436" i="1"/>
  <c r="S436" i="1" s="1"/>
  <c r="T461" i="1"/>
  <c r="R462" i="1"/>
  <c r="S462" i="1" s="1"/>
  <c r="T524" i="1"/>
  <c r="R552" i="1"/>
  <c r="S552" i="1" s="1"/>
  <c r="T580" i="1"/>
  <c r="R582" i="1"/>
  <c r="S582" i="1" s="1"/>
  <c r="R628" i="1"/>
  <c r="S628" i="1" s="1"/>
  <c r="T631" i="1"/>
  <c r="R632" i="1"/>
  <c r="S632" i="1" s="1"/>
  <c r="R642" i="1"/>
  <c r="S642" i="1" s="1"/>
  <c r="T647" i="1"/>
  <c r="R667" i="1"/>
  <c r="S667" i="1" s="1"/>
  <c r="R677" i="1"/>
  <c r="S677" i="1" s="1"/>
  <c r="T682" i="1"/>
  <c r="R31" i="1"/>
  <c r="S31" i="1" s="1"/>
  <c r="R96" i="1"/>
  <c r="S96" i="1" s="1"/>
  <c r="T112" i="1"/>
  <c r="T2" i="1"/>
  <c r="T14" i="1"/>
  <c r="R17" i="1"/>
  <c r="S17" i="1" s="1"/>
  <c r="R36" i="1"/>
  <c r="S36" i="1" s="1"/>
  <c r="R9" i="1"/>
  <c r="S9" i="1" s="1"/>
  <c r="R25" i="1"/>
  <c r="S25" i="1" s="1"/>
  <c r="R42" i="1"/>
  <c r="S42" i="1" s="1"/>
  <c r="R48" i="1"/>
  <c r="S48" i="1" s="1"/>
  <c r="R51" i="1"/>
  <c r="S51" i="1" s="1"/>
  <c r="R69" i="1"/>
  <c r="S69" i="1" s="1"/>
  <c r="R75" i="1"/>
  <c r="S75" i="1" s="1"/>
  <c r="T80" i="1"/>
  <c r="R123" i="1"/>
  <c r="S123" i="1" s="1"/>
  <c r="T124" i="1"/>
  <c r="T148" i="1"/>
  <c r="R157" i="1"/>
  <c r="S157" i="1" s="1"/>
  <c r="T158" i="1"/>
  <c r="R158" i="1"/>
  <c r="S158" i="1" s="1"/>
  <c r="R165" i="1"/>
  <c r="S165" i="1" s="1"/>
  <c r="T167" i="1"/>
  <c r="R200" i="1"/>
  <c r="S200" i="1" s="1"/>
  <c r="R314" i="1"/>
  <c r="S314" i="1" s="1"/>
  <c r="R322" i="1"/>
  <c r="S322" i="1" s="1"/>
  <c r="R368" i="1"/>
  <c r="S368" i="1" s="1"/>
  <c r="T371" i="1"/>
  <c r="R371" i="1"/>
  <c r="S371" i="1" s="1"/>
  <c r="T387" i="1"/>
  <c r="R387" i="1"/>
  <c r="S387" i="1" s="1"/>
  <c r="R418" i="1"/>
  <c r="S418" i="1" s="1"/>
  <c r="T441" i="1"/>
  <c r="T498" i="1"/>
  <c r="R538" i="1"/>
  <c r="S538" i="1" s="1"/>
  <c r="R587" i="1"/>
  <c r="S587" i="1" s="1"/>
  <c r="R646" i="1"/>
  <c r="S646" i="1" s="1"/>
  <c r="R681" i="1"/>
  <c r="S681" i="1" s="1"/>
  <c r="T86" i="1"/>
  <c r="T93" i="1"/>
  <c r="T95" i="1"/>
  <c r="T96" i="1"/>
  <c r="T106" i="1"/>
  <c r="T138" i="1"/>
  <c r="T139" i="1"/>
  <c r="T146" i="1"/>
  <c r="R148" i="1"/>
  <c r="S148" i="1" s="1"/>
  <c r="R151" i="1"/>
  <c r="S151" i="1" s="1"/>
  <c r="R159" i="1"/>
  <c r="S159" i="1" s="1"/>
  <c r="R212" i="1"/>
  <c r="S212" i="1" s="1"/>
  <c r="T219" i="1"/>
  <c r="R321" i="1"/>
  <c r="S321" i="1" s="1"/>
  <c r="T330" i="1"/>
  <c r="T353" i="1"/>
  <c r="T360" i="1"/>
  <c r="T361" i="1"/>
  <c r="T374" i="1"/>
  <c r="R398" i="1"/>
  <c r="S398" i="1" s="1"/>
  <c r="T414" i="1"/>
  <c r="T418" i="1"/>
  <c r="T419" i="1"/>
  <c r="T430" i="1"/>
  <c r="T431" i="1"/>
  <c r="T442" i="1"/>
  <c r="R445" i="1"/>
  <c r="S445" i="1" s="1"/>
  <c r="R446" i="1"/>
  <c r="S446" i="1" s="1"/>
  <c r="T471" i="1"/>
  <c r="T488" i="1"/>
  <c r="T497" i="1"/>
  <c r="T501" i="1"/>
  <c r="T510" i="1"/>
  <c r="T513" i="1"/>
  <c r="R516" i="1"/>
  <c r="S516" i="1" s="1"/>
  <c r="R519" i="1"/>
  <c r="S519" i="1" s="1"/>
  <c r="T540" i="1"/>
  <c r="R576" i="1"/>
  <c r="S576" i="1" s="1"/>
  <c r="T601" i="1"/>
  <c r="R604" i="1"/>
  <c r="S604" i="1" s="1"/>
  <c r="R619" i="1"/>
  <c r="S619" i="1" s="1"/>
  <c r="R622" i="1"/>
  <c r="S622" i="1" s="1"/>
  <c r="R640" i="1"/>
  <c r="S640" i="1" s="1"/>
  <c r="T673" i="1"/>
  <c r="R675" i="1"/>
  <c r="S675" i="1" s="1"/>
  <c r="T686" i="1"/>
  <c r="R687" i="1"/>
  <c r="S687" i="1" s="1"/>
  <c r="R712" i="1"/>
  <c r="S712" i="1" s="1"/>
  <c r="T329" i="1"/>
  <c r="T338" i="1"/>
  <c r="T358" i="1"/>
  <c r="T359" i="1"/>
  <c r="T394" i="1"/>
  <c r="T405" i="1"/>
  <c r="T413" i="1"/>
  <c r="T425" i="1"/>
  <c r="T466" i="1"/>
  <c r="T468" i="1"/>
  <c r="R471" i="1"/>
  <c r="S471" i="1" s="1"/>
  <c r="R479" i="1"/>
  <c r="S479" i="1" s="1"/>
  <c r="T482" i="1"/>
  <c r="T494" i="1"/>
  <c r="T495" i="1"/>
  <c r="T506" i="1"/>
  <c r="T508" i="1"/>
  <c r="R509" i="1"/>
  <c r="S509" i="1" s="1"/>
  <c r="R510" i="1"/>
  <c r="S510" i="1" s="1"/>
  <c r="T545" i="1"/>
  <c r="T573" i="1"/>
  <c r="R578" i="1"/>
  <c r="S578" i="1" s="1"/>
  <c r="T598" i="1"/>
  <c r="R608" i="1"/>
  <c r="S608" i="1" s="1"/>
  <c r="R620" i="1"/>
  <c r="S620" i="1" s="1"/>
  <c r="T626" i="1"/>
  <c r="R630" i="1"/>
  <c r="S630" i="1" s="1"/>
  <c r="T671" i="1"/>
  <c r="R673" i="1"/>
  <c r="S673" i="1" s="1"/>
  <c r="R680" i="1"/>
  <c r="S680" i="1" s="1"/>
  <c r="R682" i="1"/>
  <c r="S682" i="1" s="1"/>
  <c r="R702" i="1"/>
  <c r="S702" i="1" s="1"/>
  <c r="R711" i="1"/>
  <c r="S711" i="1" s="1"/>
  <c r="R714" i="1"/>
  <c r="S714" i="1" s="1"/>
  <c r="R120" i="1"/>
  <c r="S120" i="1" s="1"/>
  <c r="R121" i="1"/>
  <c r="S121" i="1" s="1"/>
  <c r="T135" i="1"/>
  <c r="T143" i="1"/>
  <c r="T154" i="1"/>
  <c r="T155" i="1"/>
  <c r="T175" i="1"/>
  <c r="T182" i="1"/>
  <c r="R183" i="1"/>
  <c r="S183" i="1" s="1"/>
  <c r="R185" i="1"/>
  <c r="S185" i="1" s="1"/>
  <c r="R196" i="1"/>
  <c r="S196" i="1" s="1"/>
  <c r="T206" i="1"/>
  <c r="T226" i="1"/>
  <c r="T234" i="1"/>
  <c r="T242" i="1"/>
  <c r="T250" i="1"/>
  <c r="T258" i="1"/>
  <c r="T266" i="1"/>
  <c r="T274" i="1"/>
  <c r="T282" i="1"/>
  <c r="T290" i="1"/>
  <c r="T298" i="1"/>
  <c r="T306" i="1"/>
  <c r="R317" i="1"/>
  <c r="S317" i="1" s="1"/>
  <c r="T326" i="1"/>
  <c r="R349" i="1"/>
  <c r="S349" i="1" s="1"/>
  <c r="T368" i="1"/>
  <c r="T382" i="1"/>
  <c r="T439" i="1"/>
  <c r="T456" i="1"/>
  <c r="T465" i="1"/>
  <c r="T478" i="1"/>
  <c r="T481" i="1"/>
  <c r="R484" i="1"/>
  <c r="S484" i="1" s="1"/>
  <c r="R487" i="1"/>
  <c r="S487" i="1" s="1"/>
  <c r="R505" i="1"/>
  <c r="S505" i="1" s="1"/>
  <c r="T509" i="1"/>
  <c r="T519" i="1"/>
  <c r="T530" i="1"/>
  <c r="T564" i="1"/>
  <c r="R565" i="1"/>
  <c r="S565" i="1" s="1"/>
  <c r="T566" i="1"/>
  <c r="R590" i="1"/>
  <c r="S590" i="1" s="1"/>
  <c r="T596" i="1"/>
  <c r="R600" i="1"/>
  <c r="S600" i="1" s="1"/>
  <c r="R613" i="1"/>
  <c r="S613" i="1" s="1"/>
  <c r="R618" i="1"/>
  <c r="S618" i="1" s="1"/>
  <c r="T644" i="1"/>
  <c r="T659" i="1"/>
  <c r="R671" i="1"/>
  <c r="S671" i="1" s="1"/>
  <c r="R685" i="1"/>
  <c r="S685" i="1" s="1"/>
  <c r="T700" i="1"/>
  <c r="R707" i="1"/>
  <c r="S707" i="1" s="1"/>
  <c r="R94" i="1"/>
  <c r="S94" i="1" s="1"/>
  <c r="T109" i="1"/>
  <c r="T110" i="1"/>
  <c r="R132" i="1"/>
  <c r="S132" i="1" s="1"/>
  <c r="T133" i="1"/>
  <c r="R134" i="1"/>
  <c r="S134" i="1" s="1"/>
  <c r="T141" i="1"/>
  <c r="T142" i="1"/>
  <c r="T152" i="1"/>
  <c r="T153" i="1"/>
  <c r="T162" i="1"/>
  <c r="T163" i="1"/>
  <c r="T168" i="1"/>
  <c r="T174" i="1"/>
  <c r="T193" i="1"/>
  <c r="R203" i="1"/>
  <c r="S203" i="1" s="1"/>
  <c r="T314" i="1"/>
  <c r="R337" i="1"/>
  <c r="S337" i="1" s="1"/>
  <c r="T346" i="1"/>
  <c r="T356" i="1"/>
  <c r="R378" i="1"/>
  <c r="S378" i="1" s="1"/>
  <c r="T379" i="1"/>
  <c r="T380" i="1"/>
  <c r="T391" i="1"/>
  <c r="T392" i="1"/>
  <c r="T403" i="1"/>
  <c r="T423" i="1"/>
  <c r="R434" i="1"/>
  <c r="S434" i="1" s="1"/>
  <c r="T438" i="1"/>
  <c r="T452" i="1"/>
  <c r="R460" i="1"/>
  <c r="S460" i="1" s="1"/>
  <c r="R465" i="1"/>
  <c r="S465" i="1" s="1"/>
  <c r="T489" i="1"/>
  <c r="R499" i="1"/>
  <c r="S499" i="1" s="1"/>
  <c r="R525" i="1"/>
  <c r="S525" i="1" s="1"/>
  <c r="T538" i="1"/>
  <c r="R544" i="1"/>
  <c r="S544" i="1" s="1"/>
  <c r="R568" i="1"/>
  <c r="S568" i="1" s="1"/>
  <c r="T583" i="1"/>
  <c r="R588" i="1"/>
  <c r="S588" i="1" s="1"/>
  <c r="R633" i="1"/>
  <c r="S633" i="1" s="1"/>
  <c r="T657" i="1"/>
  <c r="R661" i="1"/>
  <c r="S661" i="1" s="1"/>
  <c r="T669" i="1"/>
  <c r="T691" i="1"/>
  <c r="T131" i="1"/>
  <c r="R149" i="1"/>
  <c r="S149" i="1" s="1"/>
  <c r="T150" i="1"/>
  <c r="R199" i="1"/>
  <c r="S199" i="1" s="1"/>
  <c r="T200" i="1"/>
  <c r="T225" i="1"/>
  <c r="R233" i="1"/>
  <c r="S233" i="1" s="1"/>
  <c r="R241" i="1"/>
  <c r="S241" i="1" s="1"/>
  <c r="R249" i="1"/>
  <c r="S249" i="1" s="1"/>
  <c r="R257" i="1"/>
  <c r="S257" i="1" s="1"/>
  <c r="R265" i="1"/>
  <c r="S265" i="1" s="1"/>
  <c r="R273" i="1"/>
  <c r="S273" i="1" s="1"/>
  <c r="R281" i="1"/>
  <c r="S281" i="1" s="1"/>
  <c r="R289" i="1"/>
  <c r="S289" i="1" s="1"/>
  <c r="R297" i="1"/>
  <c r="S297" i="1" s="1"/>
  <c r="R305" i="1"/>
  <c r="S305" i="1" s="1"/>
  <c r="R325" i="1"/>
  <c r="S325" i="1" s="1"/>
  <c r="T334" i="1"/>
  <c r="R355" i="1"/>
  <c r="S355" i="1" s="1"/>
  <c r="T367" i="1"/>
  <c r="R390" i="1"/>
  <c r="S390" i="1" s="1"/>
  <c r="R399" i="1"/>
  <c r="S399" i="1" s="1"/>
  <c r="T400" i="1"/>
  <c r="T401" i="1"/>
  <c r="R403" i="1"/>
  <c r="S403" i="1" s="1"/>
  <c r="T410" i="1"/>
  <c r="R411" i="1"/>
  <c r="S411" i="1" s="1"/>
  <c r="T434" i="1"/>
  <c r="T436" i="1"/>
  <c r="R439" i="1"/>
  <c r="S439" i="1" s="1"/>
  <c r="R447" i="1"/>
  <c r="S447" i="1" s="1"/>
  <c r="T458" i="1"/>
  <c r="T462" i="1"/>
  <c r="T463" i="1"/>
  <c r="T474" i="1"/>
  <c r="R478" i="1"/>
  <c r="S478" i="1" s="1"/>
  <c r="T503" i="1"/>
  <c r="T561" i="1"/>
  <c r="R562" i="1"/>
  <c r="S562" i="1" s="1"/>
  <c r="R603" i="1"/>
  <c r="S603" i="1" s="1"/>
  <c r="T612" i="1"/>
  <c r="T623" i="1"/>
  <c r="R624" i="1"/>
  <c r="S624" i="1" s="1"/>
  <c r="T642" i="1"/>
  <c r="R644" i="1"/>
  <c r="S644" i="1" s="1"/>
  <c r="T689" i="1"/>
  <c r="T693" i="1"/>
  <c r="R700" i="1"/>
  <c r="S700" i="1" s="1"/>
  <c r="T706" i="1"/>
  <c r="R54" i="1"/>
  <c r="S54" i="1" s="1"/>
  <c r="R72" i="1"/>
  <c r="S72" i="1" s="1"/>
  <c r="R78" i="1"/>
  <c r="S78" i="1" s="1"/>
  <c r="R86" i="1"/>
  <c r="S86" i="1" s="1"/>
  <c r="R87" i="1"/>
  <c r="S87" i="1" s="1"/>
  <c r="R97" i="1"/>
  <c r="S97" i="1" s="1"/>
  <c r="R119" i="1"/>
  <c r="S119" i="1" s="1"/>
  <c r="R122" i="1"/>
  <c r="S122" i="1" s="1"/>
  <c r="T130" i="1"/>
  <c r="T134" i="1"/>
  <c r="R142" i="1"/>
  <c r="S142" i="1" s="1"/>
  <c r="T149" i="1"/>
  <c r="R153" i="1"/>
  <c r="S153" i="1" s="1"/>
  <c r="T181" i="1"/>
  <c r="T190" i="1"/>
  <c r="R214" i="1"/>
  <c r="S214" i="1" s="1"/>
  <c r="T222" i="1"/>
  <c r="R313" i="1"/>
  <c r="S313" i="1" s="1"/>
  <c r="T322" i="1"/>
  <c r="R345" i="1"/>
  <c r="S345" i="1" s="1"/>
  <c r="T355" i="1"/>
  <c r="R363" i="1"/>
  <c r="S363" i="1" s="1"/>
  <c r="T364" i="1"/>
  <c r="T365" i="1"/>
  <c r="T375" i="1"/>
  <c r="T376" i="1"/>
  <c r="T390" i="1"/>
  <c r="R396" i="1"/>
  <c r="S396" i="1" s="1"/>
  <c r="R416" i="1"/>
  <c r="S416" i="1" s="1"/>
  <c r="T437" i="1"/>
  <c r="T446" i="1"/>
  <c r="T449" i="1"/>
  <c r="R452" i="1"/>
  <c r="S452" i="1" s="1"/>
  <c r="R455" i="1"/>
  <c r="S455" i="1" s="1"/>
  <c r="R473" i="1"/>
  <c r="S473" i="1" s="1"/>
  <c r="T477" i="1"/>
  <c r="T502" i="1"/>
  <c r="T516" i="1"/>
  <c r="R524" i="1"/>
  <c r="S524" i="1" s="1"/>
  <c r="R529" i="1"/>
  <c r="S529" i="1" s="1"/>
  <c r="R541" i="1"/>
  <c r="S541" i="1" s="1"/>
  <c r="R555" i="1"/>
  <c r="S555" i="1" s="1"/>
  <c r="R571" i="1"/>
  <c r="S571" i="1" s="1"/>
  <c r="R574" i="1"/>
  <c r="S574" i="1" s="1"/>
  <c r="T585" i="1"/>
  <c r="R594" i="1"/>
  <c r="S594" i="1" s="1"/>
  <c r="T615" i="1"/>
  <c r="R634" i="1"/>
  <c r="S634" i="1" s="1"/>
  <c r="R638" i="1"/>
  <c r="S638" i="1" s="1"/>
  <c r="R664" i="1"/>
  <c r="S664" i="1" s="1"/>
  <c r="R669" i="1"/>
  <c r="S669" i="1" s="1"/>
  <c r="T675" i="1"/>
  <c r="T697" i="1"/>
  <c r="R705" i="1"/>
  <c r="S705" i="1" s="1"/>
  <c r="T483" i="1"/>
  <c r="R483" i="1"/>
  <c r="S483" i="1" s="1"/>
  <c r="T496" i="1"/>
  <c r="R496" i="1"/>
  <c r="S496" i="1" s="1"/>
  <c r="T357" i="1"/>
  <c r="T373" i="1"/>
  <c r="T389" i="1"/>
  <c r="R412" i="1"/>
  <c r="S412" i="1" s="1"/>
  <c r="T412" i="1"/>
  <c r="T426" i="1"/>
  <c r="T427" i="1"/>
  <c r="R427" i="1"/>
  <c r="S427" i="1" s="1"/>
  <c r="T451" i="1"/>
  <c r="R451" i="1"/>
  <c r="S451" i="1" s="1"/>
  <c r="T464" i="1"/>
  <c r="R464" i="1"/>
  <c r="S464" i="1" s="1"/>
  <c r="T476" i="1"/>
  <c r="R477" i="1"/>
  <c r="S477" i="1" s="1"/>
  <c r="R518" i="1"/>
  <c r="S518" i="1" s="1"/>
  <c r="T518" i="1"/>
  <c r="T531" i="1"/>
  <c r="R531" i="1"/>
  <c r="S531" i="1" s="1"/>
  <c r="T432" i="1"/>
  <c r="R432" i="1"/>
  <c r="S432" i="1" s="1"/>
  <c r="T444" i="1"/>
  <c r="R486" i="1"/>
  <c r="S486" i="1" s="1"/>
  <c r="T486" i="1"/>
  <c r="T504" i="1"/>
  <c r="R504" i="1"/>
  <c r="S504" i="1" s="1"/>
  <c r="T369" i="1"/>
  <c r="T385" i="1"/>
  <c r="R402" i="1"/>
  <c r="S402" i="1" s="1"/>
  <c r="T411" i="1"/>
  <c r="R454" i="1"/>
  <c r="S454" i="1" s="1"/>
  <c r="T454" i="1"/>
  <c r="T472" i="1"/>
  <c r="R472" i="1"/>
  <c r="S472" i="1" s="1"/>
  <c r="T487" i="1"/>
  <c r="R498" i="1"/>
  <c r="S498" i="1" s="1"/>
  <c r="T517" i="1"/>
  <c r="R517" i="1"/>
  <c r="S517" i="1" s="1"/>
  <c r="T459" i="1"/>
  <c r="R459" i="1"/>
  <c r="S459" i="1" s="1"/>
  <c r="R367" i="1"/>
  <c r="S367" i="1" s="1"/>
  <c r="R382" i="1"/>
  <c r="S382" i="1" s="1"/>
  <c r="T398" i="1"/>
  <c r="R408" i="1"/>
  <c r="S408" i="1" s="1"/>
  <c r="R422" i="1"/>
  <c r="S422" i="1" s="1"/>
  <c r="T422" i="1"/>
  <c r="T440" i="1"/>
  <c r="R440" i="1"/>
  <c r="S440" i="1" s="1"/>
  <c r="R466" i="1"/>
  <c r="S466" i="1" s="1"/>
  <c r="T485" i="1"/>
  <c r="R485" i="1"/>
  <c r="S485" i="1" s="1"/>
  <c r="T520" i="1"/>
  <c r="T529" i="1"/>
  <c r="T366" i="1"/>
  <c r="T381" i="1"/>
  <c r="R395" i="1"/>
  <c r="S395" i="1" s="1"/>
  <c r="T395" i="1"/>
  <c r="T397" i="1"/>
  <c r="T407" i="1"/>
  <c r="T453" i="1"/>
  <c r="R453" i="1"/>
  <c r="S453" i="1" s="1"/>
  <c r="T507" i="1"/>
  <c r="R507" i="1"/>
  <c r="S507" i="1" s="1"/>
  <c r="R636" i="1"/>
  <c r="S636" i="1" s="1"/>
  <c r="T676" i="1"/>
  <c r="T421" i="1"/>
  <c r="R421" i="1"/>
  <c r="S421" i="1" s="1"/>
  <c r="T475" i="1"/>
  <c r="R475" i="1"/>
  <c r="S475" i="1" s="1"/>
  <c r="T523" i="1"/>
  <c r="R523" i="1"/>
  <c r="S523" i="1" s="1"/>
  <c r="R356" i="1"/>
  <c r="S356" i="1" s="1"/>
  <c r="R359" i="1"/>
  <c r="S359" i="1" s="1"/>
  <c r="T362" i="1"/>
  <c r="T377" i="1"/>
  <c r="T393" i="1"/>
  <c r="R404" i="1"/>
  <c r="S404" i="1" s="1"/>
  <c r="T404" i="1"/>
  <c r="T406" i="1"/>
  <c r="T415" i="1"/>
  <c r="T424" i="1"/>
  <c r="T433" i="1"/>
  <c r="T443" i="1"/>
  <c r="R443" i="1"/>
  <c r="S443" i="1" s="1"/>
  <c r="T450" i="1"/>
  <c r="T469" i="1"/>
  <c r="T490" i="1"/>
  <c r="T491" i="1"/>
  <c r="R491" i="1"/>
  <c r="S491" i="1" s="1"/>
  <c r="T515" i="1"/>
  <c r="R515" i="1"/>
  <c r="S515" i="1" s="1"/>
  <c r="T528" i="1"/>
  <c r="R528" i="1"/>
  <c r="S528" i="1" s="1"/>
  <c r="R551" i="1"/>
  <c r="S551" i="1" s="1"/>
  <c r="T551" i="1"/>
  <c r="R611" i="1"/>
  <c r="S611" i="1" s="1"/>
  <c r="T611" i="1"/>
  <c r="R643" i="1"/>
  <c r="S643" i="1" s="1"/>
  <c r="T643" i="1"/>
  <c r="R357" i="1"/>
  <c r="S357" i="1" s="1"/>
  <c r="R361" i="1"/>
  <c r="S361" i="1" s="1"/>
  <c r="R365" i="1"/>
  <c r="S365" i="1" s="1"/>
  <c r="R372" i="1"/>
  <c r="S372" i="1" s="1"/>
  <c r="R376" i="1"/>
  <c r="S376" i="1" s="1"/>
  <c r="R380" i="1"/>
  <c r="S380" i="1" s="1"/>
  <c r="R384" i="1"/>
  <c r="S384" i="1" s="1"/>
  <c r="R388" i="1"/>
  <c r="S388" i="1" s="1"/>
  <c r="R392" i="1"/>
  <c r="S392" i="1" s="1"/>
  <c r="R401" i="1"/>
  <c r="S401" i="1" s="1"/>
  <c r="R409" i="1"/>
  <c r="S409" i="1" s="1"/>
  <c r="R414" i="1"/>
  <c r="S414" i="1" s="1"/>
  <c r="R424" i="1"/>
  <c r="S424" i="1" s="1"/>
  <c r="R437" i="1"/>
  <c r="S437" i="1" s="1"/>
  <c r="R450" i="1"/>
  <c r="S450" i="1" s="1"/>
  <c r="R456" i="1"/>
  <c r="S456" i="1" s="1"/>
  <c r="R469" i="1"/>
  <c r="S469" i="1" s="1"/>
  <c r="R482" i="1"/>
  <c r="S482" i="1" s="1"/>
  <c r="R488" i="1"/>
  <c r="S488" i="1" s="1"/>
  <c r="R501" i="1"/>
  <c r="S501" i="1" s="1"/>
  <c r="R514" i="1"/>
  <c r="S514" i="1" s="1"/>
  <c r="R520" i="1"/>
  <c r="S520" i="1" s="1"/>
  <c r="R532" i="1"/>
  <c r="S532" i="1" s="1"/>
  <c r="T533" i="1"/>
  <c r="R534" i="1"/>
  <c r="S534" i="1" s="1"/>
  <c r="R543" i="1"/>
  <c r="S543" i="1" s="1"/>
  <c r="T543" i="1"/>
  <c r="T550" i="1"/>
  <c r="R550" i="1"/>
  <c r="S550" i="1" s="1"/>
  <c r="T556" i="1"/>
  <c r="T571" i="1"/>
  <c r="T578" i="1"/>
  <c r="R597" i="1"/>
  <c r="S597" i="1" s="1"/>
  <c r="T597" i="1"/>
  <c r="R654" i="1"/>
  <c r="S654" i="1" s="1"/>
  <c r="R674" i="1"/>
  <c r="S674" i="1" s="1"/>
  <c r="T674" i="1"/>
  <c r="R694" i="1"/>
  <c r="S694" i="1" s="1"/>
  <c r="R701" i="1"/>
  <c r="S701" i="1" s="1"/>
  <c r="T701" i="1"/>
  <c r="T707" i="1"/>
  <c r="R397" i="1"/>
  <c r="S397" i="1" s="1"/>
  <c r="R406" i="1"/>
  <c r="S406" i="1" s="1"/>
  <c r="R410" i="1"/>
  <c r="S410" i="1" s="1"/>
  <c r="R419" i="1"/>
  <c r="S419" i="1" s="1"/>
  <c r="R425" i="1"/>
  <c r="S425" i="1" s="1"/>
  <c r="R431" i="1"/>
  <c r="S431" i="1" s="1"/>
  <c r="R438" i="1"/>
  <c r="S438" i="1" s="1"/>
  <c r="R444" i="1"/>
  <c r="S444" i="1" s="1"/>
  <c r="R457" i="1"/>
  <c r="S457" i="1" s="1"/>
  <c r="R463" i="1"/>
  <c r="S463" i="1" s="1"/>
  <c r="R470" i="1"/>
  <c r="S470" i="1" s="1"/>
  <c r="R476" i="1"/>
  <c r="S476" i="1" s="1"/>
  <c r="R489" i="1"/>
  <c r="S489" i="1" s="1"/>
  <c r="R495" i="1"/>
  <c r="S495" i="1" s="1"/>
  <c r="R502" i="1"/>
  <c r="S502" i="1" s="1"/>
  <c r="R508" i="1"/>
  <c r="S508" i="1" s="1"/>
  <c r="R521" i="1"/>
  <c r="S521" i="1" s="1"/>
  <c r="R527" i="1"/>
  <c r="S527" i="1" s="1"/>
  <c r="R536" i="1"/>
  <c r="S536" i="1" s="1"/>
  <c r="T539" i="1"/>
  <c r="R539" i="1"/>
  <c r="S539" i="1" s="1"/>
  <c r="T547" i="1"/>
  <c r="R547" i="1"/>
  <c r="S547" i="1" s="1"/>
  <c r="R549" i="1"/>
  <c r="S549" i="1" s="1"/>
  <c r="T549" i="1"/>
  <c r="R577" i="1"/>
  <c r="S577" i="1" s="1"/>
  <c r="T577" i="1"/>
  <c r="R627" i="1"/>
  <c r="S627" i="1" s="1"/>
  <c r="T627" i="1"/>
  <c r="R358" i="1"/>
  <c r="S358" i="1" s="1"/>
  <c r="R362" i="1"/>
  <c r="S362" i="1" s="1"/>
  <c r="R366" i="1"/>
  <c r="S366" i="1" s="1"/>
  <c r="R369" i="1"/>
  <c r="S369" i="1" s="1"/>
  <c r="R373" i="1"/>
  <c r="S373" i="1" s="1"/>
  <c r="R377" i="1"/>
  <c r="S377" i="1" s="1"/>
  <c r="R381" i="1"/>
  <c r="S381" i="1" s="1"/>
  <c r="R385" i="1"/>
  <c r="S385" i="1" s="1"/>
  <c r="R389" i="1"/>
  <c r="S389" i="1" s="1"/>
  <c r="R393" i="1"/>
  <c r="S393" i="1" s="1"/>
  <c r="R407" i="1"/>
  <c r="S407" i="1" s="1"/>
  <c r="R415" i="1"/>
  <c r="S415" i="1" s="1"/>
  <c r="R426" i="1"/>
  <c r="S426" i="1" s="1"/>
  <c r="R458" i="1"/>
  <c r="S458" i="1" s="1"/>
  <c r="R490" i="1"/>
  <c r="S490" i="1" s="1"/>
  <c r="R522" i="1"/>
  <c r="S522" i="1" s="1"/>
  <c r="R540" i="1"/>
  <c r="S540" i="1" s="1"/>
  <c r="T541" i="1"/>
  <c r="T542" i="1"/>
  <c r="R542" i="1"/>
  <c r="S542" i="1" s="1"/>
  <c r="T544" i="1"/>
  <c r="R545" i="1"/>
  <c r="S545" i="1" s="1"/>
  <c r="T546" i="1"/>
  <c r="T548" i="1"/>
  <c r="R548" i="1"/>
  <c r="S548" i="1" s="1"/>
  <c r="R560" i="1"/>
  <c r="S560" i="1" s="1"/>
  <c r="T576" i="1"/>
  <c r="R583" i="1"/>
  <c r="S583" i="1" s="1"/>
  <c r="T587" i="1"/>
  <c r="T613" i="1"/>
  <c r="T633" i="1"/>
  <c r="T640" i="1"/>
  <c r="R658" i="1"/>
  <c r="S658" i="1" s="1"/>
  <c r="T658" i="1"/>
  <c r="T593" i="1"/>
  <c r="T617" i="1"/>
  <c r="R639" i="1"/>
  <c r="S639" i="1" s="1"/>
  <c r="T639" i="1"/>
  <c r="R690" i="1"/>
  <c r="S690" i="1" s="1"/>
  <c r="T690" i="1"/>
  <c r="R394" i="1"/>
  <c r="S394" i="1" s="1"/>
  <c r="R530" i="1"/>
  <c r="S530" i="1" s="1"/>
  <c r="R563" i="1"/>
  <c r="S563" i="1" s="1"/>
  <c r="T569" i="1"/>
  <c r="R570" i="1"/>
  <c r="S570" i="1" s="1"/>
  <c r="T582" i="1"/>
  <c r="T588" i="1"/>
  <c r="T638" i="1"/>
  <c r="R645" i="1"/>
  <c r="S645" i="1" s="1"/>
  <c r="T649" i="1"/>
  <c r="R670" i="1"/>
  <c r="S670" i="1" s="1"/>
  <c r="T670" i="1"/>
  <c r="R698" i="1"/>
  <c r="S698" i="1" s="1"/>
  <c r="R581" i="1"/>
  <c r="S581" i="1" s="1"/>
  <c r="T581" i="1"/>
  <c r="R602" i="1"/>
  <c r="S602" i="1" s="1"/>
  <c r="R676" i="1"/>
  <c r="S676" i="1" s="1"/>
  <c r="T680" i="1"/>
  <c r="T711" i="1"/>
  <c r="T714" i="1"/>
  <c r="T552" i="1"/>
  <c r="R553" i="1"/>
  <c r="S553" i="1" s="1"/>
  <c r="T554" i="1"/>
  <c r="R559" i="1"/>
  <c r="S559" i="1" s="1"/>
  <c r="T559" i="1"/>
  <c r="T584" i="1"/>
  <c r="R585" i="1"/>
  <c r="S585" i="1" s="1"/>
  <c r="T586" i="1"/>
  <c r="R591" i="1"/>
  <c r="S591" i="1" s="1"/>
  <c r="T591" i="1"/>
  <c r="T614" i="1"/>
  <c r="R615" i="1"/>
  <c r="S615" i="1" s="1"/>
  <c r="T616" i="1"/>
  <c r="R621" i="1"/>
  <c r="S621" i="1" s="1"/>
  <c r="T621" i="1"/>
  <c r="T646" i="1"/>
  <c r="R647" i="1"/>
  <c r="S647" i="1" s="1"/>
  <c r="T648" i="1"/>
  <c r="R653" i="1"/>
  <c r="S653" i="1" s="1"/>
  <c r="T653" i="1"/>
  <c r="T677" i="1"/>
  <c r="R678" i="1"/>
  <c r="S678" i="1" s="1"/>
  <c r="T679" i="1"/>
  <c r="R684" i="1"/>
  <c r="S684" i="1" s="1"/>
  <c r="T684" i="1"/>
  <c r="T708" i="1"/>
  <c r="R709" i="1"/>
  <c r="S709" i="1" s="1"/>
  <c r="T710" i="1"/>
  <c r="T590" i="1"/>
  <c r="R595" i="1"/>
  <c r="S595" i="1" s="1"/>
  <c r="T595" i="1"/>
  <c r="T618" i="1"/>
  <c r="T620" i="1"/>
  <c r="R625" i="1"/>
  <c r="S625" i="1" s="1"/>
  <c r="T625" i="1"/>
  <c r="T650" i="1"/>
  <c r="T652" i="1"/>
  <c r="T681" i="1"/>
  <c r="T683" i="1"/>
  <c r="R688" i="1"/>
  <c r="S688" i="1" s="1"/>
  <c r="T688" i="1"/>
  <c r="T712" i="1"/>
  <c r="T713" i="1"/>
  <c r="R713" i="1"/>
  <c r="S713" i="1" s="1"/>
  <c r="T560" i="1"/>
  <c r="R561" i="1"/>
  <c r="S561" i="1" s="1"/>
  <c r="T562" i="1"/>
  <c r="R567" i="1"/>
  <c r="S567" i="1" s="1"/>
  <c r="T567" i="1"/>
  <c r="T592" i="1"/>
  <c r="R593" i="1"/>
  <c r="S593" i="1" s="1"/>
  <c r="T594" i="1"/>
  <c r="R599" i="1"/>
  <c r="S599" i="1" s="1"/>
  <c r="T599" i="1"/>
  <c r="T622" i="1"/>
  <c r="R623" i="1"/>
  <c r="S623" i="1" s="1"/>
  <c r="T624" i="1"/>
  <c r="R629" i="1"/>
  <c r="S629" i="1" s="1"/>
  <c r="T629" i="1"/>
  <c r="T654" i="1"/>
  <c r="R655" i="1"/>
  <c r="S655" i="1" s="1"/>
  <c r="T656" i="1"/>
  <c r="R660" i="1"/>
  <c r="S660" i="1" s="1"/>
  <c r="T660" i="1"/>
  <c r="T685" i="1"/>
  <c r="R686" i="1"/>
  <c r="S686" i="1" s="1"/>
  <c r="T687" i="1"/>
  <c r="R692" i="1"/>
  <c r="S692" i="1" s="1"/>
  <c r="T692" i="1"/>
  <c r="T695" i="1"/>
  <c r="T568" i="1"/>
  <c r="R569" i="1"/>
  <c r="S569" i="1" s="1"/>
  <c r="T570" i="1"/>
  <c r="R575" i="1"/>
  <c r="S575" i="1" s="1"/>
  <c r="T575" i="1"/>
  <c r="T600" i="1"/>
  <c r="R601" i="1"/>
  <c r="S601" i="1" s="1"/>
  <c r="T602" i="1"/>
  <c r="R607" i="1"/>
  <c r="S607" i="1" s="1"/>
  <c r="T607" i="1"/>
  <c r="T630" i="1"/>
  <c r="R631" i="1"/>
  <c r="S631" i="1" s="1"/>
  <c r="T632" i="1"/>
  <c r="R637" i="1"/>
  <c r="S637" i="1" s="1"/>
  <c r="T637" i="1"/>
  <c r="T661" i="1"/>
  <c r="R662" i="1"/>
  <c r="S662" i="1" s="1"/>
  <c r="T663" i="1"/>
  <c r="R668" i="1"/>
  <c r="S668" i="1" s="1"/>
  <c r="T668" i="1"/>
  <c r="R693" i="1"/>
  <c r="S693" i="1" s="1"/>
  <c r="T694" i="1"/>
  <c r="R699" i="1"/>
  <c r="S699" i="1" s="1"/>
  <c r="T699" i="1"/>
  <c r="T572" i="1"/>
  <c r="R573" i="1"/>
  <c r="S573" i="1" s="1"/>
  <c r="T574" i="1"/>
  <c r="R579" i="1"/>
  <c r="S579" i="1" s="1"/>
  <c r="T579" i="1"/>
  <c r="T604" i="1"/>
  <c r="R605" i="1"/>
  <c r="S605" i="1" s="1"/>
  <c r="T606" i="1"/>
  <c r="R609" i="1"/>
  <c r="S609" i="1" s="1"/>
  <c r="T609" i="1"/>
  <c r="T634" i="1"/>
  <c r="R635" i="1"/>
  <c r="S635" i="1" s="1"/>
  <c r="T636" i="1"/>
  <c r="R641" i="1"/>
  <c r="S641" i="1" s="1"/>
  <c r="T641" i="1"/>
  <c r="T665" i="1"/>
  <c r="R666" i="1"/>
  <c r="S666" i="1" s="1"/>
  <c r="T667" i="1"/>
  <c r="R672" i="1"/>
  <c r="S672" i="1" s="1"/>
  <c r="T672" i="1"/>
  <c r="T696" i="1"/>
  <c r="R697" i="1"/>
  <c r="S697" i="1" s="1"/>
  <c r="T698" i="1"/>
  <c r="R703" i="1"/>
  <c r="S703" i="1" s="1"/>
  <c r="T703" i="1"/>
  <c r="T705" i="1"/>
  <c r="T57" i="1"/>
  <c r="R117" i="1"/>
  <c r="S117" i="1" s="1"/>
  <c r="T117" i="1"/>
  <c r="R2" i="1"/>
  <c r="S2" i="1" s="1"/>
  <c r="T4" i="1"/>
  <c r="T22" i="1"/>
  <c r="T27" i="1"/>
  <c r="T31" i="1"/>
  <c r="T51" i="1"/>
  <c r="T56" i="1"/>
  <c r="T61" i="1"/>
  <c r="R62" i="1"/>
  <c r="S62" i="1" s="1"/>
  <c r="T81" i="1"/>
  <c r="R118" i="1"/>
  <c r="S118" i="1" s="1"/>
  <c r="T23" i="1"/>
  <c r="T3" i="1"/>
  <c r="R7" i="1"/>
  <c r="S7" i="1" s="1"/>
  <c r="T7" i="1"/>
  <c r="R8" i="1"/>
  <c r="S8" i="1" s="1"/>
  <c r="R23" i="1"/>
  <c r="S23" i="1" s="1"/>
  <c r="T26" i="1"/>
  <c r="T30" i="1"/>
  <c r="R34" i="1"/>
  <c r="S34" i="1" s="1"/>
  <c r="R52" i="1"/>
  <c r="S52" i="1" s="1"/>
  <c r="T55" i="1"/>
  <c r="T60" i="1"/>
  <c r="R65" i="1"/>
  <c r="S65" i="1" s="1"/>
  <c r="T82" i="1"/>
  <c r="T105" i="1"/>
  <c r="R115" i="1"/>
  <c r="S115" i="1" s="1"/>
  <c r="T129" i="1"/>
  <c r="R11" i="1"/>
  <c r="S11" i="1" s="1"/>
  <c r="T11" i="1"/>
  <c r="R12" i="1"/>
  <c r="S12" i="1" s="1"/>
  <c r="R27" i="1"/>
  <c r="S27" i="1" s="1"/>
  <c r="T29" i="1"/>
  <c r="T33" i="1"/>
  <c r="R37" i="1"/>
  <c r="S37" i="1" s="1"/>
  <c r="T37" i="1"/>
  <c r="R38" i="1"/>
  <c r="S38" i="1" s="1"/>
  <c r="R56" i="1"/>
  <c r="S56" i="1" s="1"/>
  <c r="T59" i="1"/>
  <c r="T64" i="1"/>
  <c r="R67" i="1"/>
  <c r="S67" i="1" s="1"/>
  <c r="T67" i="1"/>
  <c r="R68" i="1"/>
  <c r="S68" i="1" s="1"/>
  <c r="R88" i="1"/>
  <c r="S88" i="1" s="1"/>
  <c r="T115" i="1"/>
  <c r="T118" i="1"/>
  <c r="T52" i="1"/>
  <c r="R3" i="1"/>
  <c r="S3" i="1" s="1"/>
  <c r="T6" i="1"/>
  <c r="T10" i="1"/>
  <c r="R15" i="1"/>
  <c r="S15" i="1" s="1"/>
  <c r="T15" i="1"/>
  <c r="R30" i="1"/>
  <c r="S30" i="1" s="1"/>
  <c r="T36" i="1"/>
  <c r="R41" i="1"/>
  <c r="S41" i="1" s="1"/>
  <c r="T41" i="1"/>
  <c r="R60" i="1"/>
  <c r="S60" i="1" s="1"/>
  <c r="T63" i="1"/>
  <c r="T66" i="1"/>
  <c r="R71" i="1"/>
  <c r="S71" i="1" s="1"/>
  <c r="T71" i="1"/>
  <c r="T87" i="1"/>
  <c r="T88" i="1"/>
  <c r="R99" i="1"/>
  <c r="S99" i="1" s="1"/>
  <c r="T99" i="1"/>
  <c r="T100" i="1"/>
  <c r="T102" i="1"/>
  <c r="R102" i="1"/>
  <c r="S102" i="1" s="1"/>
  <c r="R105" i="1"/>
  <c r="S105" i="1" s="1"/>
  <c r="T114" i="1"/>
  <c r="T125" i="1"/>
  <c r="T126" i="1"/>
  <c r="R126" i="1"/>
  <c r="S126" i="1" s="1"/>
  <c r="R129" i="1"/>
  <c r="S129" i="1" s="1"/>
  <c r="T137" i="1"/>
  <c r="R137" i="1"/>
  <c r="S137" i="1" s="1"/>
  <c r="T18" i="1"/>
  <c r="T45" i="1"/>
  <c r="T75" i="1"/>
  <c r="R85" i="1"/>
  <c r="S85" i="1" s="1"/>
  <c r="T85" i="1"/>
  <c r="R114" i="1"/>
  <c r="S114" i="1" s="1"/>
  <c r="T17" i="1"/>
  <c r="T20" i="1"/>
  <c r="R21" i="1"/>
  <c r="S21" i="1" s="1"/>
  <c r="T44" i="1"/>
  <c r="T49" i="1"/>
  <c r="R50" i="1"/>
  <c r="S50" i="1" s="1"/>
  <c r="T74" i="1"/>
  <c r="T79" i="1"/>
  <c r="R80" i="1"/>
  <c r="S80" i="1" s="1"/>
  <c r="T84" i="1"/>
  <c r="R84" i="1"/>
  <c r="S84" i="1" s="1"/>
  <c r="T98" i="1"/>
  <c r="R98" i="1"/>
  <c r="S98" i="1" s="1"/>
  <c r="R108" i="1"/>
  <c r="S108" i="1" s="1"/>
  <c r="T108" i="1"/>
  <c r="R14" i="1"/>
  <c r="S14" i="1" s="1"/>
  <c r="T16" i="1"/>
  <c r="R24" i="1"/>
  <c r="S24" i="1" s="1"/>
  <c r="T24" i="1"/>
  <c r="R40" i="1"/>
  <c r="S40" i="1" s="1"/>
  <c r="T43" i="1"/>
  <c r="T48" i="1"/>
  <c r="R53" i="1"/>
  <c r="S53" i="1" s="1"/>
  <c r="T53" i="1"/>
  <c r="R70" i="1"/>
  <c r="S70" i="1" s="1"/>
  <c r="T73" i="1"/>
  <c r="T78" i="1"/>
  <c r="T97" i="1"/>
  <c r="T107" i="1"/>
  <c r="T120" i="1"/>
  <c r="R124" i="1"/>
  <c r="S124" i="1" s="1"/>
  <c r="R131" i="1"/>
  <c r="S131" i="1" s="1"/>
  <c r="R135" i="1"/>
  <c r="S135" i="1" s="1"/>
  <c r="T157" i="1"/>
  <c r="R91" i="1"/>
  <c r="S91" i="1" s="1"/>
  <c r="R100" i="1"/>
  <c r="S100" i="1" s="1"/>
  <c r="R109" i="1"/>
  <c r="S109" i="1" s="1"/>
  <c r="R168" i="1"/>
  <c r="S168" i="1" s="1"/>
  <c r="T183" i="1"/>
  <c r="R201" i="1"/>
  <c r="S201" i="1" s="1"/>
  <c r="T209" i="1"/>
  <c r="T184" i="1"/>
  <c r="R184" i="1"/>
  <c r="S184" i="1" s="1"/>
  <c r="R82" i="1"/>
  <c r="S82" i="1" s="1"/>
  <c r="R192" i="1"/>
  <c r="S192" i="1" s="1"/>
  <c r="R217" i="1"/>
  <c r="S217" i="1" s="1"/>
  <c r="T217" i="1"/>
  <c r="T145" i="1"/>
  <c r="R83" i="1"/>
  <c r="S83" i="1" s="1"/>
  <c r="R110" i="1"/>
  <c r="S110" i="1" s="1"/>
  <c r="R130" i="1"/>
  <c r="S130" i="1" s="1"/>
  <c r="R143" i="1"/>
  <c r="S143" i="1" s="1"/>
  <c r="T160" i="1"/>
  <c r="T170" i="1"/>
  <c r="R170" i="1"/>
  <c r="S170" i="1" s="1"/>
  <c r="T171" i="1"/>
  <c r="R171" i="1"/>
  <c r="S171" i="1" s="1"/>
  <c r="T173" i="1"/>
  <c r="R175" i="1"/>
  <c r="S175" i="1" s="1"/>
  <c r="R197" i="1"/>
  <c r="S197" i="1" s="1"/>
  <c r="T197" i="1"/>
  <c r="R224" i="1"/>
  <c r="S224" i="1" s="1"/>
  <c r="R106" i="1"/>
  <c r="S106" i="1" s="1"/>
  <c r="R125" i="1"/>
  <c r="S125" i="1" s="1"/>
  <c r="R154" i="1"/>
  <c r="S154" i="1" s="1"/>
  <c r="R161" i="1"/>
  <c r="S161" i="1" s="1"/>
  <c r="T161" i="1"/>
  <c r="R162" i="1"/>
  <c r="S162" i="1" s="1"/>
  <c r="T169" i="1"/>
  <c r="R172" i="1"/>
  <c r="S172" i="1" s="1"/>
  <c r="R174" i="1"/>
  <c r="S174" i="1" s="1"/>
  <c r="R176" i="1"/>
  <c r="S176" i="1" s="1"/>
  <c r="T196" i="1"/>
  <c r="R208" i="1"/>
  <c r="S208" i="1" s="1"/>
  <c r="R93" i="1"/>
  <c r="S93" i="1" s="1"/>
  <c r="R107" i="1"/>
  <c r="S107" i="1" s="1"/>
  <c r="R116" i="1"/>
  <c r="S116" i="1" s="1"/>
  <c r="R140" i="1"/>
  <c r="S140" i="1" s="1"/>
  <c r="R155" i="1"/>
  <c r="S155" i="1" s="1"/>
  <c r="R163" i="1"/>
  <c r="S163" i="1" s="1"/>
  <c r="R177" i="1"/>
  <c r="S177" i="1" s="1"/>
  <c r="T177" i="1"/>
  <c r="T180" i="1"/>
  <c r="R181" i="1"/>
  <c r="S181" i="1" s="1"/>
  <c r="T185" i="1"/>
  <c r="T187" i="1"/>
  <c r="R190" i="1"/>
  <c r="S190" i="1" s="1"/>
  <c r="R194" i="1"/>
  <c r="S194" i="1" s="1"/>
  <c r="R213" i="1"/>
  <c r="S213" i="1" s="1"/>
  <c r="T213" i="1"/>
  <c r="R150" i="1"/>
  <c r="S150" i="1" s="1"/>
  <c r="T179" i="1"/>
  <c r="R179" i="1"/>
  <c r="S179" i="1" s="1"/>
  <c r="T212" i="1"/>
  <c r="T156" i="1"/>
  <c r="T165" i="1"/>
  <c r="T178" i="1"/>
  <c r="T199" i="1"/>
  <c r="T203" i="1"/>
  <c r="R206" i="1"/>
  <c r="S206" i="1" s="1"/>
  <c r="R210" i="1"/>
  <c r="S210" i="1" s="1"/>
  <c r="R219" i="1"/>
  <c r="S219" i="1" s="1"/>
  <c r="T188" i="1"/>
  <c r="R189" i="1"/>
  <c r="S189" i="1" s="1"/>
  <c r="R191" i="1"/>
  <c r="S191" i="1" s="1"/>
  <c r="T191" i="1"/>
  <c r="T204" i="1"/>
  <c r="R205" i="1"/>
  <c r="S205" i="1" s="1"/>
  <c r="R207" i="1"/>
  <c r="S207" i="1" s="1"/>
  <c r="T207" i="1"/>
  <c r="T220" i="1"/>
  <c r="R221" i="1"/>
  <c r="S221" i="1" s="1"/>
  <c r="R223" i="1"/>
  <c r="S223" i="1" s="1"/>
  <c r="T223" i="1"/>
  <c r="R226" i="1"/>
  <c r="S226" i="1" s="1"/>
  <c r="T229" i="1"/>
  <c r="R230" i="1"/>
  <c r="S230" i="1" s="1"/>
  <c r="T233" i="1"/>
  <c r="R234" i="1"/>
  <c r="S234" i="1" s="1"/>
  <c r="T237" i="1"/>
  <c r="R238" i="1"/>
  <c r="S238" i="1" s="1"/>
  <c r="T241" i="1"/>
  <c r="R242" i="1"/>
  <c r="S242" i="1" s="1"/>
  <c r="T245" i="1"/>
  <c r="R246" i="1"/>
  <c r="S246" i="1" s="1"/>
  <c r="T249" i="1"/>
  <c r="R250" i="1"/>
  <c r="S250" i="1" s="1"/>
  <c r="T253" i="1"/>
  <c r="R254" i="1"/>
  <c r="S254" i="1" s="1"/>
  <c r="T257" i="1"/>
  <c r="R258" i="1"/>
  <c r="S258" i="1" s="1"/>
  <c r="T261" i="1"/>
  <c r="R262" i="1"/>
  <c r="S262" i="1" s="1"/>
  <c r="T265" i="1"/>
  <c r="R266" i="1"/>
  <c r="S266" i="1" s="1"/>
  <c r="T269" i="1"/>
  <c r="R270" i="1"/>
  <c r="S270" i="1" s="1"/>
  <c r="T273" i="1"/>
  <c r="R274" i="1"/>
  <c r="S274" i="1" s="1"/>
  <c r="T277" i="1"/>
  <c r="R278" i="1"/>
  <c r="S278" i="1" s="1"/>
  <c r="T281" i="1"/>
  <c r="R282" i="1"/>
  <c r="S282" i="1" s="1"/>
  <c r="T285" i="1"/>
  <c r="R286" i="1"/>
  <c r="S286" i="1" s="1"/>
  <c r="T289" i="1"/>
  <c r="R290" i="1"/>
  <c r="S290" i="1" s="1"/>
  <c r="T293" i="1"/>
  <c r="R294" i="1"/>
  <c r="S294" i="1" s="1"/>
  <c r="T297" i="1"/>
  <c r="R298" i="1"/>
  <c r="S298" i="1" s="1"/>
  <c r="T301" i="1"/>
  <c r="R302" i="1"/>
  <c r="S302" i="1" s="1"/>
  <c r="T305" i="1"/>
  <c r="R306" i="1"/>
  <c r="S306" i="1" s="1"/>
  <c r="T309" i="1"/>
  <c r="T313" i="1"/>
  <c r="T317" i="1"/>
  <c r="T321" i="1"/>
  <c r="T325" i="1"/>
  <c r="T333" i="1"/>
  <c r="T337" i="1"/>
  <c r="T341" i="1"/>
  <c r="T345" i="1"/>
  <c r="T349" i="1"/>
  <c r="T354" i="1"/>
  <c r="T194" i="1"/>
  <c r="T210" i="1"/>
  <c r="R329" i="1"/>
  <c r="S329" i="1" s="1"/>
  <c r="T192" i="1"/>
  <c r="R193" i="1"/>
  <c r="S193" i="1" s="1"/>
  <c r="R195" i="1"/>
  <c r="S195" i="1" s="1"/>
  <c r="T195" i="1"/>
  <c r="T208" i="1"/>
  <c r="R209" i="1"/>
  <c r="S209" i="1" s="1"/>
  <c r="R211" i="1"/>
  <c r="S211" i="1" s="1"/>
  <c r="T211" i="1"/>
  <c r="T224" i="1"/>
  <c r="R225" i="1"/>
  <c r="S225" i="1" s="1"/>
  <c r="R227" i="1"/>
  <c r="S227" i="1" s="1"/>
  <c r="T227" i="1"/>
  <c r="R231" i="1"/>
  <c r="S231" i="1" s="1"/>
  <c r="T231" i="1"/>
  <c r="R235" i="1"/>
  <c r="S235" i="1" s="1"/>
  <c r="T235" i="1"/>
  <c r="R239" i="1"/>
  <c r="S239" i="1" s="1"/>
  <c r="T239" i="1"/>
  <c r="R243" i="1"/>
  <c r="S243" i="1" s="1"/>
  <c r="T243" i="1"/>
  <c r="R247" i="1"/>
  <c r="S247" i="1" s="1"/>
  <c r="T247" i="1"/>
  <c r="R251" i="1"/>
  <c r="S251" i="1" s="1"/>
  <c r="T251" i="1"/>
  <c r="R255" i="1"/>
  <c r="S255" i="1" s="1"/>
  <c r="T255" i="1"/>
  <c r="R259" i="1"/>
  <c r="S259" i="1" s="1"/>
  <c r="T259" i="1"/>
  <c r="R263" i="1"/>
  <c r="S263" i="1" s="1"/>
  <c r="T263" i="1"/>
  <c r="R267" i="1"/>
  <c r="S267" i="1" s="1"/>
  <c r="T267" i="1"/>
  <c r="R271" i="1"/>
  <c r="S271" i="1" s="1"/>
  <c r="T271" i="1"/>
  <c r="R275" i="1"/>
  <c r="S275" i="1" s="1"/>
  <c r="T275" i="1"/>
  <c r="R279" i="1"/>
  <c r="S279" i="1" s="1"/>
  <c r="T279" i="1"/>
  <c r="R283" i="1"/>
  <c r="S283" i="1" s="1"/>
  <c r="T283" i="1"/>
  <c r="R287" i="1"/>
  <c r="S287" i="1" s="1"/>
  <c r="T287" i="1"/>
  <c r="R291" i="1"/>
  <c r="S291" i="1" s="1"/>
  <c r="T291" i="1"/>
  <c r="R295" i="1"/>
  <c r="S295" i="1" s="1"/>
  <c r="T295" i="1"/>
  <c r="R299" i="1"/>
  <c r="S299" i="1" s="1"/>
  <c r="T299" i="1"/>
  <c r="R303" i="1"/>
  <c r="S303" i="1" s="1"/>
  <c r="T303" i="1"/>
  <c r="R307" i="1"/>
  <c r="S307" i="1" s="1"/>
  <c r="T307" i="1"/>
  <c r="R311" i="1"/>
  <c r="S311" i="1" s="1"/>
  <c r="T311" i="1"/>
  <c r="R315" i="1"/>
  <c r="S315" i="1" s="1"/>
  <c r="T315" i="1"/>
  <c r="R319" i="1"/>
  <c r="S319" i="1" s="1"/>
  <c r="T319" i="1"/>
  <c r="R323" i="1"/>
  <c r="S323" i="1" s="1"/>
  <c r="T323" i="1"/>
  <c r="R327" i="1"/>
  <c r="S327" i="1" s="1"/>
  <c r="T327" i="1"/>
  <c r="R331" i="1"/>
  <c r="S331" i="1" s="1"/>
  <c r="T331" i="1"/>
  <c r="R335" i="1"/>
  <c r="S335" i="1" s="1"/>
  <c r="T335" i="1"/>
  <c r="R339" i="1"/>
  <c r="S339" i="1" s="1"/>
  <c r="T339" i="1"/>
  <c r="R343" i="1"/>
  <c r="S343" i="1" s="1"/>
  <c r="T343" i="1"/>
  <c r="R347" i="1"/>
  <c r="S347" i="1" s="1"/>
  <c r="T347" i="1"/>
  <c r="R351" i="1"/>
  <c r="S351" i="1" s="1"/>
  <c r="T351" i="1"/>
  <c r="T198" i="1"/>
  <c r="T214" i="1"/>
  <c r="T228" i="1"/>
  <c r="T232" i="1"/>
  <c r="T236" i="1"/>
  <c r="T240" i="1"/>
  <c r="T244" i="1"/>
  <c r="T248" i="1"/>
  <c r="T252" i="1"/>
  <c r="T256" i="1"/>
  <c r="T260" i="1"/>
  <c r="T264" i="1"/>
  <c r="T268" i="1"/>
  <c r="T272" i="1"/>
  <c r="T276" i="1"/>
  <c r="T280" i="1"/>
  <c r="T284" i="1"/>
  <c r="T288" i="1"/>
  <c r="T292" i="1"/>
  <c r="T296" i="1"/>
  <c r="T300" i="1"/>
  <c r="T304" i="1"/>
  <c r="T308" i="1"/>
  <c r="T312" i="1"/>
  <c r="T316" i="1"/>
  <c r="T320" i="1"/>
  <c r="T324" i="1"/>
  <c r="T328" i="1"/>
  <c r="T332" i="1"/>
  <c r="T336" i="1"/>
  <c r="T340" i="1"/>
  <c r="T344" i="1"/>
  <c r="T348" i="1"/>
  <c r="T352" i="1"/>
  <c r="T215" i="1"/>
  <c r="T186" i="1"/>
  <c r="T202" i="1"/>
  <c r="T218" i="1"/>
  <c r="R228" i="1"/>
  <c r="S228" i="1" s="1"/>
  <c r="R232" i="1"/>
  <c r="S232" i="1" s="1"/>
  <c r="R236" i="1"/>
  <c r="S236" i="1" s="1"/>
  <c r="R240" i="1"/>
  <c r="S240" i="1" s="1"/>
  <c r="R244" i="1"/>
  <c r="S244" i="1" s="1"/>
  <c r="R248" i="1"/>
  <c r="S248" i="1" s="1"/>
  <c r="R252" i="1"/>
  <c r="S252" i="1" s="1"/>
  <c r="R256" i="1"/>
  <c r="S256" i="1" s="1"/>
  <c r="R260" i="1"/>
  <c r="S260" i="1" s="1"/>
  <c r="R264" i="1"/>
  <c r="S264" i="1" s="1"/>
  <c r="R268" i="1"/>
  <c r="S268" i="1" s="1"/>
  <c r="R272" i="1"/>
  <c r="S272" i="1" s="1"/>
  <c r="R276" i="1"/>
  <c r="S276" i="1" s="1"/>
  <c r="R280" i="1"/>
  <c r="S280" i="1" s="1"/>
  <c r="R284" i="1"/>
  <c r="S284" i="1" s="1"/>
  <c r="R288" i="1"/>
  <c r="S288" i="1" s="1"/>
  <c r="R292" i="1"/>
  <c r="S292" i="1" s="1"/>
  <c r="R296" i="1"/>
  <c r="S296" i="1" s="1"/>
  <c r="R300" i="1"/>
  <c r="S300" i="1" s="1"/>
  <c r="R304" i="1"/>
  <c r="S304" i="1" s="1"/>
  <c r="R308" i="1"/>
  <c r="S308" i="1" s="1"/>
  <c r="R312" i="1"/>
  <c r="S312" i="1" s="1"/>
  <c r="R316" i="1"/>
  <c r="S316" i="1" s="1"/>
  <c r="R320" i="1"/>
  <c r="S320" i="1" s="1"/>
  <c r="R324" i="1"/>
  <c r="S324" i="1" s="1"/>
  <c r="R328" i="1"/>
  <c r="S328" i="1" s="1"/>
  <c r="R332" i="1"/>
  <c r="S332" i="1" s="1"/>
  <c r="R336" i="1"/>
  <c r="S336" i="1" s="1"/>
  <c r="R340" i="1"/>
  <c r="S340" i="1" s="1"/>
  <c r="R344" i="1"/>
  <c r="S344" i="1" s="1"/>
  <c r="R348" i="1"/>
  <c r="S348" i="1" s="1"/>
  <c r="R352" i="1"/>
  <c r="S352" i="1" s="1"/>
  <c r="R353" i="1"/>
  <c r="S353" i="1" s="1"/>
  <c r="R354" i="1"/>
  <c r="S354" i="1" s="1"/>
</calcChain>
</file>

<file path=xl/sharedStrings.xml><?xml version="1.0" encoding="utf-8"?>
<sst xmlns="http://schemas.openxmlformats.org/spreadsheetml/2006/main" count="2370" uniqueCount="24">
  <si>
    <t>Station</t>
  </si>
  <si>
    <t>PostelCode</t>
  </si>
  <si>
    <t>Timestamp</t>
  </si>
  <si>
    <t>PM2.5 AQI</t>
  </si>
  <si>
    <t>PM10 AQI</t>
  </si>
  <si>
    <t>NO2 AQI</t>
  </si>
  <si>
    <t>NH3 AQI</t>
  </si>
  <si>
    <t>SO2 AQI</t>
  </si>
  <si>
    <t>CO AQI</t>
  </si>
  <si>
    <t>OZONE AQI</t>
  </si>
  <si>
    <t>AQI</t>
  </si>
  <si>
    <t>AQI LEVEL</t>
  </si>
  <si>
    <t>FRE</t>
  </si>
  <si>
    <t>AT (Â°C)</t>
  </si>
  <si>
    <t>RH (%)</t>
  </si>
  <si>
    <t>Bapuji Nager,Bengaluru-KSPCB</t>
  </si>
  <si>
    <t>NA</t>
  </si>
  <si>
    <t>PM2.5</t>
  </si>
  <si>
    <t>PM10</t>
  </si>
  <si>
    <t>NO2</t>
  </si>
  <si>
    <t>NH3</t>
  </si>
  <si>
    <t>SO2</t>
  </si>
  <si>
    <t>CO</t>
  </si>
  <si>
    <t>Ozone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</si>
</sst>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22" fontId="0" fillId="0" borderId="0" xfId="0" applyNumberFormat="1"/>
    <xf numFmtId="14" fontId="0" fillId="0" borderId="0" xfId="0" applyNumberFormat="1"/>
    <xf numFmtId="14" fontId="0" fillId="2" borderId="1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48"/>
  <sheetViews>
    <sheetView tabSelected="1" workbookViewId="0">
      <pane ySplit="1" topLeftCell="A2328" activePane="bottomLeft" state="frozen"/>
      <selection pane="bottomLeft" activeCell="S2340" sqref="S2340"/>
    </sheetView>
  </sheetViews>
  <sheetFormatPr defaultRowHeight="14.4" x14ac:dyDescent="0.3"/>
  <cols>
    <col min="3" max="3" width="15.441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x14ac:dyDescent="0.3">
      <c r="A2" s="2" t="s">
        <v>15</v>
      </c>
      <c r="B2">
        <v>560026</v>
      </c>
      <c r="C2" s="3">
        <v>43466</v>
      </c>
      <c r="D2">
        <v>66.2</v>
      </c>
      <c r="E2">
        <v>121.35</v>
      </c>
      <c r="F2">
        <v>80.22</v>
      </c>
      <c r="G2">
        <v>13.74</v>
      </c>
      <c r="H2">
        <v>8.5</v>
      </c>
      <c r="I2">
        <v>1.38</v>
      </c>
      <c r="J2">
        <v>86.96</v>
      </c>
      <c r="K2">
        <f t="shared" ref="K2:K58" si="0">IF(ISTEXT(D2),0,IF(D2&lt;=30,D2*50/30,IF(AND(D2&gt;30,D2&lt;=60),50+(D2-30)*50/30,IF(AND(D2&gt;60,D2&lt;=90),100+(D2-60)*100/30,IF(AND(D2&gt;90,D2&lt;=120),200+(D2-90)*(100/30),IF(AND(D2&gt;120,D2&lt;=250),300+(D2-120)*(100/130),IF(D2&gt;250,400+(D2-250)*(100/130))))))))</f>
        <v>120.66666666666667</v>
      </c>
      <c r="L2">
        <f t="shared" ref="L2:L58" si="1">IF(ISTEXT(E2),0,IF(E2&lt;=50,E2,IF(AND(E2&gt;50,E2&lt;=100),E2,IF(AND(E2&gt;100,E2&lt;=250),100+(E2-100)*100/150,IF(AND(E2&gt;250,E2&lt;=350),200+(E2-250),IF(AND(E2&gt;350,E2&lt;=430),300+(E2-350)*(100/80),IF(E2&gt;430,400+(E2-430)*(100/80))))))))</f>
        <v>114.23333333333333</v>
      </c>
      <c r="M2">
        <f t="shared" ref="M2:M58" si="2">IF(ISTEXT(F2),0,IF(F2&lt;=40,F2*50/40,IF(AND(F2&gt;40,F2&lt;=80),50+(F2-40)*50/40,IF(AND(F2&gt;80,F2&lt;=180),100+(F2-80)*100/100,IF(AND(F2&gt;180,F2&lt;=280),200+(F2-180)*(100/100),IF(AND(F2&gt;280,F2&lt;=400),300+(F2-280)*(100/120),IF(F2&gt;400,400+(F2-400)*(100/120))))))))</f>
        <v>100.22</v>
      </c>
      <c r="N2">
        <f t="shared" ref="N2:N58" si="3">IF(ISTEXT(G2),0,IF(G2&lt;=200,G2*50/200,IF(AND(G2&gt;200,G2&lt;=400),50+(G2-200)*50/200,IF(AND(G2&gt;400,G2&lt;=800),100+(G2-400)*100/400,IF(AND(G2&gt;800,G2&lt;=1200),200+(G2-800)*(100/400),IF(AND(G2&gt;1200,G2&lt;=1800),300+(G2-1200)*(100/600),IF(G2&gt;1800,400+(G2-1800)*(100/600))))))))</f>
        <v>3.4350000000000001</v>
      </c>
      <c r="O2">
        <f t="shared" ref="O2:O58" si="4">IF(ISTEXT(H2),0,IF(H2&lt;=40,H2*50/40,IF(AND(H2&gt;40,H2&lt;=80),50+(H2-40)*50/40,IF(AND(H2&gt;80,H2&lt;=380),100+(H2-80)*100/300,IF(AND(H2&gt;380,H2&lt;=800),200+(H2-380)*(100/420),IF(AND(H2&gt;800,H2&lt;=1600),300+(H2-800)*(100/800),IF(H2&gt;1600,400+(H2-1600)*(100/800))))))))</f>
        <v>10.625</v>
      </c>
      <c r="P2">
        <f t="shared" ref="P2:P58" si="5">IF(I2&lt;=4.4,(50-0)/(4.4-0)*(I2-0)+0,
IF(I2&lt;=9.4,(100-51)/(9.4-4.5)*(I2-4.5)+51,
IF(I2&lt;=12.4,(150-101)/(12.4-9.5)*(I2-9.5)+101,
IF(I2&lt;=15.4,(200-151)/(15.4-12.5)*(I2-12.5)+151,
IF(I2&lt;=30.4,(300-201)/(30.4-15.5)*(I2-15.5)+201,
(500-301)/(50.4-30.5)*(I2-30.5)+301)))))</f>
        <v>15.68181818181818</v>
      </c>
      <c r="Q2">
        <f t="shared" ref="Q2:Q58" si="6">IF(J2&lt;=54,(50-0)/(54-0)*(J2-0)+0,
IF(J2&lt;=70,(100-51)/(70-55)*(J2-55)+51,
IF(J2&lt;=85,(150-101)/(85-71)*(J2-71)+101,
IF(J2&lt;=105,(200-151)/(105-86)*(J2-86)+151,
IF(J2&lt;=200,(300-201)/(200-106)*(J2-106)+201,
(500-301)/(300-201)*(J2-201)+301)))))</f>
        <v>153.47578947368419</v>
      </c>
      <c r="R2">
        <f t="shared" ref="R2:R58" si="7">MAX(K2:Q2)</f>
        <v>153.47578947368419</v>
      </c>
      <c r="S2" t="str">
        <f t="shared" ref="S2:S58" si="8">IF(R2&lt;=50,"Good",
IF(R2&lt;=100,"Satisfactory",
IF(R2&lt;=200,"Moderate",
IF(R2&lt;=300,"Poor",
IF(R2&lt;=400,"Very Poor",
"Severe")))))</f>
        <v>Moderate</v>
      </c>
      <c r="T2" t="str">
        <f t="shared" ref="T2:T58" si="9">IF(MAX(K2:Q2)=K2,"PM2.5",
IF(MAX(K2:Q2)=L2,"PM10",
IF(MAX(K2:Q2)=M2,"NO2",
IF(MAX(K2:Q2)=N2,"NH3",
IF(MAX(K2:Q2)=O2,"SO2",
IF(MAX(K2:Q2)=P2,"CO",
IF(MAX(K2:Q2)=Q2,"OZONE","")))))))</f>
        <v>OZONE</v>
      </c>
      <c r="U2">
        <v>17.829999999999998</v>
      </c>
      <c r="V2">
        <v>48.55</v>
      </c>
    </row>
    <row r="3" spans="1:22" x14ac:dyDescent="0.3">
      <c r="A3" s="2" t="s">
        <v>15</v>
      </c>
      <c r="B3">
        <v>560026</v>
      </c>
      <c r="C3" s="3">
        <v>43467</v>
      </c>
      <c r="D3">
        <v>52.06</v>
      </c>
      <c r="E3">
        <v>100.73</v>
      </c>
      <c r="F3">
        <v>77.260000000000005</v>
      </c>
      <c r="G3">
        <v>13.56</v>
      </c>
      <c r="H3">
        <v>8</v>
      </c>
      <c r="I3">
        <v>1.1100000000000001</v>
      </c>
      <c r="J3">
        <v>77.22</v>
      </c>
      <c r="K3">
        <f t="shared" si="0"/>
        <v>86.766666666666666</v>
      </c>
      <c r="L3">
        <f t="shared" si="1"/>
        <v>100.48666666666666</v>
      </c>
      <c r="M3">
        <f t="shared" si="2"/>
        <v>96.575000000000003</v>
      </c>
      <c r="N3">
        <f t="shared" si="3"/>
        <v>3.39</v>
      </c>
      <c r="O3">
        <f t="shared" si="4"/>
        <v>10</v>
      </c>
      <c r="P3">
        <f t="shared" si="5"/>
        <v>12.613636363636365</v>
      </c>
      <c r="Q3">
        <f t="shared" si="6"/>
        <v>122.77</v>
      </c>
      <c r="R3">
        <f t="shared" si="7"/>
        <v>122.77</v>
      </c>
      <c r="S3" t="str">
        <f t="shared" si="8"/>
        <v>Moderate</v>
      </c>
      <c r="T3" t="str">
        <f t="shared" si="9"/>
        <v>OZONE</v>
      </c>
      <c r="U3">
        <v>13.63</v>
      </c>
      <c r="V3">
        <v>51.41</v>
      </c>
    </row>
    <row r="4" spans="1:22" x14ac:dyDescent="0.3">
      <c r="A4" s="2" t="s">
        <v>15</v>
      </c>
      <c r="B4">
        <v>560026</v>
      </c>
      <c r="C4" s="3">
        <v>43468</v>
      </c>
      <c r="D4">
        <v>54.24</v>
      </c>
      <c r="E4">
        <v>109.91</v>
      </c>
      <c r="F4">
        <v>79.760000000000005</v>
      </c>
      <c r="G4">
        <v>14.58</v>
      </c>
      <c r="H4">
        <v>9.07</v>
      </c>
      <c r="I4">
        <v>1.35</v>
      </c>
      <c r="J4">
        <v>72.680000000000007</v>
      </c>
      <c r="K4">
        <f t="shared" si="0"/>
        <v>90.4</v>
      </c>
      <c r="L4">
        <f t="shared" si="1"/>
        <v>106.60666666666667</v>
      </c>
      <c r="M4">
        <f t="shared" si="2"/>
        <v>99.7</v>
      </c>
      <c r="N4">
        <f t="shared" si="3"/>
        <v>3.645</v>
      </c>
      <c r="O4">
        <f t="shared" si="4"/>
        <v>11.3375</v>
      </c>
      <c r="P4">
        <f t="shared" si="5"/>
        <v>15.340909090909092</v>
      </c>
      <c r="Q4">
        <f t="shared" si="6"/>
        <v>106.88000000000002</v>
      </c>
      <c r="R4">
        <f t="shared" si="7"/>
        <v>106.88000000000002</v>
      </c>
      <c r="S4" t="str">
        <f t="shared" si="8"/>
        <v>Moderate</v>
      </c>
      <c r="T4" t="str">
        <f t="shared" si="9"/>
        <v>OZONE</v>
      </c>
      <c r="U4">
        <v>15.51</v>
      </c>
      <c r="V4">
        <v>48.98</v>
      </c>
    </row>
    <row r="5" spans="1:22" x14ac:dyDescent="0.3">
      <c r="A5" s="2" t="s">
        <v>15</v>
      </c>
      <c r="B5">
        <v>560026</v>
      </c>
      <c r="C5" s="3">
        <v>43469</v>
      </c>
      <c r="D5">
        <v>56.64</v>
      </c>
      <c r="E5">
        <v>113.99</v>
      </c>
      <c r="F5">
        <v>82.45</v>
      </c>
      <c r="G5">
        <v>15.13</v>
      </c>
      <c r="H5">
        <v>8.6199999999999992</v>
      </c>
      <c r="I5">
        <v>1.2</v>
      </c>
      <c r="J5">
        <v>59.44</v>
      </c>
      <c r="K5">
        <f t="shared" si="0"/>
        <v>94.4</v>
      </c>
      <c r="L5">
        <f t="shared" si="1"/>
        <v>109.32666666666667</v>
      </c>
      <c r="M5">
        <f t="shared" si="2"/>
        <v>102.45</v>
      </c>
      <c r="N5">
        <f t="shared" si="3"/>
        <v>3.7825000000000002</v>
      </c>
      <c r="O5">
        <f t="shared" si="4"/>
        <v>10.774999999999999</v>
      </c>
      <c r="P5">
        <f t="shared" si="5"/>
        <v>13.636363636363635</v>
      </c>
      <c r="Q5">
        <f t="shared" si="6"/>
        <v>65.503999999999991</v>
      </c>
      <c r="R5">
        <f t="shared" si="7"/>
        <v>109.32666666666667</v>
      </c>
      <c r="S5" t="str">
        <f t="shared" si="8"/>
        <v>Moderate</v>
      </c>
      <c r="T5" t="str">
        <f t="shared" si="9"/>
        <v>PM10</v>
      </c>
      <c r="U5">
        <v>15.6</v>
      </c>
      <c r="V5">
        <v>45.8</v>
      </c>
    </row>
    <row r="6" spans="1:22" x14ac:dyDescent="0.3">
      <c r="A6" s="2" t="s">
        <v>15</v>
      </c>
      <c r="B6">
        <v>560026</v>
      </c>
      <c r="C6" s="3">
        <v>43470</v>
      </c>
      <c r="D6">
        <v>50.48</v>
      </c>
      <c r="E6">
        <v>101.07</v>
      </c>
      <c r="F6">
        <v>82.87</v>
      </c>
      <c r="G6">
        <v>15.03</v>
      </c>
      <c r="H6">
        <v>8.19</v>
      </c>
      <c r="I6">
        <v>1.2</v>
      </c>
      <c r="J6">
        <v>74.760000000000005</v>
      </c>
      <c r="K6">
        <f t="shared" si="0"/>
        <v>84.133333333333326</v>
      </c>
      <c r="L6">
        <f t="shared" si="1"/>
        <v>100.71333333333332</v>
      </c>
      <c r="M6">
        <f t="shared" si="2"/>
        <v>102.87</v>
      </c>
      <c r="N6">
        <f t="shared" si="3"/>
        <v>3.7574999999999998</v>
      </c>
      <c r="O6">
        <f t="shared" si="4"/>
        <v>10.237500000000001</v>
      </c>
      <c r="P6">
        <f t="shared" si="5"/>
        <v>13.636363636363635</v>
      </c>
      <c r="Q6">
        <f t="shared" si="6"/>
        <v>114.16000000000003</v>
      </c>
      <c r="R6">
        <f t="shared" si="7"/>
        <v>114.16000000000003</v>
      </c>
      <c r="S6" t="str">
        <f t="shared" si="8"/>
        <v>Moderate</v>
      </c>
      <c r="T6" t="str">
        <f t="shared" si="9"/>
        <v>OZONE</v>
      </c>
      <c r="U6">
        <v>18.16</v>
      </c>
      <c r="V6">
        <v>49.89</v>
      </c>
    </row>
    <row r="7" spans="1:22" x14ac:dyDescent="0.3">
      <c r="A7" s="2" t="s">
        <v>15</v>
      </c>
      <c r="B7">
        <v>560026</v>
      </c>
      <c r="C7" s="3">
        <v>43472</v>
      </c>
      <c r="D7">
        <v>64.510000000000005</v>
      </c>
      <c r="E7">
        <v>127.58</v>
      </c>
      <c r="F7">
        <v>84.49</v>
      </c>
      <c r="G7">
        <v>15.19</v>
      </c>
      <c r="H7">
        <v>8.8800000000000008</v>
      </c>
      <c r="I7">
        <v>1.46</v>
      </c>
      <c r="J7">
        <v>87.57</v>
      </c>
      <c r="K7">
        <f t="shared" si="0"/>
        <v>115.03333333333335</v>
      </c>
      <c r="L7">
        <f t="shared" si="1"/>
        <v>118.38666666666667</v>
      </c>
      <c r="M7">
        <f t="shared" si="2"/>
        <v>104.49</v>
      </c>
      <c r="N7">
        <f t="shared" si="3"/>
        <v>3.7974999999999999</v>
      </c>
      <c r="O7">
        <f t="shared" si="4"/>
        <v>11.100000000000001</v>
      </c>
      <c r="P7">
        <f t="shared" si="5"/>
        <v>16.59090909090909</v>
      </c>
      <c r="Q7">
        <f t="shared" si="6"/>
        <v>155.04894736842104</v>
      </c>
      <c r="R7">
        <f t="shared" si="7"/>
        <v>155.04894736842104</v>
      </c>
      <c r="S7" t="str">
        <f t="shared" si="8"/>
        <v>Moderate</v>
      </c>
      <c r="T7" t="str">
        <f t="shared" si="9"/>
        <v>OZONE</v>
      </c>
      <c r="U7">
        <v>21.38</v>
      </c>
      <c r="V7">
        <v>54.99</v>
      </c>
    </row>
    <row r="8" spans="1:22" x14ac:dyDescent="0.3">
      <c r="A8" s="2" t="s">
        <v>15</v>
      </c>
      <c r="B8">
        <v>560026</v>
      </c>
      <c r="C8" s="3">
        <v>43473</v>
      </c>
      <c r="D8">
        <v>59.34</v>
      </c>
      <c r="E8">
        <v>128.22</v>
      </c>
      <c r="F8">
        <v>84.56</v>
      </c>
      <c r="G8">
        <v>15.79</v>
      </c>
      <c r="H8">
        <v>7.79</v>
      </c>
      <c r="I8">
        <v>1.31</v>
      </c>
      <c r="J8">
        <v>79.239999999999995</v>
      </c>
      <c r="K8">
        <f t="shared" si="0"/>
        <v>98.9</v>
      </c>
      <c r="L8">
        <f t="shared" si="1"/>
        <v>118.81333333333333</v>
      </c>
      <c r="M8">
        <f t="shared" si="2"/>
        <v>104.56</v>
      </c>
      <c r="N8">
        <f t="shared" si="3"/>
        <v>3.9474999999999998</v>
      </c>
      <c r="O8">
        <f t="shared" si="4"/>
        <v>9.7375000000000007</v>
      </c>
      <c r="P8">
        <f t="shared" si="5"/>
        <v>14.886363636363637</v>
      </c>
      <c r="Q8">
        <f t="shared" si="6"/>
        <v>129.83999999999997</v>
      </c>
      <c r="R8">
        <f t="shared" si="7"/>
        <v>129.83999999999997</v>
      </c>
      <c r="S8" t="str">
        <f t="shared" si="8"/>
        <v>Moderate</v>
      </c>
      <c r="T8" t="str">
        <f t="shared" si="9"/>
        <v>OZONE</v>
      </c>
      <c r="U8">
        <v>22.18</v>
      </c>
      <c r="V8">
        <v>44.72</v>
      </c>
    </row>
    <row r="9" spans="1:22" x14ac:dyDescent="0.3">
      <c r="A9" s="2" t="s">
        <v>15</v>
      </c>
      <c r="B9">
        <v>560026</v>
      </c>
      <c r="C9" s="3">
        <v>43474</v>
      </c>
      <c r="D9">
        <v>64.459999999999994</v>
      </c>
      <c r="E9">
        <v>128.72999999999999</v>
      </c>
      <c r="F9">
        <v>88.54</v>
      </c>
      <c r="G9">
        <v>17.02</v>
      </c>
      <c r="H9">
        <v>11.87</v>
      </c>
      <c r="I9">
        <v>1.34</v>
      </c>
      <c r="J9">
        <v>90.54</v>
      </c>
      <c r="K9">
        <f t="shared" si="0"/>
        <v>114.86666666666665</v>
      </c>
      <c r="L9">
        <f t="shared" si="1"/>
        <v>119.15333333333334</v>
      </c>
      <c r="M9">
        <f t="shared" si="2"/>
        <v>108.54</v>
      </c>
      <c r="N9">
        <f t="shared" si="3"/>
        <v>4.2549999999999999</v>
      </c>
      <c r="O9">
        <f t="shared" si="4"/>
        <v>14.8375</v>
      </c>
      <c r="P9">
        <f t="shared" si="5"/>
        <v>15.227272727272728</v>
      </c>
      <c r="Q9">
        <f t="shared" si="6"/>
        <v>162.70842105263159</v>
      </c>
      <c r="R9">
        <f t="shared" si="7"/>
        <v>162.70842105263159</v>
      </c>
      <c r="S9" t="str">
        <f t="shared" si="8"/>
        <v>Moderate</v>
      </c>
      <c r="T9" t="str">
        <f t="shared" si="9"/>
        <v>OZONE</v>
      </c>
      <c r="U9">
        <v>21.96</v>
      </c>
      <c r="V9">
        <v>41.29</v>
      </c>
    </row>
    <row r="10" spans="1:22" x14ac:dyDescent="0.3">
      <c r="A10" s="2" t="s">
        <v>15</v>
      </c>
      <c r="B10">
        <v>560026</v>
      </c>
      <c r="C10" s="3">
        <v>43475</v>
      </c>
      <c r="D10">
        <v>69.69</v>
      </c>
      <c r="E10">
        <v>133.52000000000001</v>
      </c>
      <c r="F10">
        <v>91.64</v>
      </c>
      <c r="G10">
        <v>17.86</v>
      </c>
      <c r="H10">
        <v>9.67</v>
      </c>
      <c r="I10">
        <v>1.24</v>
      </c>
      <c r="J10">
        <v>84.38</v>
      </c>
      <c r="K10">
        <f t="shared" si="0"/>
        <v>132.29999999999998</v>
      </c>
      <c r="L10">
        <f t="shared" si="1"/>
        <v>122.34666666666666</v>
      </c>
      <c r="M10">
        <f t="shared" si="2"/>
        <v>111.64</v>
      </c>
      <c r="N10">
        <f t="shared" si="3"/>
        <v>4.4649999999999999</v>
      </c>
      <c r="O10">
        <f t="shared" si="4"/>
        <v>12.0875</v>
      </c>
      <c r="P10">
        <f t="shared" si="5"/>
        <v>14.09090909090909</v>
      </c>
      <c r="Q10">
        <f t="shared" si="6"/>
        <v>147.82999999999998</v>
      </c>
      <c r="R10">
        <f t="shared" si="7"/>
        <v>147.82999999999998</v>
      </c>
      <c r="S10" t="str">
        <f t="shared" si="8"/>
        <v>Moderate</v>
      </c>
      <c r="T10" t="str">
        <f t="shared" si="9"/>
        <v>OZONE</v>
      </c>
      <c r="U10">
        <v>21.41</v>
      </c>
      <c r="V10">
        <v>48.1</v>
      </c>
    </row>
    <row r="11" spans="1:22" x14ac:dyDescent="0.3">
      <c r="A11" s="2" t="s">
        <v>15</v>
      </c>
      <c r="B11">
        <v>560026</v>
      </c>
      <c r="C11" s="3">
        <v>43476</v>
      </c>
      <c r="D11">
        <v>68.27</v>
      </c>
      <c r="E11">
        <v>137.76</v>
      </c>
      <c r="F11">
        <v>87.93</v>
      </c>
      <c r="G11">
        <v>17.68</v>
      </c>
      <c r="H11">
        <v>9.6999999999999993</v>
      </c>
      <c r="I11">
        <v>1.47</v>
      </c>
      <c r="J11">
        <v>84.83</v>
      </c>
      <c r="K11">
        <f t="shared" si="0"/>
        <v>127.56666666666665</v>
      </c>
      <c r="L11">
        <f t="shared" si="1"/>
        <v>125.17333333333333</v>
      </c>
      <c r="M11">
        <f t="shared" si="2"/>
        <v>107.93</v>
      </c>
      <c r="N11">
        <f t="shared" si="3"/>
        <v>4.42</v>
      </c>
      <c r="O11">
        <f t="shared" si="4"/>
        <v>12.124999999999998</v>
      </c>
      <c r="P11">
        <f t="shared" si="5"/>
        <v>16.704545454545453</v>
      </c>
      <c r="Q11">
        <f t="shared" si="6"/>
        <v>149.405</v>
      </c>
      <c r="R11">
        <f t="shared" si="7"/>
        <v>149.405</v>
      </c>
      <c r="S11" t="str">
        <f t="shared" si="8"/>
        <v>Moderate</v>
      </c>
      <c r="T11" t="str">
        <f t="shared" si="9"/>
        <v>OZONE</v>
      </c>
      <c r="U11">
        <v>21.73</v>
      </c>
      <c r="V11">
        <v>51.2</v>
      </c>
    </row>
    <row r="12" spans="1:22" x14ac:dyDescent="0.3">
      <c r="A12" s="2" t="s">
        <v>15</v>
      </c>
      <c r="B12">
        <v>560026</v>
      </c>
      <c r="C12" s="3">
        <v>43477</v>
      </c>
      <c r="D12">
        <v>75.59</v>
      </c>
      <c r="E12">
        <v>149.84</v>
      </c>
      <c r="F12">
        <v>86.73</v>
      </c>
      <c r="G12">
        <v>18.5</v>
      </c>
      <c r="H12">
        <v>9.1199999999999992</v>
      </c>
      <c r="I12">
        <v>1.41</v>
      </c>
      <c r="J12">
        <v>87.92</v>
      </c>
      <c r="K12">
        <f t="shared" si="0"/>
        <v>151.9666666666667</v>
      </c>
      <c r="L12">
        <f t="shared" si="1"/>
        <v>133.22666666666666</v>
      </c>
      <c r="M12">
        <f t="shared" si="2"/>
        <v>106.73</v>
      </c>
      <c r="N12">
        <f t="shared" si="3"/>
        <v>4.625</v>
      </c>
      <c r="O12">
        <f t="shared" si="4"/>
        <v>11.399999999999999</v>
      </c>
      <c r="P12">
        <f t="shared" si="5"/>
        <v>16.02272727272727</v>
      </c>
      <c r="Q12">
        <f t="shared" si="6"/>
        <v>155.95157894736843</v>
      </c>
      <c r="R12">
        <f t="shared" si="7"/>
        <v>155.95157894736843</v>
      </c>
      <c r="S12" t="str">
        <f t="shared" si="8"/>
        <v>Moderate</v>
      </c>
      <c r="T12" t="str">
        <f t="shared" si="9"/>
        <v>OZONE</v>
      </c>
      <c r="U12">
        <v>21.8</v>
      </c>
      <c r="V12">
        <v>53.79</v>
      </c>
    </row>
    <row r="13" spans="1:22" x14ac:dyDescent="0.3">
      <c r="A13" s="2" t="s">
        <v>15</v>
      </c>
      <c r="B13">
        <v>560026</v>
      </c>
      <c r="C13" s="3">
        <v>43478</v>
      </c>
      <c r="D13">
        <v>60.43</v>
      </c>
      <c r="E13">
        <v>111.94</v>
      </c>
      <c r="F13">
        <v>74.12</v>
      </c>
      <c r="G13">
        <v>16.61</v>
      </c>
      <c r="H13">
        <v>10.6</v>
      </c>
      <c r="I13">
        <v>1.06</v>
      </c>
      <c r="J13">
        <v>66.59</v>
      </c>
      <c r="K13">
        <f t="shared" si="0"/>
        <v>101.43333333333334</v>
      </c>
      <c r="L13">
        <f t="shared" si="1"/>
        <v>107.96</v>
      </c>
      <c r="M13">
        <f t="shared" si="2"/>
        <v>92.65</v>
      </c>
      <c r="N13">
        <f t="shared" si="3"/>
        <v>4.1524999999999999</v>
      </c>
      <c r="O13">
        <f t="shared" si="4"/>
        <v>13.25</v>
      </c>
      <c r="P13">
        <f t="shared" si="5"/>
        <v>12.045454545454545</v>
      </c>
      <c r="Q13">
        <f t="shared" si="6"/>
        <v>88.860666666666674</v>
      </c>
      <c r="R13">
        <f t="shared" si="7"/>
        <v>107.96</v>
      </c>
      <c r="S13" t="str">
        <f t="shared" si="8"/>
        <v>Moderate</v>
      </c>
      <c r="T13" t="str">
        <f t="shared" si="9"/>
        <v>PM10</v>
      </c>
      <c r="U13">
        <v>17.66</v>
      </c>
      <c r="V13">
        <v>53.16</v>
      </c>
    </row>
    <row r="14" spans="1:22" x14ac:dyDescent="0.3">
      <c r="A14" s="2" t="s">
        <v>15</v>
      </c>
      <c r="B14">
        <v>560026</v>
      </c>
      <c r="C14" s="3">
        <v>43479</v>
      </c>
      <c r="D14">
        <v>69.94</v>
      </c>
      <c r="E14">
        <v>132.41</v>
      </c>
      <c r="F14">
        <v>81.61</v>
      </c>
      <c r="G14">
        <v>16.829999999999998</v>
      </c>
      <c r="H14">
        <v>8.39</v>
      </c>
      <c r="I14">
        <v>1.28</v>
      </c>
      <c r="J14">
        <v>68.040000000000006</v>
      </c>
      <c r="K14">
        <f t="shared" si="0"/>
        <v>133.13333333333333</v>
      </c>
      <c r="L14">
        <f t="shared" si="1"/>
        <v>121.60666666666665</v>
      </c>
      <c r="M14">
        <f t="shared" si="2"/>
        <v>101.61</v>
      </c>
      <c r="N14">
        <f t="shared" si="3"/>
        <v>4.2074999999999996</v>
      </c>
      <c r="O14">
        <f t="shared" si="4"/>
        <v>10.487500000000001</v>
      </c>
      <c r="P14">
        <f t="shared" si="5"/>
        <v>14.545454545454545</v>
      </c>
      <c r="Q14">
        <f t="shared" si="6"/>
        <v>93.597333333333353</v>
      </c>
      <c r="R14">
        <f t="shared" si="7"/>
        <v>133.13333333333333</v>
      </c>
      <c r="S14" t="str">
        <f t="shared" si="8"/>
        <v>Moderate</v>
      </c>
      <c r="T14" t="str">
        <f t="shared" si="9"/>
        <v>PM2.5</v>
      </c>
      <c r="U14">
        <v>18.38</v>
      </c>
      <c r="V14">
        <v>52.38</v>
      </c>
    </row>
    <row r="15" spans="1:22" x14ac:dyDescent="0.3">
      <c r="A15" s="2" t="s">
        <v>15</v>
      </c>
      <c r="B15">
        <v>560026</v>
      </c>
      <c r="C15" s="3">
        <v>43480</v>
      </c>
      <c r="D15">
        <v>55.15</v>
      </c>
      <c r="E15">
        <v>110.54</v>
      </c>
      <c r="F15">
        <v>81.19</v>
      </c>
      <c r="G15">
        <v>15.98</v>
      </c>
      <c r="H15">
        <v>9.39</v>
      </c>
      <c r="I15">
        <v>1.1399999999999999</v>
      </c>
      <c r="J15">
        <v>78.930000000000007</v>
      </c>
      <c r="K15">
        <f t="shared" si="0"/>
        <v>91.916666666666657</v>
      </c>
      <c r="L15">
        <f t="shared" si="1"/>
        <v>107.02666666666667</v>
      </c>
      <c r="M15">
        <f t="shared" si="2"/>
        <v>101.19</v>
      </c>
      <c r="N15">
        <f t="shared" si="3"/>
        <v>3.9950000000000001</v>
      </c>
      <c r="O15">
        <f t="shared" si="4"/>
        <v>11.737500000000001</v>
      </c>
      <c r="P15">
        <f t="shared" si="5"/>
        <v>12.954545454545453</v>
      </c>
      <c r="Q15">
        <f t="shared" si="6"/>
        <v>128.75500000000002</v>
      </c>
      <c r="R15">
        <f t="shared" si="7"/>
        <v>128.75500000000002</v>
      </c>
      <c r="S15" t="str">
        <f t="shared" si="8"/>
        <v>Moderate</v>
      </c>
      <c r="T15" t="str">
        <f t="shared" si="9"/>
        <v>OZONE</v>
      </c>
      <c r="U15">
        <v>19.149999999999999</v>
      </c>
      <c r="V15">
        <v>32.39</v>
      </c>
    </row>
    <row r="16" spans="1:22" x14ac:dyDescent="0.3">
      <c r="A16" s="2" t="s">
        <v>15</v>
      </c>
      <c r="B16">
        <v>560026</v>
      </c>
      <c r="C16" s="3">
        <v>43482</v>
      </c>
      <c r="D16">
        <v>67.28</v>
      </c>
      <c r="E16">
        <v>137.69</v>
      </c>
      <c r="F16">
        <v>74.993076919999993</v>
      </c>
      <c r="G16">
        <v>15.357307690000001</v>
      </c>
      <c r="H16">
        <v>6.58</v>
      </c>
      <c r="I16">
        <v>1.43</v>
      </c>
      <c r="J16">
        <v>80.44</v>
      </c>
      <c r="K16">
        <f t="shared" si="0"/>
        <v>124.26666666666667</v>
      </c>
      <c r="L16">
        <f t="shared" si="1"/>
        <v>125.12666666666667</v>
      </c>
      <c r="M16">
        <f t="shared" si="2"/>
        <v>93.741346149999998</v>
      </c>
      <c r="N16">
        <f t="shared" si="3"/>
        <v>3.8393269225000002</v>
      </c>
      <c r="O16">
        <f t="shared" si="4"/>
        <v>8.2249999999999996</v>
      </c>
      <c r="P16">
        <f t="shared" si="5"/>
        <v>16.25</v>
      </c>
      <c r="Q16">
        <f t="shared" si="6"/>
        <v>134.04</v>
      </c>
      <c r="R16">
        <f t="shared" si="7"/>
        <v>134.04</v>
      </c>
      <c r="S16" t="str">
        <f t="shared" si="8"/>
        <v>Moderate</v>
      </c>
      <c r="T16" t="str">
        <f t="shared" si="9"/>
        <v>OZONE</v>
      </c>
      <c r="U16">
        <v>20.059999999999999</v>
      </c>
      <c r="V16">
        <v>49.53</v>
      </c>
    </row>
    <row r="17" spans="1:22" x14ac:dyDescent="0.3">
      <c r="A17" s="2" t="s">
        <v>15</v>
      </c>
      <c r="B17">
        <v>560026</v>
      </c>
      <c r="C17" s="3">
        <v>43483</v>
      </c>
      <c r="D17">
        <v>78.209999999999994</v>
      </c>
      <c r="E17">
        <v>144.72</v>
      </c>
      <c r="F17">
        <v>74.993076919999993</v>
      </c>
      <c r="G17">
        <v>15.357307690000001</v>
      </c>
      <c r="H17">
        <v>6.37</v>
      </c>
      <c r="I17">
        <v>1.36</v>
      </c>
      <c r="J17">
        <v>71.31</v>
      </c>
      <c r="K17">
        <f t="shared" si="0"/>
        <v>160.69999999999999</v>
      </c>
      <c r="L17">
        <f t="shared" si="1"/>
        <v>129.81333333333333</v>
      </c>
      <c r="M17">
        <f t="shared" si="2"/>
        <v>93.741346149999998</v>
      </c>
      <c r="N17">
        <f t="shared" si="3"/>
        <v>3.8393269225000002</v>
      </c>
      <c r="O17">
        <f t="shared" si="4"/>
        <v>7.9625000000000004</v>
      </c>
      <c r="P17">
        <f t="shared" si="5"/>
        <v>15.454545454545455</v>
      </c>
      <c r="Q17">
        <f t="shared" si="6"/>
        <v>102.08500000000001</v>
      </c>
      <c r="R17">
        <f t="shared" si="7"/>
        <v>160.69999999999999</v>
      </c>
      <c r="S17" t="str">
        <f t="shared" si="8"/>
        <v>Moderate</v>
      </c>
      <c r="T17" t="str">
        <f t="shared" si="9"/>
        <v>PM2.5</v>
      </c>
      <c r="U17">
        <v>20.260000000000002</v>
      </c>
      <c r="V17">
        <v>53.72</v>
      </c>
    </row>
    <row r="18" spans="1:22" x14ac:dyDescent="0.3">
      <c r="A18" s="2" t="s">
        <v>15</v>
      </c>
      <c r="B18">
        <v>560026</v>
      </c>
      <c r="C18" s="3">
        <v>43484</v>
      </c>
      <c r="D18">
        <v>68.05</v>
      </c>
      <c r="E18">
        <v>132.31</v>
      </c>
      <c r="F18">
        <v>74.993076919999993</v>
      </c>
      <c r="G18">
        <v>15.357307690000001</v>
      </c>
      <c r="H18">
        <v>6.62</v>
      </c>
      <c r="I18">
        <v>1.29</v>
      </c>
      <c r="J18">
        <v>64.5</v>
      </c>
      <c r="K18">
        <f t="shared" si="0"/>
        <v>126.83333333333333</v>
      </c>
      <c r="L18">
        <f t="shared" si="1"/>
        <v>121.53999999999999</v>
      </c>
      <c r="M18">
        <f t="shared" si="2"/>
        <v>93.741346149999998</v>
      </c>
      <c r="N18">
        <f t="shared" si="3"/>
        <v>3.8393269225000002</v>
      </c>
      <c r="O18">
        <f t="shared" si="4"/>
        <v>8.2750000000000004</v>
      </c>
      <c r="P18">
        <f t="shared" si="5"/>
        <v>14.659090909090908</v>
      </c>
      <c r="Q18">
        <f t="shared" si="6"/>
        <v>82.033333333333331</v>
      </c>
      <c r="R18">
        <f t="shared" si="7"/>
        <v>126.83333333333333</v>
      </c>
      <c r="S18" t="str">
        <f t="shared" si="8"/>
        <v>Moderate</v>
      </c>
      <c r="T18" t="str">
        <f t="shared" si="9"/>
        <v>PM2.5</v>
      </c>
      <c r="U18">
        <v>20.61</v>
      </c>
      <c r="V18">
        <v>45.44</v>
      </c>
    </row>
    <row r="19" spans="1:22" x14ac:dyDescent="0.3">
      <c r="A19" s="2" t="s">
        <v>15</v>
      </c>
      <c r="B19">
        <v>560026</v>
      </c>
      <c r="C19" s="3">
        <v>43485</v>
      </c>
      <c r="D19">
        <v>48.03</v>
      </c>
      <c r="E19">
        <v>94.4</v>
      </c>
      <c r="F19">
        <v>74.993076919999993</v>
      </c>
      <c r="G19">
        <v>15.357307690000001</v>
      </c>
      <c r="H19">
        <v>8.09</v>
      </c>
      <c r="I19">
        <v>0.9</v>
      </c>
      <c r="J19">
        <v>83.76</v>
      </c>
      <c r="K19">
        <f t="shared" si="0"/>
        <v>80.05</v>
      </c>
      <c r="L19">
        <f t="shared" si="1"/>
        <v>94.4</v>
      </c>
      <c r="M19">
        <f t="shared" si="2"/>
        <v>93.741346149999998</v>
      </c>
      <c r="N19">
        <f t="shared" si="3"/>
        <v>3.8393269225000002</v>
      </c>
      <c r="O19">
        <f t="shared" si="4"/>
        <v>10.112500000000001</v>
      </c>
      <c r="P19">
        <f t="shared" si="5"/>
        <v>10.227272727272727</v>
      </c>
      <c r="Q19">
        <f t="shared" si="6"/>
        <v>145.66000000000003</v>
      </c>
      <c r="R19">
        <f t="shared" si="7"/>
        <v>145.66000000000003</v>
      </c>
      <c r="S19" t="str">
        <f t="shared" si="8"/>
        <v>Moderate</v>
      </c>
      <c r="T19" t="str">
        <f t="shared" si="9"/>
        <v>OZONE</v>
      </c>
      <c r="U19">
        <v>20.12</v>
      </c>
      <c r="V19">
        <v>39.35</v>
      </c>
    </row>
    <row r="20" spans="1:22" x14ac:dyDescent="0.3">
      <c r="A20" s="2" t="s">
        <v>15</v>
      </c>
      <c r="B20">
        <v>560026</v>
      </c>
      <c r="C20" s="3">
        <v>43488</v>
      </c>
      <c r="D20">
        <v>64.680000000000007</v>
      </c>
      <c r="E20">
        <v>127.49</v>
      </c>
      <c r="F20">
        <v>67.900000000000006</v>
      </c>
      <c r="G20">
        <v>18.489999999999998</v>
      </c>
      <c r="H20">
        <v>10.92</v>
      </c>
      <c r="I20">
        <v>1.01</v>
      </c>
      <c r="J20">
        <v>71.239999999999995</v>
      </c>
      <c r="K20">
        <f t="shared" si="0"/>
        <v>115.60000000000002</v>
      </c>
      <c r="L20">
        <f t="shared" si="1"/>
        <v>118.32666666666667</v>
      </c>
      <c r="M20">
        <f t="shared" si="2"/>
        <v>84.875</v>
      </c>
      <c r="N20">
        <f t="shared" si="3"/>
        <v>4.6224999999999996</v>
      </c>
      <c r="O20">
        <f t="shared" si="4"/>
        <v>13.65</v>
      </c>
      <c r="P20">
        <f t="shared" si="5"/>
        <v>11.477272727272727</v>
      </c>
      <c r="Q20">
        <f t="shared" si="6"/>
        <v>101.83999999999997</v>
      </c>
      <c r="R20">
        <f t="shared" si="7"/>
        <v>118.32666666666667</v>
      </c>
      <c r="S20" t="str">
        <f t="shared" si="8"/>
        <v>Moderate</v>
      </c>
      <c r="T20" t="str">
        <f t="shared" si="9"/>
        <v>PM10</v>
      </c>
      <c r="U20">
        <v>21.31</v>
      </c>
      <c r="V20">
        <v>53.59</v>
      </c>
    </row>
    <row r="21" spans="1:22" x14ac:dyDescent="0.3">
      <c r="A21" s="2" t="s">
        <v>15</v>
      </c>
      <c r="B21">
        <v>560026</v>
      </c>
      <c r="C21" s="3">
        <v>43489</v>
      </c>
      <c r="D21">
        <v>52.66</v>
      </c>
      <c r="E21">
        <v>104.34</v>
      </c>
      <c r="F21">
        <v>59.73</v>
      </c>
      <c r="G21">
        <v>13.27</v>
      </c>
      <c r="H21">
        <v>8.43</v>
      </c>
      <c r="I21">
        <v>0.8</v>
      </c>
      <c r="J21">
        <v>78.5</v>
      </c>
      <c r="K21">
        <f t="shared" si="0"/>
        <v>87.766666666666652</v>
      </c>
      <c r="L21">
        <f t="shared" si="1"/>
        <v>102.89333333333333</v>
      </c>
      <c r="M21">
        <f t="shared" si="2"/>
        <v>74.662499999999994</v>
      </c>
      <c r="N21">
        <f t="shared" si="3"/>
        <v>3.3174999999999999</v>
      </c>
      <c r="O21">
        <f t="shared" si="4"/>
        <v>10.5375</v>
      </c>
      <c r="P21">
        <f t="shared" si="5"/>
        <v>9.0909090909090917</v>
      </c>
      <c r="Q21">
        <f t="shared" si="6"/>
        <v>127.25</v>
      </c>
      <c r="R21">
        <f t="shared" si="7"/>
        <v>127.25</v>
      </c>
      <c r="S21" t="str">
        <f t="shared" si="8"/>
        <v>Moderate</v>
      </c>
      <c r="T21" t="str">
        <f t="shared" si="9"/>
        <v>OZONE</v>
      </c>
      <c r="U21">
        <v>21.73</v>
      </c>
      <c r="V21">
        <v>55.05</v>
      </c>
    </row>
    <row r="22" spans="1:22" x14ac:dyDescent="0.3">
      <c r="A22" s="2" t="s">
        <v>15</v>
      </c>
      <c r="B22">
        <v>560026</v>
      </c>
      <c r="C22" s="3">
        <v>43490</v>
      </c>
      <c r="D22">
        <v>38.99</v>
      </c>
      <c r="E22">
        <v>76.62</v>
      </c>
      <c r="F22">
        <v>52.64</v>
      </c>
      <c r="G22">
        <v>11.88</v>
      </c>
      <c r="H22">
        <v>10.64</v>
      </c>
      <c r="I22">
        <v>0.74</v>
      </c>
      <c r="J22">
        <v>87.85</v>
      </c>
      <c r="K22">
        <f t="shared" si="0"/>
        <v>64.983333333333334</v>
      </c>
      <c r="L22">
        <f t="shared" si="1"/>
        <v>76.62</v>
      </c>
      <c r="M22">
        <f t="shared" si="2"/>
        <v>65.8</v>
      </c>
      <c r="N22">
        <f t="shared" si="3"/>
        <v>2.97</v>
      </c>
      <c r="O22">
        <f t="shared" si="4"/>
        <v>13.3</v>
      </c>
      <c r="P22">
        <f t="shared" si="5"/>
        <v>8.4090909090909083</v>
      </c>
      <c r="Q22">
        <f t="shared" si="6"/>
        <v>155.77105263157893</v>
      </c>
      <c r="R22">
        <f t="shared" si="7"/>
        <v>155.77105263157893</v>
      </c>
      <c r="S22" t="str">
        <f t="shared" si="8"/>
        <v>Moderate</v>
      </c>
      <c r="T22" t="str">
        <f t="shared" si="9"/>
        <v>OZONE</v>
      </c>
      <c r="U22">
        <v>21.81</v>
      </c>
      <c r="V22">
        <v>51.69</v>
      </c>
    </row>
    <row r="23" spans="1:22" x14ac:dyDescent="0.3">
      <c r="A23" s="2" t="s">
        <v>15</v>
      </c>
      <c r="B23">
        <v>560026</v>
      </c>
      <c r="C23" s="3">
        <v>43491</v>
      </c>
      <c r="D23">
        <v>51.59</v>
      </c>
      <c r="E23">
        <v>93.33</v>
      </c>
      <c r="F23">
        <v>51.95</v>
      </c>
      <c r="G23">
        <v>12.49</v>
      </c>
      <c r="H23">
        <v>10.61</v>
      </c>
      <c r="I23">
        <v>0.75</v>
      </c>
      <c r="J23">
        <v>77.239999999999995</v>
      </c>
      <c r="K23">
        <f t="shared" si="0"/>
        <v>85.983333333333348</v>
      </c>
      <c r="L23">
        <f t="shared" si="1"/>
        <v>93.33</v>
      </c>
      <c r="M23">
        <f t="shared" si="2"/>
        <v>64.9375</v>
      </c>
      <c r="N23">
        <f t="shared" si="3"/>
        <v>3.1225000000000001</v>
      </c>
      <c r="O23">
        <f t="shared" si="4"/>
        <v>13.262499999999999</v>
      </c>
      <c r="P23">
        <f t="shared" si="5"/>
        <v>8.5227272727272734</v>
      </c>
      <c r="Q23">
        <f t="shared" si="6"/>
        <v>122.83999999999997</v>
      </c>
      <c r="R23">
        <f t="shared" si="7"/>
        <v>122.83999999999997</v>
      </c>
      <c r="S23" t="str">
        <f t="shared" si="8"/>
        <v>Moderate</v>
      </c>
      <c r="T23" t="str">
        <f t="shared" si="9"/>
        <v>OZONE</v>
      </c>
      <c r="U23">
        <v>22.44</v>
      </c>
      <c r="V23">
        <v>58.35</v>
      </c>
    </row>
    <row r="24" spans="1:22" x14ac:dyDescent="0.3">
      <c r="A24" s="2" t="s">
        <v>15</v>
      </c>
      <c r="B24">
        <v>560026</v>
      </c>
      <c r="C24" s="3">
        <v>43492</v>
      </c>
      <c r="D24">
        <v>41.46</v>
      </c>
      <c r="E24">
        <v>72.040000000000006</v>
      </c>
      <c r="F24">
        <v>44.66</v>
      </c>
      <c r="G24">
        <v>12.27</v>
      </c>
      <c r="H24">
        <v>12.85</v>
      </c>
      <c r="I24">
        <v>0.71</v>
      </c>
      <c r="J24">
        <v>80.650000000000006</v>
      </c>
      <c r="K24">
        <f t="shared" si="0"/>
        <v>69.099999999999994</v>
      </c>
      <c r="L24">
        <f t="shared" si="1"/>
        <v>72.040000000000006</v>
      </c>
      <c r="M24">
        <f t="shared" si="2"/>
        <v>55.824999999999996</v>
      </c>
      <c r="N24">
        <f t="shared" si="3"/>
        <v>3.0674999999999999</v>
      </c>
      <c r="O24">
        <f t="shared" si="4"/>
        <v>16.0625</v>
      </c>
      <c r="P24">
        <f t="shared" si="5"/>
        <v>8.0681818181818183</v>
      </c>
      <c r="Q24">
        <f t="shared" si="6"/>
        <v>134.77500000000003</v>
      </c>
      <c r="R24">
        <f t="shared" si="7"/>
        <v>134.77500000000003</v>
      </c>
      <c r="S24" t="str">
        <f t="shared" si="8"/>
        <v>Moderate</v>
      </c>
      <c r="T24" t="str">
        <f t="shared" si="9"/>
        <v>OZONE</v>
      </c>
      <c r="U24">
        <v>22.25</v>
      </c>
      <c r="V24">
        <v>60.33</v>
      </c>
    </row>
    <row r="25" spans="1:22" x14ac:dyDescent="0.3">
      <c r="A25" s="2" t="s">
        <v>15</v>
      </c>
      <c r="B25">
        <v>560026</v>
      </c>
      <c r="C25" s="3">
        <v>43493</v>
      </c>
      <c r="D25">
        <v>38.79</v>
      </c>
      <c r="E25">
        <v>76.72</v>
      </c>
      <c r="F25">
        <v>46.28</v>
      </c>
      <c r="G25">
        <v>11.08</v>
      </c>
      <c r="H25">
        <v>8.35</v>
      </c>
      <c r="I25">
        <v>0.9</v>
      </c>
      <c r="J25">
        <v>82.05</v>
      </c>
      <c r="K25">
        <f t="shared" si="0"/>
        <v>64.650000000000006</v>
      </c>
      <c r="L25">
        <f t="shared" si="1"/>
        <v>76.72</v>
      </c>
      <c r="M25">
        <f t="shared" si="2"/>
        <v>57.85</v>
      </c>
      <c r="N25">
        <f t="shared" si="3"/>
        <v>2.77</v>
      </c>
      <c r="O25">
        <f t="shared" si="4"/>
        <v>10.4375</v>
      </c>
      <c r="P25">
        <f t="shared" si="5"/>
        <v>10.227272727272727</v>
      </c>
      <c r="Q25">
        <f t="shared" si="6"/>
        <v>139.67499999999998</v>
      </c>
      <c r="R25">
        <f t="shared" si="7"/>
        <v>139.67499999999998</v>
      </c>
      <c r="S25" t="str">
        <f t="shared" si="8"/>
        <v>Moderate</v>
      </c>
      <c r="T25" t="str">
        <f t="shared" si="9"/>
        <v>OZONE</v>
      </c>
      <c r="U25">
        <v>22.07</v>
      </c>
      <c r="V25">
        <v>62.5</v>
      </c>
    </row>
    <row r="26" spans="1:22" x14ac:dyDescent="0.3">
      <c r="A26" s="2" t="s">
        <v>15</v>
      </c>
      <c r="B26">
        <v>560026</v>
      </c>
      <c r="C26" s="3">
        <v>43494</v>
      </c>
      <c r="D26">
        <v>42.52</v>
      </c>
      <c r="E26">
        <v>75.33</v>
      </c>
      <c r="F26">
        <v>51.01</v>
      </c>
      <c r="G26">
        <v>12.86</v>
      </c>
      <c r="H26">
        <v>10.34</v>
      </c>
      <c r="I26">
        <v>1.18</v>
      </c>
      <c r="J26">
        <v>68.58</v>
      </c>
      <c r="K26">
        <f t="shared" si="0"/>
        <v>70.866666666666674</v>
      </c>
      <c r="L26">
        <f t="shared" si="1"/>
        <v>75.33</v>
      </c>
      <c r="M26">
        <f t="shared" si="2"/>
        <v>63.762499999999996</v>
      </c>
      <c r="N26">
        <f t="shared" si="3"/>
        <v>3.2149999999999999</v>
      </c>
      <c r="O26">
        <f t="shared" si="4"/>
        <v>12.925000000000001</v>
      </c>
      <c r="P26">
        <f t="shared" si="5"/>
        <v>13.409090909090908</v>
      </c>
      <c r="Q26">
        <f t="shared" si="6"/>
        <v>95.361333333333334</v>
      </c>
      <c r="R26">
        <f t="shared" si="7"/>
        <v>95.361333333333334</v>
      </c>
      <c r="S26" t="str">
        <f t="shared" si="8"/>
        <v>Satisfactory</v>
      </c>
      <c r="T26" t="str">
        <f t="shared" si="9"/>
        <v>OZONE</v>
      </c>
      <c r="U26">
        <v>21.39</v>
      </c>
      <c r="V26">
        <v>60.85</v>
      </c>
    </row>
    <row r="27" spans="1:22" x14ac:dyDescent="0.3">
      <c r="A27" s="2" t="s">
        <v>15</v>
      </c>
      <c r="B27">
        <v>560026</v>
      </c>
      <c r="C27" s="3">
        <v>43495</v>
      </c>
      <c r="D27">
        <v>57.25</v>
      </c>
      <c r="E27">
        <v>101.35</v>
      </c>
      <c r="F27">
        <v>63.1</v>
      </c>
      <c r="G27">
        <v>14.03</v>
      </c>
      <c r="H27">
        <v>9.25</v>
      </c>
      <c r="I27">
        <v>1.36</v>
      </c>
      <c r="J27">
        <v>80.61</v>
      </c>
      <c r="K27">
        <f t="shared" si="0"/>
        <v>95.416666666666657</v>
      </c>
      <c r="L27">
        <f t="shared" si="1"/>
        <v>100.89999999999999</v>
      </c>
      <c r="M27">
        <f t="shared" si="2"/>
        <v>78.875</v>
      </c>
      <c r="N27">
        <f t="shared" si="3"/>
        <v>3.5074999999999998</v>
      </c>
      <c r="O27">
        <f t="shared" si="4"/>
        <v>11.5625</v>
      </c>
      <c r="P27">
        <f t="shared" si="5"/>
        <v>15.454545454545455</v>
      </c>
      <c r="Q27">
        <f t="shared" si="6"/>
        <v>134.63499999999999</v>
      </c>
      <c r="R27">
        <f t="shared" si="7"/>
        <v>134.63499999999999</v>
      </c>
      <c r="S27" t="str">
        <f t="shared" si="8"/>
        <v>Moderate</v>
      </c>
      <c r="T27" t="str">
        <f t="shared" si="9"/>
        <v>OZONE</v>
      </c>
      <c r="U27">
        <v>21.51</v>
      </c>
      <c r="V27">
        <v>54.12</v>
      </c>
    </row>
    <row r="28" spans="1:22" x14ac:dyDescent="0.3">
      <c r="A28" s="2" t="s">
        <v>15</v>
      </c>
      <c r="B28">
        <v>560026</v>
      </c>
      <c r="C28" s="3">
        <v>43497</v>
      </c>
      <c r="D28">
        <v>57.81</v>
      </c>
      <c r="E28">
        <v>110.72</v>
      </c>
      <c r="F28">
        <v>77.17</v>
      </c>
      <c r="G28">
        <v>10.96</v>
      </c>
      <c r="H28">
        <v>11.29</v>
      </c>
      <c r="I28">
        <v>1.04</v>
      </c>
      <c r="J28">
        <v>85.09</v>
      </c>
      <c r="K28">
        <f t="shared" si="0"/>
        <v>96.35</v>
      </c>
      <c r="L28">
        <f t="shared" si="1"/>
        <v>107.14666666666666</v>
      </c>
      <c r="M28">
        <f t="shared" si="2"/>
        <v>96.462500000000006</v>
      </c>
      <c r="N28">
        <f t="shared" si="3"/>
        <v>2.74</v>
      </c>
      <c r="O28">
        <f t="shared" si="4"/>
        <v>14.112500000000001</v>
      </c>
      <c r="P28">
        <f t="shared" si="5"/>
        <v>11.818181818181818</v>
      </c>
      <c r="Q28">
        <f t="shared" si="6"/>
        <v>148.65315789473686</v>
      </c>
      <c r="R28">
        <f t="shared" si="7"/>
        <v>148.65315789473686</v>
      </c>
      <c r="S28" t="str">
        <f t="shared" si="8"/>
        <v>Moderate</v>
      </c>
      <c r="T28" t="str">
        <f t="shared" si="9"/>
        <v>OZONE</v>
      </c>
      <c r="U28">
        <v>20.7</v>
      </c>
      <c r="V28">
        <v>53.17</v>
      </c>
    </row>
    <row r="29" spans="1:22" x14ac:dyDescent="0.3">
      <c r="A29" s="2" t="s">
        <v>15</v>
      </c>
      <c r="B29">
        <v>560026</v>
      </c>
      <c r="C29" s="3">
        <v>43498</v>
      </c>
      <c r="D29">
        <v>51.8</v>
      </c>
      <c r="E29">
        <v>104.84</v>
      </c>
      <c r="F29">
        <v>80.23</v>
      </c>
      <c r="G29">
        <v>12.58</v>
      </c>
      <c r="H29">
        <v>10.95</v>
      </c>
      <c r="I29">
        <v>0.94</v>
      </c>
      <c r="J29">
        <v>83.29</v>
      </c>
      <c r="K29">
        <f t="shared" si="0"/>
        <v>86.333333333333329</v>
      </c>
      <c r="L29">
        <f t="shared" si="1"/>
        <v>103.22666666666667</v>
      </c>
      <c r="M29">
        <f t="shared" si="2"/>
        <v>100.23</v>
      </c>
      <c r="N29">
        <f t="shared" si="3"/>
        <v>3.145</v>
      </c>
      <c r="O29">
        <f t="shared" si="4"/>
        <v>13.6875</v>
      </c>
      <c r="P29">
        <f t="shared" si="5"/>
        <v>10.681818181818182</v>
      </c>
      <c r="Q29">
        <f t="shared" si="6"/>
        <v>144.01500000000001</v>
      </c>
      <c r="R29">
        <f t="shared" si="7"/>
        <v>144.01500000000001</v>
      </c>
      <c r="S29" t="str">
        <f t="shared" si="8"/>
        <v>Moderate</v>
      </c>
      <c r="T29" t="str">
        <f t="shared" si="9"/>
        <v>OZONE</v>
      </c>
      <c r="U29">
        <v>21.39</v>
      </c>
      <c r="V29">
        <v>53.06</v>
      </c>
    </row>
    <row r="30" spans="1:22" x14ac:dyDescent="0.3">
      <c r="A30" s="2" t="s">
        <v>15</v>
      </c>
      <c r="B30">
        <v>560026</v>
      </c>
      <c r="C30" s="3">
        <v>43499</v>
      </c>
      <c r="D30">
        <v>43.53</v>
      </c>
      <c r="E30">
        <v>87.57</v>
      </c>
      <c r="F30">
        <v>67.540000000000006</v>
      </c>
      <c r="G30">
        <v>13.01</v>
      </c>
      <c r="H30">
        <v>10.220000000000001</v>
      </c>
      <c r="I30">
        <v>0.75</v>
      </c>
      <c r="J30">
        <v>95.85</v>
      </c>
      <c r="K30">
        <f t="shared" si="0"/>
        <v>72.55</v>
      </c>
      <c r="L30">
        <f t="shared" si="1"/>
        <v>87.57</v>
      </c>
      <c r="M30">
        <f t="shared" si="2"/>
        <v>84.425000000000011</v>
      </c>
      <c r="N30">
        <f t="shared" si="3"/>
        <v>3.2524999999999999</v>
      </c>
      <c r="O30">
        <f t="shared" si="4"/>
        <v>12.775000000000002</v>
      </c>
      <c r="P30">
        <f t="shared" si="5"/>
        <v>8.5227272727272734</v>
      </c>
      <c r="Q30">
        <f t="shared" si="6"/>
        <v>176.40263157894736</v>
      </c>
      <c r="R30">
        <f t="shared" si="7"/>
        <v>176.40263157894736</v>
      </c>
      <c r="S30" t="str">
        <f t="shared" si="8"/>
        <v>Moderate</v>
      </c>
      <c r="T30" t="str">
        <f t="shared" si="9"/>
        <v>OZONE</v>
      </c>
      <c r="U30">
        <v>22.24</v>
      </c>
      <c r="V30">
        <v>53.47</v>
      </c>
    </row>
    <row r="31" spans="1:22" x14ac:dyDescent="0.3">
      <c r="A31" s="2" t="s">
        <v>15</v>
      </c>
      <c r="B31">
        <v>560026</v>
      </c>
      <c r="C31" s="3">
        <v>43500</v>
      </c>
      <c r="D31">
        <v>41.69</v>
      </c>
      <c r="E31">
        <v>83.15</v>
      </c>
      <c r="F31">
        <v>67.62</v>
      </c>
      <c r="G31">
        <v>11.38</v>
      </c>
      <c r="H31">
        <v>8.4</v>
      </c>
      <c r="I31">
        <v>0.93</v>
      </c>
      <c r="J31">
        <v>62.25</v>
      </c>
      <c r="K31">
        <f t="shared" si="0"/>
        <v>69.483333333333334</v>
      </c>
      <c r="L31">
        <f t="shared" si="1"/>
        <v>83.15</v>
      </c>
      <c r="M31">
        <f t="shared" si="2"/>
        <v>84.525000000000006</v>
      </c>
      <c r="N31">
        <f t="shared" si="3"/>
        <v>2.8450000000000002</v>
      </c>
      <c r="O31">
        <f t="shared" si="4"/>
        <v>10.5</v>
      </c>
      <c r="P31">
        <f t="shared" si="5"/>
        <v>10.568181818181818</v>
      </c>
      <c r="Q31">
        <f t="shared" si="6"/>
        <v>74.683333333333337</v>
      </c>
      <c r="R31">
        <f t="shared" si="7"/>
        <v>84.525000000000006</v>
      </c>
      <c r="S31" t="str">
        <f t="shared" si="8"/>
        <v>Satisfactory</v>
      </c>
      <c r="T31" t="str">
        <f t="shared" si="9"/>
        <v>NO2</v>
      </c>
      <c r="U31">
        <v>22.64</v>
      </c>
      <c r="V31">
        <v>53.59</v>
      </c>
    </row>
    <row r="32" spans="1:22" x14ac:dyDescent="0.3">
      <c r="A32" s="2" t="s">
        <v>15</v>
      </c>
      <c r="B32">
        <v>560026</v>
      </c>
      <c r="C32" s="3">
        <v>43501</v>
      </c>
      <c r="D32">
        <v>45.15</v>
      </c>
      <c r="E32">
        <v>86.12</v>
      </c>
      <c r="F32">
        <v>65.069999999999993</v>
      </c>
      <c r="G32">
        <v>11.94</v>
      </c>
      <c r="H32">
        <v>8.6199999999999992</v>
      </c>
      <c r="I32">
        <v>0.77</v>
      </c>
      <c r="J32">
        <v>90.85</v>
      </c>
      <c r="K32">
        <f t="shared" si="0"/>
        <v>75.25</v>
      </c>
      <c r="L32">
        <f t="shared" si="1"/>
        <v>86.12</v>
      </c>
      <c r="M32">
        <f t="shared" si="2"/>
        <v>81.337499999999991</v>
      </c>
      <c r="N32">
        <f t="shared" si="3"/>
        <v>2.9849999999999999</v>
      </c>
      <c r="O32">
        <f t="shared" si="4"/>
        <v>10.774999999999999</v>
      </c>
      <c r="P32">
        <f t="shared" si="5"/>
        <v>8.75</v>
      </c>
      <c r="Q32">
        <f t="shared" si="6"/>
        <v>163.5078947368421</v>
      </c>
      <c r="R32">
        <f t="shared" si="7"/>
        <v>163.5078947368421</v>
      </c>
      <c r="S32" t="str">
        <f t="shared" si="8"/>
        <v>Moderate</v>
      </c>
      <c r="T32" t="str">
        <f t="shared" si="9"/>
        <v>OZONE</v>
      </c>
      <c r="U32">
        <v>23.16</v>
      </c>
      <c r="V32">
        <v>56.34</v>
      </c>
    </row>
    <row r="33" spans="1:22" x14ac:dyDescent="0.3">
      <c r="A33" s="2" t="s">
        <v>15</v>
      </c>
      <c r="B33">
        <v>560026</v>
      </c>
      <c r="C33" s="3">
        <v>43503</v>
      </c>
      <c r="D33">
        <v>56.65</v>
      </c>
      <c r="E33">
        <v>115.9</v>
      </c>
      <c r="F33">
        <v>75.900000000000006</v>
      </c>
      <c r="G33">
        <v>11.16</v>
      </c>
      <c r="H33">
        <v>12.46</v>
      </c>
      <c r="I33">
        <v>0.88</v>
      </c>
      <c r="J33">
        <v>77.14</v>
      </c>
      <c r="K33">
        <f t="shared" si="0"/>
        <v>94.416666666666657</v>
      </c>
      <c r="L33">
        <f t="shared" si="1"/>
        <v>110.60000000000001</v>
      </c>
      <c r="M33">
        <f t="shared" si="2"/>
        <v>94.875</v>
      </c>
      <c r="N33">
        <f t="shared" si="3"/>
        <v>2.79</v>
      </c>
      <c r="O33">
        <f t="shared" si="4"/>
        <v>15.574999999999999</v>
      </c>
      <c r="P33">
        <f t="shared" si="5"/>
        <v>10</v>
      </c>
      <c r="Q33">
        <f t="shared" si="6"/>
        <v>122.49000000000001</v>
      </c>
      <c r="R33">
        <f t="shared" si="7"/>
        <v>122.49000000000001</v>
      </c>
      <c r="S33" t="str">
        <f t="shared" si="8"/>
        <v>Moderate</v>
      </c>
      <c r="T33" t="str">
        <f t="shared" si="9"/>
        <v>OZONE</v>
      </c>
      <c r="U33">
        <v>23.84</v>
      </c>
      <c r="V33">
        <v>46.85</v>
      </c>
    </row>
    <row r="34" spans="1:22" x14ac:dyDescent="0.3">
      <c r="A34" s="2" t="s">
        <v>15</v>
      </c>
      <c r="B34">
        <v>560026</v>
      </c>
      <c r="C34" s="3">
        <v>43505</v>
      </c>
      <c r="D34">
        <v>75.489999999999995</v>
      </c>
      <c r="E34">
        <v>144.31</v>
      </c>
      <c r="F34">
        <v>82.5</v>
      </c>
      <c r="G34">
        <v>14.08</v>
      </c>
      <c r="H34">
        <v>13.44</v>
      </c>
      <c r="I34">
        <v>1.27</v>
      </c>
      <c r="J34">
        <v>62.79</v>
      </c>
      <c r="K34">
        <f t="shared" si="0"/>
        <v>151.63333333333333</v>
      </c>
      <c r="L34">
        <f t="shared" si="1"/>
        <v>129.54</v>
      </c>
      <c r="M34">
        <f t="shared" si="2"/>
        <v>102.5</v>
      </c>
      <c r="N34">
        <f t="shared" si="3"/>
        <v>3.52</v>
      </c>
      <c r="O34">
        <f t="shared" si="4"/>
        <v>16.8</v>
      </c>
      <c r="P34">
        <f t="shared" si="5"/>
        <v>14.431818181818182</v>
      </c>
      <c r="Q34">
        <f t="shared" si="6"/>
        <v>76.447333333333333</v>
      </c>
      <c r="R34">
        <f t="shared" si="7"/>
        <v>151.63333333333333</v>
      </c>
      <c r="S34" t="str">
        <f t="shared" si="8"/>
        <v>Moderate</v>
      </c>
      <c r="T34" t="str">
        <f t="shared" si="9"/>
        <v>PM2.5</v>
      </c>
      <c r="U34">
        <v>23.85</v>
      </c>
      <c r="V34">
        <v>59.35</v>
      </c>
    </row>
    <row r="35" spans="1:22" x14ac:dyDescent="0.3">
      <c r="A35" s="2" t="s">
        <v>15</v>
      </c>
      <c r="B35">
        <v>560026</v>
      </c>
      <c r="C35" s="3">
        <v>43506</v>
      </c>
      <c r="D35">
        <v>53.09</v>
      </c>
      <c r="E35">
        <v>101.71</v>
      </c>
      <c r="F35">
        <v>66.2</v>
      </c>
      <c r="G35">
        <v>17.39</v>
      </c>
      <c r="H35">
        <v>8.49</v>
      </c>
      <c r="I35">
        <v>0.99</v>
      </c>
      <c r="J35">
        <v>56.49</v>
      </c>
      <c r="K35">
        <f t="shared" si="0"/>
        <v>88.483333333333348</v>
      </c>
      <c r="L35">
        <f t="shared" si="1"/>
        <v>101.14</v>
      </c>
      <c r="M35">
        <f t="shared" si="2"/>
        <v>82.75</v>
      </c>
      <c r="N35">
        <f t="shared" si="3"/>
        <v>4.3475000000000001</v>
      </c>
      <c r="O35">
        <f t="shared" si="4"/>
        <v>10.612500000000001</v>
      </c>
      <c r="P35">
        <f t="shared" si="5"/>
        <v>11.25</v>
      </c>
      <c r="Q35">
        <f t="shared" si="6"/>
        <v>55.867333333333342</v>
      </c>
      <c r="R35">
        <f t="shared" si="7"/>
        <v>101.14</v>
      </c>
      <c r="S35" t="str">
        <f t="shared" si="8"/>
        <v>Moderate</v>
      </c>
      <c r="T35" t="str">
        <f t="shared" si="9"/>
        <v>PM10</v>
      </c>
      <c r="U35">
        <v>23.01</v>
      </c>
      <c r="V35">
        <v>62.79</v>
      </c>
    </row>
    <row r="36" spans="1:22" x14ac:dyDescent="0.3">
      <c r="A36" s="2" t="s">
        <v>15</v>
      </c>
      <c r="B36">
        <v>560026</v>
      </c>
      <c r="C36" s="3">
        <v>43507</v>
      </c>
      <c r="D36">
        <v>47.21</v>
      </c>
      <c r="E36">
        <v>92.13</v>
      </c>
      <c r="F36">
        <v>60.2</v>
      </c>
      <c r="G36">
        <v>14.88</v>
      </c>
      <c r="H36">
        <v>8.09</v>
      </c>
      <c r="I36">
        <v>0.91</v>
      </c>
      <c r="J36">
        <v>48.01</v>
      </c>
      <c r="K36">
        <f t="shared" si="0"/>
        <v>78.683333333333337</v>
      </c>
      <c r="L36">
        <f t="shared" si="1"/>
        <v>92.13</v>
      </c>
      <c r="M36">
        <f t="shared" si="2"/>
        <v>75.25</v>
      </c>
      <c r="N36">
        <f t="shared" si="3"/>
        <v>3.72</v>
      </c>
      <c r="O36">
        <f t="shared" si="4"/>
        <v>10.112500000000001</v>
      </c>
      <c r="P36">
        <f t="shared" si="5"/>
        <v>10.340909090909092</v>
      </c>
      <c r="Q36">
        <f t="shared" si="6"/>
        <v>44.453703703703702</v>
      </c>
      <c r="R36">
        <f t="shared" si="7"/>
        <v>92.13</v>
      </c>
      <c r="S36" t="str">
        <f t="shared" si="8"/>
        <v>Satisfactory</v>
      </c>
      <c r="T36" t="str">
        <f t="shared" si="9"/>
        <v>PM10</v>
      </c>
      <c r="U36">
        <v>23.07</v>
      </c>
      <c r="V36">
        <v>61.55</v>
      </c>
    </row>
    <row r="37" spans="1:22" x14ac:dyDescent="0.3">
      <c r="A37" s="2" t="s">
        <v>15</v>
      </c>
      <c r="B37">
        <v>560026</v>
      </c>
      <c r="C37" s="3">
        <v>43508</v>
      </c>
      <c r="D37">
        <v>52.39</v>
      </c>
      <c r="E37">
        <v>106.3</v>
      </c>
      <c r="F37">
        <v>71.17</v>
      </c>
      <c r="G37">
        <v>13.26</v>
      </c>
      <c r="H37">
        <v>7.68</v>
      </c>
      <c r="I37">
        <v>0.95</v>
      </c>
      <c r="J37">
        <v>67.099999999999994</v>
      </c>
      <c r="K37">
        <f t="shared" si="0"/>
        <v>87.316666666666663</v>
      </c>
      <c r="L37">
        <f t="shared" si="1"/>
        <v>104.2</v>
      </c>
      <c r="M37">
        <f t="shared" si="2"/>
        <v>88.962500000000006</v>
      </c>
      <c r="N37">
        <f t="shared" si="3"/>
        <v>3.3149999999999999</v>
      </c>
      <c r="O37">
        <f t="shared" si="4"/>
        <v>9.6</v>
      </c>
      <c r="P37">
        <f t="shared" si="5"/>
        <v>10.795454545454545</v>
      </c>
      <c r="Q37">
        <f t="shared" si="6"/>
        <v>90.526666666666642</v>
      </c>
      <c r="R37">
        <f t="shared" si="7"/>
        <v>104.2</v>
      </c>
      <c r="S37" t="str">
        <f t="shared" si="8"/>
        <v>Moderate</v>
      </c>
      <c r="T37" t="str">
        <f t="shared" si="9"/>
        <v>PM10</v>
      </c>
      <c r="U37">
        <v>22.67</v>
      </c>
      <c r="V37">
        <v>57.83</v>
      </c>
    </row>
    <row r="38" spans="1:22" x14ac:dyDescent="0.3">
      <c r="A38" s="2" t="s">
        <v>15</v>
      </c>
      <c r="B38">
        <v>560026</v>
      </c>
      <c r="C38" s="3">
        <v>43509</v>
      </c>
      <c r="D38">
        <v>51.19</v>
      </c>
      <c r="E38">
        <v>106.27</v>
      </c>
      <c r="F38">
        <v>74.34</v>
      </c>
      <c r="G38">
        <v>12.22</v>
      </c>
      <c r="H38">
        <v>6.31</v>
      </c>
      <c r="I38">
        <v>0.99</v>
      </c>
      <c r="J38">
        <v>75.209999999999994</v>
      </c>
      <c r="K38">
        <f t="shared" si="0"/>
        <v>85.316666666666663</v>
      </c>
      <c r="L38">
        <f t="shared" si="1"/>
        <v>104.17999999999999</v>
      </c>
      <c r="M38">
        <f t="shared" si="2"/>
        <v>92.925000000000011</v>
      </c>
      <c r="N38">
        <f t="shared" si="3"/>
        <v>3.0550000000000002</v>
      </c>
      <c r="O38">
        <f t="shared" si="4"/>
        <v>7.8875000000000002</v>
      </c>
      <c r="P38">
        <f t="shared" si="5"/>
        <v>11.25</v>
      </c>
      <c r="Q38">
        <f t="shared" si="6"/>
        <v>115.73499999999999</v>
      </c>
      <c r="R38">
        <f t="shared" si="7"/>
        <v>115.73499999999999</v>
      </c>
      <c r="S38" t="str">
        <f t="shared" si="8"/>
        <v>Moderate</v>
      </c>
      <c r="T38" t="str">
        <f t="shared" si="9"/>
        <v>OZONE</v>
      </c>
      <c r="U38">
        <v>22.91</v>
      </c>
      <c r="V38">
        <v>55.03</v>
      </c>
    </row>
    <row r="39" spans="1:22" x14ac:dyDescent="0.3">
      <c r="A39" s="2" t="s">
        <v>15</v>
      </c>
      <c r="B39">
        <v>560026</v>
      </c>
      <c r="C39" s="3">
        <v>43510</v>
      </c>
      <c r="D39">
        <v>39.68</v>
      </c>
      <c r="E39">
        <v>87.8</v>
      </c>
      <c r="F39">
        <v>67.33</v>
      </c>
      <c r="G39">
        <v>11.34</v>
      </c>
      <c r="H39">
        <v>6.24</v>
      </c>
      <c r="I39">
        <v>0.82</v>
      </c>
      <c r="J39">
        <v>68.5</v>
      </c>
      <c r="K39">
        <f t="shared" si="0"/>
        <v>66.133333333333326</v>
      </c>
      <c r="L39">
        <f t="shared" si="1"/>
        <v>87.8</v>
      </c>
      <c r="M39">
        <f t="shared" si="2"/>
        <v>84.162499999999994</v>
      </c>
      <c r="N39">
        <f t="shared" si="3"/>
        <v>2.835</v>
      </c>
      <c r="O39">
        <f t="shared" si="4"/>
        <v>7.8</v>
      </c>
      <c r="P39">
        <f t="shared" si="5"/>
        <v>9.3181818181818166</v>
      </c>
      <c r="Q39">
        <f t="shared" si="6"/>
        <v>95.1</v>
      </c>
      <c r="R39">
        <f t="shared" si="7"/>
        <v>95.1</v>
      </c>
      <c r="S39" t="str">
        <f t="shared" si="8"/>
        <v>Satisfactory</v>
      </c>
      <c r="T39" t="str">
        <f t="shared" si="9"/>
        <v>OZONE</v>
      </c>
      <c r="U39">
        <v>23.73</v>
      </c>
      <c r="V39">
        <v>50.81</v>
      </c>
    </row>
    <row r="40" spans="1:22" x14ac:dyDescent="0.3">
      <c r="A40" s="2" t="s">
        <v>15</v>
      </c>
      <c r="B40">
        <v>560026</v>
      </c>
      <c r="C40" s="3">
        <v>43511</v>
      </c>
      <c r="D40">
        <v>36.39</v>
      </c>
      <c r="E40">
        <v>77.78</v>
      </c>
      <c r="F40">
        <v>64.88</v>
      </c>
      <c r="G40">
        <v>11.18</v>
      </c>
      <c r="H40">
        <v>6.06</v>
      </c>
      <c r="I40">
        <v>0.75</v>
      </c>
      <c r="J40">
        <v>66.959999999999994</v>
      </c>
      <c r="K40">
        <f t="shared" si="0"/>
        <v>60.65</v>
      </c>
      <c r="L40">
        <f t="shared" si="1"/>
        <v>77.78</v>
      </c>
      <c r="M40">
        <f t="shared" si="2"/>
        <v>81.099999999999994</v>
      </c>
      <c r="N40">
        <f t="shared" si="3"/>
        <v>2.7949999999999999</v>
      </c>
      <c r="O40">
        <f t="shared" si="4"/>
        <v>7.5750000000000002</v>
      </c>
      <c r="P40">
        <f t="shared" si="5"/>
        <v>8.5227272727272734</v>
      </c>
      <c r="Q40">
        <f t="shared" si="6"/>
        <v>90.069333333333304</v>
      </c>
      <c r="R40">
        <f t="shared" si="7"/>
        <v>90.069333333333304</v>
      </c>
      <c r="S40" t="str">
        <f t="shared" si="8"/>
        <v>Satisfactory</v>
      </c>
      <c r="T40" t="str">
        <f t="shared" si="9"/>
        <v>OZONE</v>
      </c>
      <c r="U40">
        <v>24.29</v>
      </c>
      <c r="V40">
        <v>56.45</v>
      </c>
    </row>
    <row r="41" spans="1:22" x14ac:dyDescent="0.3">
      <c r="A41" s="2" t="s">
        <v>15</v>
      </c>
      <c r="B41">
        <v>560026</v>
      </c>
      <c r="C41" s="3">
        <v>43512</v>
      </c>
      <c r="D41">
        <v>48.54</v>
      </c>
      <c r="E41">
        <v>114.6</v>
      </c>
      <c r="F41">
        <v>73.48</v>
      </c>
      <c r="G41">
        <v>11.15</v>
      </c>
      <c r="H41">
        <v>7.44</v>
      </c>
      <c r="I41">
        <v>1.25</v>
      </c>
      <c r="J41">
        <v>78.239999999999995</v>
      </c>
      <c r="K41">
        <f t="shared" si="0"/>
        <v>80.900000000000006</v>
      </c>
      <c r="L41">
        <f t="shared" si="1"/>
        <v>109.73333333333333</v>
      </c>
      <c r="M41">
        <f t="shared" si="2"/>
        <v>91.850000000000009</v>
      </c>
      <c r="N41">
        <f t="shared" si="3"/>
        <v>2.7875000000000001</v>
      </c>
      <c r="O41">
        <f t="shared" si="4"/>
        <v>9.3000000000000007</v>
      </c>
      <c r="P41">
        <f t="shared" si="5"/>
        <v>14.204545454545453</v>
      </c>
      <c r="Q41">
        <f t="shared" si="6"/>
        <v>126.33999999999997</v>
      </c>
      <c r="R41">
        <f t="shared" si="7"/>
        <v>126.33999999999997</v>
      </c>
      <c r="S41" t="str">
        <f t="shared" si="8"/>
        <v>Moderate</v>
      </c>
      <c r="T41" t="str">
        <f t="shared" si="9"/>
        <v>OZONE</v>
      </c>
      <c r="U41">
        <v>24.68</v>
      </c>
      <c r="V41">
        <v>51.53</v>
      </c>
    </row>
    <row r="42" spans="1:22" x14ac:dyDescent="0.3">
      <c r="A42" s="2" t="s">
        <v>15</v>
      </c>
      <c r="B42">
        <v>560026</v>
      </c>
      <c r="C42" s="3">
        <v>43513</v>
      </c>
      <c r="D42">
        <v>42.08</v>
      </c>
      <c r="E42">
        <v>95.97</v>
      </c>
      <c r="F42">
        <v>65.209999999999994</v>
      </c>
      <c r="G42">
        <v>12.24</v>
      </c>
      <c r="H42">
        <v>7.83</v>
      </c>
      <c r="I42">
        <v>0.88</v>
      </c>
      <c r="J42">
        <v>73.39</v>
      </c>
      <c r="K42">
        <f t="shared" si="0"/>
        <v>70.133333333333326</v>
      </c>
      <c r="L42">
        <f t="shared" si="1"/>
        <v>95.97</v>
      </c>
      <c r="M42">
        <f t="shared" si="2"/>
        <v>81.512499999999989</v>
      </c>
      <c r="N42">
        <f t="shared" si="3"/>
        <v>3.06</v>
      </c>
      <c r="O42">
        <f t="shared" si="4"/>
        <v>9.7874999999999996</v>
      </c>
      <c r="P42">
        <f t="shared" si="5"/>
        <v>10</v>
      </c>
      <c r="Q42">
        <f t="shared" si="6"/>
        <v>109.36500000000001</v>
      </c>
      <c r="R42">
        <f t="shared" si="7"/>
        <v>109.36500000000001</v>
      </c>
      <c r="S42" t="str">
        <f t="shared" si="8"/>
        <v>Moderate</v>
      </c>
      <c r="T42" t="str">
        <f t="shared" si="9"/>
        <v>OZONE</v>
      </c>
      <c r="U42">
        <v>25.01</v>
      </c>
      <c r="V42">
        <v>46.77</v>
      </c>
    </row>
    <row r="43" spans="1:22" x14ac:dyDescent="0.3">
      <c r="A43" s="2" t="s">
        <v>15</v>
      </c>
      <c r="B43">
        <v>560026</v>
      </c>
      <c r="C43" s="3">
        <v>43514</v>
      </c>
      <c r="D43">
        <v>45.97</v>
      </c>
      <c r="E43">
        <v>111.31</v>
      </c>
      <c r="F43">
        <v>76.459999999999994</v>
      </c>
      <c r="G43">
        <v>11.03</v>
      </c>
      <c r="H43">
        <v>8.23</v>
      </c>
      <c r="I43">
        <v>1.01</v>
      </c>
      <c r="J43">
        <v>64.930000000000007</v>
      </c>
      <c r="K43">
        <f t="shared" si="0"/>
        <v>76.616666666666674</v>
      </c>
      <c r="L43">
        <f t="shared" si="1"/>
        <v>107.54</v>
      </c>
      <c r="M43">
        <f t="shared" si="2"/>
        <v>95.574999999999989</v>
      </c>
      <c r="N43">
        <f t="shared" si="3"/>
        <v>2.7574999999999998</v>
      </c>
      <c r="O43">
        <f t="shared" si="4"/>
        <v>10.2875</v>
      </c>
      <c r="P43">
        <f t="shared" si="5"/>
        <v>11.477272727272727</v>
      </c>
      <c r="Q43">
        <f t="shared" si="6"/>
        <v>83.438000000000017</v>
      </c>
      <c r="R43">
        <f t="shared" si="7"/>
        <v>107.54</v>
      </c>
      <c r="S43" t="str">
        <f t="shared" si="8"/>
        <v>Moderate</v>
      </c>
      <c r="T43" t="str">
        <f t="shared" si="9"/>
        <v>PM10</v>
      </c>
      <c r="U43">
        <v>24.89</v>
      </c>
      <c r="V43">
        <v>37.909999999999997</v>
      </c>
    </row>
    <row r="44" spans="1:22" x14ac:dyDescent="0.3">
      <c r="A44" s="2" t="s">
        <v>15</v>
      </c>
      <c r="B44">
        <v>560026</v>
      </c>
      <c r="C44" s="3">
        <v>43515</v>
      </c>
      <c r="D44">
        <v>41.83</v>
      </c>
      <c r="E44">
        <v>86.48</v>
      </c>
      <c r="F44">
        <v>59.19</v>
      </c>
      <c r="G44">
        <v>14.52</v>
      </c>
      <c r="H44">
        <v>7.88</v>
      </c>
      <c r="I44">
        <v>0.84</v>
      </c>
      <c r="J44">
        <v>77.260000000000005</v>
      </c>
      <c r="K44">
        <f t="shared" si="0"/>
        <v>69.716666666666669</v>
      </c>
      <c r="L44">
        <f t="shared" si="1"/>
        <v>86.48</v>
      </c>
      <c r="M44">
        <f t="shared" si="2"/>
        <v>73.987499999999997</v>
      </c>
      <c r="N44">
        <f t="shared" si="3"/>
        <v>3.63</v>
      </c>
      <c r="O44">
        <f t="shared" si="4"/>
        <v>9.85</v>
      </c>
      <c r="P44">
        <f t="shared" si="5"/>
        <v>9.545454545454545</v>
      </c>
      <c r="Q44">
        <f t="shared" si="6"/>
        <v>122.91000000000003</v>
      </c>
      <c r="R44">
        <f t="shared" si="7"/>
        <v>122.91000000000003</v>
      </c>
      <c r="S44" t="str">
        <f t="shared" si="8"/>
        <v>Moderate</v>
      </c>
      <c r="T44" t="str">
        <f t="shared" si="9"/>
        <v>OZONE</v>
      </c>
      <c r="U44">
        <v>25.25</v>
      </c>
      <c r="V44">
        <v>53.44</v>
      </c>
    </row>
    <row r="45" spans="1:22" x14ac:dyDescent="0.3">
      <c r="A45" s="2" t="s">
        <v>15</v>
      </c>
      <c r="B45">
        <v>560026</v>
      </c>
      <c r="C45" s="3">
        <v>43516</v>
      </c>
      <c r="D45">
        <v>34.299999999999997</v>
      </c>
      <c r="E45">
        <v>77.37</v>
      </c>
      <c r="F45">
        <v>59.18</v>
      </c>
      <c r="G45">
        <v>12.05</v>
      </c>
      <c r="H45">
        <v>6.86</v>
      </c>
      <c r="I45">
        <v>0.81</v>
      </c>
      <c r="J45">
        <v>47.48</v>
      </c>
      <c r="K45">
        <f t="shared" si="0"/>
        <v>57.166666666666664</v>
      </c>
      <c r="L45">
        <f t="shared" si="1"/>
        <v>77.37</v>
      </c>
      <c r="M45">
        <f t="shared" si="2"/>
        <v>73.974999999999994</v>
      </c>
      <c r="N45">
        <f t="shared" si="3"/>
        <v>3.0125000000000002</v>
      </c>
      <c r="O45">
        <f t="shared" si="4"/>
        <v>8.5749999999999993</v>
      </c>
      <c r="P45">
        <f t="shared" si="5"/>
        <v>9.204545454545455</v>
      </c>
      <c r="Q45">
        <f t="shared" si="6"/>
        <v>43.962962962962962</v>
      </c>
      <c r="R45">
        <f t="shared" si="7"/>
        <v>77.37</v>
      </c>
      <c r="S45" t="str">
        <f t="shared" si="8"/>
        <v>Satisfactory</v>
      </c>
      <c r="T45" t="str">
        <f t="shared" si="9"/>
        <v>PM10</v>
      </c>
      <c r="U45">
        <v>24.37</v>
      </c>
      <c r="V45">
        <v>52.53</v>
      </c>
    </row>
    <row r="46" spans="1:22" x14ac:dyDescent="0.3">
      <c r="A46" s="2" t="s">
        <v>15</v>
      </c>
      <c r="B46">
        <v>560026</v>
      </c>
      <c r="C46" s="3">
        <v>43517</v>
      </c>
      <c r="D46">
        <v>46.69</v>
      </c>
      <c r="E46">
        <v>102.73</v>
      </c>
      <c r="F46">
        <v>65.3</v>
      </c>
      <c r="G46">
        <v>13.92</v>
      </c>
      <c r="H46">
        <v>7.86</v>
      </c>
      <c r="I46">
        <v>0.81</v>
      </c>
      <c r="J46">
        <v>44.03</v>
      </c>
      <c r="K46">
        <f t="shared" si="0"/>
        <v>77.816666666666663</v>
      </c>
      <c r="L46">
        <f t="shared" si="1"/>
        <v>101.82000000000001</v>
      </c>
      <c r="M46">
        <f t="shared" si="2"/>
        <v>81.625</v>
      </c>
      <c r="N46">
        <f t="shared" si="3"/>
        <v>3.48</v>
      </c>
      <c r="O46">
        <f t="shared" si="4"/>
        <v>9.8249999999999993</v>
      </c>
      <c r="P46">
        <f t="shared" si="5"/>
        <v>9.204545454545455</v>
      </c>
      <c r="Q46">
        <f t="shared" si="6"/>
        <v>40.768518518518519</v>
      </c>
      <c r="R46">
        <f t="shared" si="7"/>
        <v>101.82000000000001</v>
      </c>
      <c r="S46" t="str">
        <f t="shared" si="8"/>
        <v>Moderate</v>
      </c>
      <c r="T46" t="str">
        <f t="shared" si="9"/>
        <v>PM10</v>
      </c>
      <c r="U46">
        <v>19.71</v>
      </c>
      <c r="V46">
        <v>46.61</v>
      </c>
    </row>
    <row r="47" spans="1:22" x14ac:dyDescent="0.3">
      <c r="A47" s="2" t="s">
        <v>15</v>
      </c>
      <c r="B47">
        <v>560026</v>
      </c>
      <c r="C47" s="3">
        <v>43518</v>
      </c>
      <c r="D47">
        <v>47.48</v>
      </c>
      <c r="E47">
        <v>107.17</v>
      </c>
      <c r="F47">
        <v>64.62</v>
      </c>
      <c r="G47">
        <v>13.63</v>
      </c>
      <c r="H47">
        <v>8.68</v>
      </c>
      <c r="I47">
        <v>0.59</v>
      </c>
      <c r="J47">
        <v>57.77</v>
      </c>
      <c r="K47">
        <f t="shared" si="0"/>
        <v>79.133333333333326</v>
      </c>
      <c r="L47">
        <f t="shared" si="1"/>
        <v>104.78</v>
      </c>
      <c r="M47">
        <f t="shared" si="2"/>
        <v>80.775000000000006</v>
      </c>
      <c r="N47">
        <f t="shared" si="3"/>
        <v>3.4075000000000002</v>
      </c>
      <c r="O47">
        <f t="shared" si="4"/>
        <v>10.85</v>
      </c>
      <c r="P47">
        <f t="shared" si="5"/>
        <v>6.7045454545454541</v>
      </c>
      <c r="Q47">
        <f t="shared" si="6"/>
        <v>60.048666666666676</v>
      </c>
      <c r="R47">
        <f t="shared" si="7"/>
        <v>104.78</v>
      </c>
      <c r="S47" t="str">
        <f t="shared" si="8"/>
        <v>Moderate</v>
      </c>
      <c r="T47" t="str">
        <f t="shared" si="9"/>
        <v>PM10</v>
      </c>
      <c r="U47">
        <v>19.579999999999998</v>
      </c>
      <c r="V47">
        <v>39.03</v>
      </c>
    </row>
    <row r="48" spans="1:22" x14ac:dyDescent="0.3">
      <c r="A48" s="2" t="s">
        <v>15</v>
      </c>
      <c r="B48">
        <v>560026</v>
      </c>
      <c r="C48" s="3">
        <v>43519</v>
      </c>
      <c r="D48">
        <v>44.08</v>
      </c>
      <c r="E48">
        <v>98.71</v>
      </c>
      <c r="F48">
        <v>94.47</v>
      </c>
      <c r="G48">
        <v>11.89</v>
      </c>
      <c r="H48">
        <v>8.57</v>
      </c>
      <c r="I48">
        <v>1.1100000000000001</v>
      </c>
      <c r="J48">
        <v>51.77</v>
      </c>
      <c r="K48">
        <f t="shared" si="0"/>
        <v>73.466666666666669</v>
      </c>
      <c r="L48">
        <f t="shared" si="1"/>
        <v>98.71</v>
      </c>
      <c r="M48">
        <f t="shared" si="2"/>
        <v>114.47</v>
      </c>
      <c r="N48">
        <f t="shared" si="3"/>
        <v>2.9725000000000001</v>
      </c>
      <c r="O48">
        <f t="shared" si="4"/>
        <v>10.7125</v>
      </c>
      <c r="P48">
        <f t="shared" si="5"/>
        <v>12.613636363636365</v>
      </c>
      <c r="Q48">
        <f t="shared" si="6"/>
        <v>47.93518518518519</v>
      </c>
      <c r="R48">
        <f t="shared" si="7"/>
        <v>114.47</v>
      </c>
      <c r="S48" t="str">
        <f t="shared" si="8"/>
        <v>Moderate</v>
      </c>
      <c r="T48" t="str">
        <f t="shared" si="9"/>
        <v>NO2</v>
      </c>
      <c r="U48">
        <v>23.98</v>
      </c>
      <c r="V48">
        <v>22.57</v>
      </c>
    </row>
    <row r="49" spans="1:22" x14ac:dyDescent="0.3">
      <c r="A49" s="2" t="s">
        <v>15</v>
      </c>
      <c r="B49">
        <v>560026</v>
      </c>
      <c r="C49" s="3">
        <v>43520</v>
      </c>
      <c r="D49">
        <v>45.02</v>
      </c>
      <c r="E49">
        <v>108.15</v>
      </c>
      <c r="F49">
        <v>76.569999999999993</v>
      </c>
      <c r="G49">
        <v>14.65</v>
      </c>
      <c r="H49">
        <v>9.94</v>
      </c>
      <c r="I49">
        <v>0.86</v>
      </c>
      <c r="J49">
        <v>66.86</v>
      </c>
      <c r="K49">
        <f t="shared" si="0"/>
        <v>75.033333333333331</v>
      </c>
      <c r="L49">
        <f t="shared" si="1"/>
        <v>105.43333333333334</v>
      </c>
      <c r="M49">
        <f t="shared" si="2"/>
        <v>95.712499999999991</v>
      </c>
      <c r="N49">
        <f t="shared" si="3"/>
        <v>3.6625000000000001</v>
      </c>
      <c r="O49">
        <f t="shared" si="4"/>
        <v>12.425000000000001</v>
      </c>
      <c r="P49">
        <f t="shared" si="5"/>
        <v>9.7727272727272716</v>
      </c>
      <c r="Q49">
        <f t="shared" si="6"/>
        <v>89.742666666666665</v>
      </c>
      <c r="R49">
        <f t="shared" si="7"/>
        <v>105.43333333333334</v>
      </c>
      <c r="S49" t="str">
        <f t="shared" si="8"/>
        <v>Moderate</v>
      </c>
      <c r="T49" t="str">
        <f t="shared" si="9"/>
        <v>PM10</v>
      </c>
      <c r="U49">
        <v>24.56</v>
      </c>
      <c r="V49">
        <v>31.14</v>
      </c>
    </row>
    <row r="50" spans="1:22" x14ac:dyDescent="0.3">
      <c r="A50" s="2" t="s">
        <v>15</v>
      </c>
      <c r="B50">
        <v>560026</v>
      </c>
      <c r="C50" s="3">
        <v>43521</v>
      </c>
      <c r="D50">
        <v>41.83</v>
      </c>
      <c r="E50">
        <v>98.25</v>
      </c>
      <c r="F50">
        <v>75.09</v>
      </c>
      <c r="G50">
        <v>13.59</v>
      </c>
      <c r="H50">
        <v>17.23</v>
      </c>
      <c r="I50">
        <v>0.78</v>
      </c>
      <c r="J50">
        <v>84.2</v>
      </c>
      <c r="K50">
        <f t="shared" si="0"/>
        <v>69.716666666666669</v>
      </c>
      <c r="L50">
        <f t="shared" si="1"/>
        <v>98.25</v>
      </c>
      <c r="M50">
        <f t="shared" si="2"/>
        <v>93.862500000000011</v>
      </c>
      <c r="N50">
        <f t="shared" si="3"/>
        <v>3.3975</v>
      </c>
      <c r="O50">
        <f t="shared" si="4"/>
        <v>21.537500000000001</v>
      </c>
      <c r="P50">
        <f t="shared" si="5"/>
        <v>8.8636363636363633</v>
      </c>
      <c r="Q50">
        <f t="shared" si="6"/>
        <v>147.20000000000002</v>
      </c>
      <c r="R50">
        <f t="shared" si="7"/>
        <v>147.20000000000002</v>
      </c>
      <c r="S50" t="str">
        <f t="shared" si="8"/>
        <v>Moderate</v>
      </c>
      <c r="T50" t="str">
        <f t="shared" si="9"/>
        <v>OZONE</v>
      </c>
      <c r="U50">
        <v>27.66</v>
      </c>
      <c r="V50">
        <v>28.23</v>
      </c>
    </row>
    <row r="51" spans="1:22" x14ac:dyDescent="0.3">
      <c r="A51" s="2" t="s">
        <v>15</v>
      </c>
      <c r="B51">
        <v>560026</v>
      </c>
      <c r="C51" s="3">
        <v>43522</v>
      </c>
      <c r="D51">
        <v>56.8</v>
      </c>
      <c r="E51">
        <v>122.89</v>
      </c>
      <c r="F51">
        <v>73.959999999999994</v>
      </c>
      <c r="G51">
        <v>15.35</v>
      </c>
      <c r="H51">
        <v>14.33</v>
      </c>
      <c r="I51">
        <v>1.07</v>
      </c>
      <c r="J51">
        <v>65.87</v>
      </c>
      <c r="K51">
        <f t="shared" si="0"/>
        <v>94.666666666666657</v>
      </c>
      <c r="L51">
        <f t="shared" si="1"/>
        <v>115.26</v>
      </c>
      <c r="M51">
        <f t="shared" si="2"/>
        <v>92.449999999999989</v>
      </c>
      <c r="N51">
        <f t="shared" si="3"/>
        <v>3.8374999999999999</v>
      </c>
      <c r="O51">
        <f t="shared" si="4"/>
        <v>17.912500000000001</v>
      </c>
      <c r="P51">
        <f t="shared" si="5"/>
        <v>12.15909090909091</v>
      </c>
      <c r="Q51">
        <f t="shared" si="6"/>
        <v>86.508666666666684</v>
      </c>
      <c r="R51">
        <f t="shared" si="7"/>
        <v>115.26</v>
      </c>
      <c r="S51" t="str">
        <f t="shared" si="8"/>
        <v>Moderate</v>
      </c>
      <c r="T51" t="str">
        <f t="shared" si="9"/>
        <v>PM10</v>
      </c>
      <c r="U51">
        <v>28.1</v>
      </c>
      <c r="V51">
        <v>39.950000000000003</v>
      </c>
    </row>
    <row r="52" spans="1:22" x14ac:dyDescent="0.3">
      <c r="A52" s="2" t="s">
        <v>15</v>
      </c>
      <c r="B52">
        <v>560026</v>
      </c>
      <c r="C52" s="3">
        <v>43523</v>
      </c>
      <c r="D52">
        <v>49.13</v>
      </c>
      <c r="E52">
        <v>108.25</v>
      </c>
      <c r="F52">
        <v>57.2</v>
      </c>
      <c r="G52">
        <v>16.329999999999998</v>
      </c>
      <c r="H52">
        <v>10.43</v>
      </c>
      <c r="I52">
        <v>0.7</v>
      </c>
      <c r="J52">
        <v>65</v>
      </c>
      <c r="K52">
        <f t="shared" si="0"/>
        <v>81.88333333333334</v>
      </c>
      <c r="L52">
        <f t="shared" si="1"/>
        <v>105.5</v>
      </c>
      <c r="M52">
        <f t="shared" si="2"/>
        <v>71.5</v>
      </c>
      <c r="N52">
        <f t="shared" si="3"/>
        <v>4.0824999999999996</v>
      </c>
      <c r="O52">
        <f t="shared" si="4"/>
        <v>13.0375</v>
      </c>
      <c r="P52">
        <f t="shared" si="5"/>
        <v>7.9545454545454541</v>
      </c>
      <c r="Q52">
        <f t="shared" si="6"/>
        <v>83.666666666666657</v>
      </c>
      <c r="R52">
        <f t="shared" si="7"/>
        <v>105.5</v>
      </c>
      <c r="S52" t="str">
        <f t="shared" si="8"/>
        <v>Moderate</v>
      </c>
      <c r="T52" t="str">
        <f t="shared" si="9"/>
        <v>PM10</v>
      </c>
      <c r="U52">
        <v>27.78</v>
      </c>
      <c r="V52">
        <v>51.95</v>
      </c>
    </row>
    <row r="53" spans="1:22" x14ac:dyDescent="0.3">
      <c r="A53" s="2" t="s">
        <v>15</v>
      </c>
      <c r="B53">
        <v>560026</v>
      </c>
      <c r="C53" s="3">
        <v>43524</v>
      </c>
      <c r="D53">
        <v>55.68</v>
      </c>
      <c r="E53">
        <v>134.46</v>
      </c>
      <c r="F53">
        <v>71</v>
      </c>
      <c r="G53">
        <v>10.75</v>
      </c>
      <c r="H53">
        <v>11.9</v>
      </c>
      <c r="I53">
        <v>0.88</v>
      </c>
      <c r="J53">
        <v>52.92</v>
      </c>
      <c r="K53">
        <f t="shared" si="0"/>
        <v>92.8</v>
      </c>
      <c r="L53">
        <f t="shared" si="1"/>
        <v>122.97333333333334</v>
      </c>
      <c r="M53">
        <f t="shared" si="2"/>
        <v>88.75</v>
      </c>
      <c r="N53">
        <f t="shared" si="3"/>
        <v>2.6875</v>
      </c>
      <c r="O53">
        <f t="shared" si="4"/>
        <v>14.875</v>
      </c>
      <c r="P53">
        <f t="shared" si="5"/>
        <v>10</v>
      </c>
      <c r="Q53">
        <f t="shared" si="6"/>
        <v>49</v>
      </c>
      <c r="R53">
        <f t="shared" si="7"/>
        <v>122.97333333333334</v>
      </c>
      <c r="S53" t="str">
        <f t="shared" si="8"/>
        <v>Moderate</v>
      </c>
      <c r="T53" t="str">
        <f t="shared" si="9"/>
        <v>PM10</v>
      </c>
      <c r="U53">
        <v>27.88</v>
      </c>
      <c r="V53">
        <v>39.15</v>
      </c>
    </row>
    <row r="54" spans="1:22" x14ac:dyDescent="0.3">
      <c r="A54" s="2" t="s">
        <v>15</v>
      </c>
      <c r="B54">
        <v>560026</v>
      </c>
      <c r="C54" s="3">
        <v>43525</v>
      </c>
      <c r="D54">
        <v>58.4</v>
      </c>
      <c r="E54">
        <v>133.77000000000001</v>
      </c>
      <c r="F54">
        <v>74.37</v>
      </c>
      <c r="G54">
        <v>15.96</v>
      </c>
      <c r="H54">
        <v>11.9</v>
      </c>
      <c r="I54">
        <v>1.07</v>
      </c>
      <c r="J54">
        <v>42.25</v>
      </c>
      <c r="K54">
        <f t="shared" si="0"/>
        <v>97.333333333333343</v>
      </c>
      <c r="L54">
        <f t="shared" si="1"/>
        <v>122.51333333333334</v>
      </c>
      <c r="M54">
        <f t="shared" si="2"/>
        <v>92.962500000000006</v>
      </c>
      <c r="N54">
        <f t="shared" si="3"/>
        <v>3.99</v>
      </c>
      <c r="O54">
        <f t="shared" si="4"/>
        <v>14.875</v>
      </c>
      <c r="P54">
        <f t="shared" si="5"/>
        <v>12.15909090909091</v>
      </c>
      <c r="Q54">
        <f t="shared" si="6"/>
        <v>39.120370370370374</v>
      </c>
      <c r="R54">
        <f t="shared" si="7"/>
        <v>122.51333333333334</v>
      </c>
      <c r="S54" t="str">
        <f t="shared" si="8"/>
        <v>Moderate</v>
      </c>
      <c r="T54" t="str">
        <f t="shared" si="9"/>
        <v>PM10</v>
      </c>
      <c r="U54">
        <v>28.41</v>
      </c>
      <c r="V54">
        <v>49.8</v>
      </c>
    </row>
    <row r="55" spans="1:22" x14ac:dyDescent="0.3">
      <c r="A55" s="2" t="s">
        <v>15</v>
      </c>
      <c r="B55">
        <v>560026</v>
      </c>
      <c r="C55" s="3">
        <v>43526</v>
      </c>
      <c r="D55">
        <v>40</v>
      </c>
      <c r="E55">
        <v>87.88</v>
      </c>
      <c r="F55">
        <v>55.24</v>
      </c>
      <c r="G55">
        <v>14.59</v>
      </c>
      <c r="H55">
        <v>6.91</v>
      </c>
      <c r="I55">
        <v>0.6</v>
      </c>
      <c r="J55">
        <v>62.08</v>
      </c>
      <c r="K55">
        <f t="shared" si="0"/>
        <v>66.666666666666671</v>
      </c>
      <c r="L55">
        <f t="shared" si="1"/>
        <v>87.88</v>
      </c>
      <c r="M55">
        <f t="shared" si="2"/>
        <v>69.050000000000011</v>
      </c>
      <c r="N55">
        <f t="shared" si="3"/>
        <v>3.6475</v>
      </c>
      <c r="O55">
        <f t="shared" si="4"/>
        <v>8.6374999999999993</v>
      </c>
      <c r="P55">
        <f t="shared" si="5"/>
        <v>6.8181818181818175</v>
      </c>
      <c r="Q55">
        <f t="shared" si="6"/>
        <v>74.127999999999986</v>
      </c>
      <c r="R55">
        <f t="shared" si="7"/>
        <v>87.88</v>
      </c>
      <c r="S55" t="str">
        <f t="shared" si="8"/>
        <v>Satisfactory</v>
      </c>
      <c r="T55" t="str">
        <f t="shared" si="9"/>
        <v>PM10</v>
      </c>
      <c r="U55">
        <v>27.69</v>
      </c>
      <c r="V55">
        <v>57.07</v>
      </c>
    </row>
    <row r="56" spans="1:22" x14ac:dyDescent="0.3">
      <c r="A56" s="2" t="s">
        <v>15</v>
      </c>
      <c r="B56">
        <v>560026</v>
      </c>
      <c r="C56" s="3">
        <v>43527</v>
      </c>
      <c r="D56">
        <v>36.74</v>
      </c>
      <c r="E56">
        <v>84.71</v>
      </c>
      <c r="F56">
        <v>57.34</v>
      </c>
      <c r="G56">
        <v>11.45</v>
      </c>
      <c r="H56">
        <v>9.4700000000000006</v>
      </c>
      <c r="I56">
        <v>0.68</v>
      </c>
      <c r="J56">
        <v>66.040000000000006</v>
      </c>
      <c r="K56">
        <f t="shared" si="0"/>
        <v>61.233333333333334</v>
      </c>
      <c r="L56">
        <f t="shared" si="1"/>
        <v>84.71</v>
      </c>
      <c r="M56">
        <f t="shared" si="2"/>
        <v>71.675000000000011</v>
      </c>
      <c r="N56">
        <f t="shared" si="3"/>
        <v>2.8624999999999998</v>
      </c>
      <c r="O56">
        <f t="shared" si="4"/>
        <v>11.837500000000002</v>
      </c>
      <c r="P56">
        <f t="shared" si="5"/>
        <v>7.7272727272727275</v>
      </c>
      <c r="Q56">
        <f t="shared" si="6"/>
        <v>87.064000000000021</v>
      </c>
      <c r="R56">
        <f t="shared" si="7"/>
        <v>87.064000000000021</v>
      </c>
      <c r="S56" t="str">
        <f t="shared" si="8"/>
        <v>Satisfactory</v>
      </c>
      <c r="T56" t="str">
        <f t="shared" si="9"/>
        <v>OZONE</v>
      </c>
      <c r="U56">
        <v>27.59</v>
      </c>
      <c r="V56">
        <v>53.08</v>
      </c>
    </row>
    <row r="57" spans="1:22" x14ac:dyDescent="0.3">
      <c r="A57" s="2" t="s">
        <v>15</v>
      </c>
      <c r="B57">
        <v>560026</v>
      </c>
      <c r="C57" s="3">
        <v>43528</v>
      </c>
      <c r="D57">
        <v>40.520000000000003</v>
      </c>
      <c r="E57">
        <v>88.75</v>
      </c>
      <c r="F57">
        <v>48.46</v>
      </c>
      <c r="G57">
        <v>12.64</v>
      </c>
      <c r="H57">
        <v>11.67</v>
      </c>
      <c r="I57">
        <v>0.59</v>
      </c>
      <c r="J57">
        <v>82.49</v>
      </c>
      <c r="K57">
        <f t="shared" si="0"/>
        <v>67.533333333333331</v>
      </c>
      <c r="L57">
        <f t="shared" si="1"/>
        <v>88.75</v>
      </c>
      <c r="M57">
        <f t="shared" si="2"/>
        <v>60.575000000000003</v>
      </c>
      <c r="N57">
        <f t="shared" si="3"/>
        <v>3.16</v>
      </c>
      <c r="O57">
        <f t="shared" si="4"/>
        <v>14.5875</v>
      </c>
      <c r="P57">
        <f t="shared" si="5"/>
        <v>6.7045454545454541</v>
      </c>
      <c r="Q57">
        <f t="shared" si="6"/>
        <v>141.21499999999997</v>
      </c>
      <c r="R57">
        <f t="shared" si="7"/>
        <v>141.21499999999997</v>
      </c>
      <c r="S57" t="str">
        <f t="shared" si="8"/>
        <v>Moderate</v>
      </c>
      <c r="T57" t="str">
        <f t="shared" si="9"/>
        <v>OZONE</v>
      </c>
      <c r="U57">
        <v>28.31</v>
      </c>
      <c r="V57">
        <v>52.42</v>
      </c>
    </row>
    <row r="58" spans="1:22" x14ac:dyDescent="0.3">
      <c r="A58" s="2" t="s">
        <v>15</v>
      </c>
      <c r="B58">
        <v>560026</v>
      </c>
      <c r="C58" s="3">
        <v>43529</v>
      </c>
      <c r="D58">
        <v>51.78</v>
      </c>
      <c r="E58">
        <v>118.06</v>
      </c>
      <c r="F58">
        <v>62.82</v>
      </c>
      <c r="G58">
        <v>11.63</v>
      </c>
      <c r="H58">
        <v>6.18</v>
      </c>
      <c r="I58">
        <v>1.1599999999999999</v>
      </c>
      <c r="J58">
        <v>65.73</v>
      </c>
      <c r="K58">
        <f t="shared" si="0"/>
        <v>86.3</v>
      </c>
      <c r="L58">
        <f t="shared" si="1"/>
        <v>112.04</v>
      </c>
      <c r="M58">
        <f t="shared" si="2"/>
        <v>78.525000000000006</v>
      </c>
      <c r="N58">
        <f t="shared" si="3"/>
        <v>2.9075000000000002</v>
      </c>
      <c r="O58">
        <f t="shared" si="4"/>
        <v>7.7249999999999996</v>
      </c>
      <c r="P58">
        <f t="shared" si="5"/>
        <v>13.18181818181818</v>
      </c>
      <c r="Q58">
        <f t="shared" si="6"/>
        <v>86.051333333333346</v>
      </c>
      <c r="R58">
        <f t="shared" si="7"/>
        <v>112.04</v>
      </c>
      <c r="S58" t="str">
        <f t="shared" si="8"/>
        <v>Moderate</v>
      </c>
      <c r="T58" t="str">
        <f t="shared" si="9"/>
        <v>PM10</v>
      </c>
      <c r="U58">
        <v>28.25</v>
      </c>
      <c r="V58">
        <v>54.62</v>
      </c>
    </row>
    <row r="59" spans="1:22" x14ac:dyDescent="0.3">
      <c r="A59" s="2" t="s">
        <v>15</v>
      </c>
      <c r="B59">
        <v>560026</v>
      </c>
      <c r="C59" s="3">
        <v>43530</v>
      </c>
      <c r="D59">
        <v>54.57</v>
      </c>
      <c r="E59">
        <v>132.38</v>
      </c>
      <c r="F59">
        <v>74.06</v>
      </c>
      <c r="G59">
        <v>10.64</v>
      </c>
      <c r="H59">
        <v>7.83</v>
      </c>
      <c r="I59">
        <v>1.03</v>
      </c>
      <c r="J59">
        <v>55.71</v>
      </c>
      <c r="K59">
        <f t="shared" ref="K59:K120" si="10">IF(ISTEXT(D59),0,IF(D59&lt;=30,D59*50/30,IF(AND(D59&gt;30,D59&lt;=60),50+(D59-30)*50/30,IF(AND(D59&gt;60,D59&lt;=90),100+(D59-60)*100/30,IF(AND(D59&gt;90,D59&lt;=120),200+(D59-90)*(100/30),IF(AND(D59&gt;120,D59&lt;=250),300+(D59-120)*(100/130),IF(D59&gt;250,400+(D59-250)*(100/130))))))))</f>
        <v>90.95</v>
      </c>
      <c r="L59">
        <f t="shared" ref="L59:L120" si="11">IF(ISTEXT(E59),0,IF(E59&lt;=50,E59,IF(AND(E59&gt;50,E59&lt;=100),E59,IF(AND(E59&gt;100,E59&lt;=250),100+(E59-100)*100/150,IF(AND(E59&gt;250,E59&lt;=350),200+(E59-250),IF(AND(E59&gt;350,E59&lt;=430),300+(E59-350)*(100/80),IF(E59&gt;430,400+(E59-430)*(100/80))))))))</f>
        <v>121.58666666666666</v>
      </c>
      <c r="M59">
        <f t="shared" ref="M59:M120" si="12">IF(ISTEXT(F59),0,IF(F59&lt;=40,F59*50/40,IF(AND(F59&gt;40,F59&lt;=80),50+(F59-40)*50/40,IF(AND(F59&gt;80,F59&lt;=180),100+(F59-80)*100/100,IF(AND(F59&gt;180,F59&lt;=280),200+(F59-180)*(100/100),IF(AND(F59&gt;280,F59&lt;=400),300+(F59-280)*(100/120),IF(F59&gt;400,400+(F59-400)*(100/120))))))))</f>
        <v>92.575000000000003</v>
      </c>
      <c r="N59">
        <f t="shared" ref="N59:N120" si="13">IF(ISTEXT(G59),0,IF(G59&lt;=200,G59*50/200,IF(AND(G59&gt;200,G59&lt;=400),50+(G59-200)*50/200,IF(AND(G59&gt;400,G59&lt;=800),100+(G59-400)*100/400,IF(AND(G59&gt;800,G59&lt;=1200),200+(G59-800)*(100/400),IF(AND(G59&gt;1200,G59&lt;=1800),300+(G59-1200)*(100/600),IF(G59&gt;1800,400+(G59-1800)*(100/600))))))))</f>
        <v>2.66</v>
      </c>
      <c r="O59">
        <f t="shared" ref="O59:O120" si="14">IF(ISTEXT(H59),0,IF(H59&lt;=40,H59*50/40,IF(AND(H59&gt;40,H59&lt;=80),50+(H59-40)*50/40,IF(AND(H59&gt;80,H59&lt;=380),100+(H59-80)*100/300,IF(AND(H59&gt;380,H59&lt;=800),200+(H59-380)*(100/420),IF(AND(H59&gt;800,H59&lt;=1600),300+(H59-800)*(100/800),IF(H59&gt;1600,400+(H59-1600)*(100/800))))))))</f>
        <v>9.7874999999999996</v>
      </c>
      <c r="P59">
        <f t="shared" ref="P59:P120" si="15">IF(I59&lt;=4.4,(50-0)/(4.4-0)*(I59-0)+0,
IF(I59&lt;=9.4,(100-51)/(9.4-4.5)*(I59-4.5)+51,
IF(I59&lt;=12.4,(150-101)/(12.4-9.5)*(I59-9.5)+101,
IF(I59&lt;=15.4,(200-151)/(15.4-12.5)*(I59-12.5)+151,
IF(I59&lt;=30.4,(300-201)/(30.4-15.5)*(I59-15.5)+201,
(500-301)/(50.4-30.5)*(I59-30.5)+301)))))</f>
        <v>11.704545454545455</v>
      </c>
      <c r="Q59">
        <f t="shared" ref="Q59:Q120" si="16">IF(J59&lt;=54,(50-0)/(54-0)*(J59-0)+0,
IF(J59&lt;=70,(100-51)/(70-55)*(J59-55)+51,
IF(J59&lt;=85,(150-101)/(85-71)*(J59-71)+101,
IF(J59&lt;=105,(200-151)/(105-86)*(J59-86)+151,
IF(J59&lt;=200,(300-201)/(200-106)*(J59-106)+201,
(500-301)/(300-201)*(J59-201)+301)))))</f>
        <v>53.319333333333333</v>
      </c>
      <c r="R59">
        <f t="shared" ref="R59:R120" si="17">MAX(K59:Q59)</f>
        <v>121.58666666666666</v>
      </c>
      <c r="S59" t="str">
        <f t="shared" ref="S59:S120" si="18">IF(R59&lt;=50,"Good",
IF(R59&lt;=100,"Satisfactory",
IF(R59&lt;=200,"Moderate",
IF(R59&lt;=300,"Poor",
IF(R59&lt;=400,"Very Poor",
"Severe")))))</f>
        <v>Moderate</v>
      </c>
      <c r="T59" t="str">
        <f t="shared" ref="T59:T120" si="19">IF(MAX(K59:Q59)=K59,"PM2.5",
IF(MAX(K59:Q59)=L59,"PM10",
IF(MAX(K59:Q59)=M59,"NO2",
IF(MAX(K59:Q59)=N59,"NH3",
IF(MAX(K59:Q59)=O59,"SO2",
IF(MAX(K59:Q59)=P59,"CO",
IF(MAX(K59:Q59)=Q59,"OZONE","")))))))</f>
        <v>PM10</v>
      </c>
      <c r="U59">
        <v>29.21</v>
      </c>
      <c r="V59">
        <v>41.09</v>
      </c>
    </row>
    <row r="60" spans="1:22" x14ac:dyDescent="0.3">
      <c r="A60" s="2" t="s">
        <v>15</v>
      </c>
      <c r="B60">
        <v>560026</v>
      </c>
      <c r="C60" s="3">
        <v>43531</v>
      </c>
      <c r="D60">
        <v>71.349999999999994</v>
      </c>
      <c r="E60">
        <v>180.27</v>
      </c>
      <c r="F60">
        <v>82.3</v>
      </c>
      <c r="G60">
        <v>14.45</v>
      </c>
      <c r="H60">
        <v>11.75</v>
      </c>
      <c r="I60">
        <v>1.26</v>
      </c>
      <c r="J60">
        <v>42.52</v>
      </c>
      <c r="K60">
        <f t="shared" si="10"/>
        <v>137.83333333333331</v>
      </c>
      <c r="L60">
        <f t="shared" si="11"/>
        <v>153.51333333333335</v>
      </c>
      <c r="M60">
        <f t="shared" si="12"/>
        <v>102.3</v>
      </c>
      <c r="N60">
        <f t="shared" si="13"/>
        <v>3.6124999999999998</v>
      </c>
      <c r="O60">
        <f t="shared" si="14"/>
        <v>14.6875</v>
      </c>
      <c r="P60">
        <f t="shared" si="15"/>
        <v>14.318181818181818</v>
      </c>
      <c r="Q60">
        <f t="shared" si="16"/>
        <v>39.370370370370374</v>
      </c>
      <c r="R60">
        <f t="shared" si="17"/>
        <v>153.51333333333335</v>
      </c>
      <c r="S60" t="str">
        <f t="shared" si="18"/>
        <v>Moderate</v>
      </c>
      <c r="T60" t="str">
        <f t="shared" si="19"/>
        <v>PM10</v>
      </c>
      <c r="U60">
        <v>29.89</v>
      </c>
      <c r="V60">
        <v>28.24</v>
      </c>
    </row>
    <row r="61" spans="1:22" x14ac:dyDescent="0.3">
      <c r="A61" s="2" t="s">
        <v>15</v>
      </c>
      <c r="B61">
        <v>560026</v>
      </c>
      <c r="C61" s="3">
        <v>43532</v>
      </c>
      <c r="D61">
        <v>58</v>
      </c>
      <c r="E61">
        <v>149.33000000000001</v>
      </c>
      <c r="F61">
        <v>68.407777780000004</v>
      </c>
      <c r="G61">
        <v>13.794444439999999</v>
      </c>
      <c r="H61">
        <v>11.28</v>
      </c>
      <c r="I61">
        <v>1.02</v>
      </c>
      <c r="J61">
        <v>34.9</v>
      </c>
      <c r="K61">
        <f t="shared" si="10"/>
        <v>96.666666666666657</v>
      </c>
      <c r="L61">
        <f t="shared" si="11"/>
        <v>132.88666666666666</v>
      </c>
      <c r="M61">
        <f t="shared" si="12"/>
        <v>85.509722225000004</v>
      </c>
      <c r="N61">
        <f t="shared" si="13"/>
        <v>3.4486111099999999</v>
      </c>
      <c r="O61">
        <f t="shared" si="14"/>
        <v>14.1</v>
      </c>
      <c r="P61">
        <f t="shared" si="15"/>
        <v>11.59090909090909</v>
      </c>
      <c r="Q61">
        <f t="shared" si="16"/>
        <v>32.314814814814817</v>
      </c>
      <c r="R61">
        <f t="shared" si="17"/>
        <v>132.88666666666666</v>
      </c>
      <c r="S61" t="str">
        <f t="shared" si="18"/>
        <v>Moderate</v>
      </c>
      <c r="T61" t="str">
        <f t="shared" si="19"/>
        <v>PM10</v>
      </c>
      <c r="U61">
        <v>29.64</v>
      </c>
      <c r="V61">
        <v>31.61</v>
      </c>
    </row>
    <row r="62" spans="1:22" x14ac:dyDescent="0.3">
      <c r="A62" s="2" t="s">
        <v>15</v>
      </c>
      <c r="B62">
        <v>560026</v>
      </c>
      <c r="C62" s="3">
        <v>43533</v>
      </c>
      <c r="D62">
        <v>51.57</v>
      </c>
      <c r="E62">
        <v>123.29</v>
      </c>
      <c r="F62">
        <v>68.407777780000004</v>
      </c>
      <c r="G62">
        <v>13.794444439999999</v>
      </c>
      <c r="H62">
        <v>7.71</v>
      </c>
      <c r="I62">
        <v>0.85</v>
      </c>
      <c r="J62">
        <v>58.53</v>
      </c>
      <c r="K62">
        <f t="shared" si="10"/>
        <v>85.95</v>
      </c>
      <c r="L62">
        <f t="shared" si="11"/>
        <v>115.52666666666667</v>
      </c>
      <c r="M62">
        <f t="shared" si="12"/>
        <v>85.509722225000004</v>
      </c>
      <c r="N62">
        <f t="shared" si="13"/>
        <v>3.4486111099999999</v>
      </c>
      <c r="O62">
        <f t="shared" si="14"/>
        <v>9.6374999999999993</v>
      </c>
      <c r="P62">
        <f t="shared" si="15"/>
        <v>9.6590909090909083</v>
      </c>
      <c r="Q62">
        <f t="shared" si="16"/>
        <v>62.531333333333336</v>
      </c>
      <c r="R62">
        <f t="shared" si="17"/>
        <v>115.52666666666667</v>
      </c>
      <c r="S62" t="str">
        <f t="shared" si="18"/>
        <v>Moderate</v>
      </c>
      <c r="T62" t="str">
        <f t="shared" si="19"/>
        <v>PM10</v>
      </c>
      <c r="U62">
        <v>28.39</v>
      </c>
      <c r="V62">
        <v>53.81</v>
      </c>
    </row>
    <row r="63" spans="1:22" x14ac:dyDescent="0.3">
      <c r="A63" s="2" t="s">
        <v>15</v>
      </c>
      <c r="B63">
        <v>560026</v>
      </c>
      <c r="C63" s="3">
        <v>43534</v>
      </c>
      <c r="D63">
        <v>35.700000000000003</v>
      </c>
      <c r="E63">
        <v>82</v>
      </c>
      <c r="F63">
        <v>68.407777780000004</v>
      </c>
      <c r="G63">
        <v>13.794444439999999</v>
      </c>
      <c r="H63">
        <v>9.35</v>
      </c>
      <c r="I63">
        <v>0.67</v>
      </c>
      <c r="J63">
        <v>67.180000000000007</v>
      </c>
      <c r="K63">
        <f t="shared" si="10"/>
        <v>59.5</v>
      </c>
      <c r="L63">
        <f t="shared" si="11"/>
        <v>82</v>
      </c>
      <c r="M63">
        <f t="shared" si="12"/>
        <v>85.509722225000004</v>
      </c>
      <c r="N63">
        <f t="shared" si="13"/>
        <v>3.4486111099999999</v>
      </c>
      <c r="O63">
        <f t="shared" si="14"/>
        <v>11.6875</v>
      </c>
      <c r="P63">
        <f t="shared" si="15"/>
        <v>7.6136363636363642</v>
      </c>
      <c r="Q63">
        <f t="shared" si="16"/>
        <v>90.788000000000011</v>
      </c>
      <c r="R63">
        <f t="shared" si="17"/>
        <v>90.788000000000011</v>
      </c>
      <c r="S63" t="str">
        <f t="shared" si="18"/>
        <v>Satisfactory</v>
      </c>
      <c r="T63" t="str">
        <f t="shared" si="19"/>
        <v>OZONE</v>
      </c>
      <c r="U63">
        <v>28.97</v>
      </c>
      <c r="V63">
        <v>52.28</v>
      </c>
    </row>
    <row r="64" spans="1:22" x14ac:dyDescent="0.3">
      <c r="A64" s="2" t="s">
        <v>15</v>
      </c>
      <c r="B64">
        <v>560026</v>
      </c>
      <c r="C64" s="3">
        <v>43535</v>
      </c>
      <c r="D64">
        <v>34.31</v>
      </c>
      <c r="E64">
        <v>82.41</v>
      </c>
      <c r="F64">
        <v>68.407777780000004</v>
      </c>
      <c r="G64">
        <v>13.794444439999999</v>
      </c>
      <c r="H64">
        <v>11.9</v>
      </c>
      <c r="I64">
        <v>0.67</v>
      </c>
      <c r="J64">
        <v>86.17</v>
      </c>
      <c r="K64">
        <f t="shared" si="10"/>
        <v>57.183333333333337</v>
      </c>
      <c r="L64">
        <f t="shared" si="11"/>
        <v>82.41</v>
      </c>
      <c r="M64">
        <f t="shared" si="12"/>
        <v>85.509722225000004</v>
      </c>
      <c r="N64">
        <f t="shared" si="13"/>
        <v>3.4486111099999999</v>
      </c>
      <c r="O64">
        <f t="shared" si="14"/>
        <v>14.875</v>
      </c>
      <c r="P64">
        <f t="shared" si="15"/>
        <v>7.6136363636363642</v>
      </c>
      <c r="Q64">
        <f t="shared" si="16"/>
        <v>151.43842105263158</v>
      </c>
      <c r="R64">
        <f t="shared" si="17"/>
        <v>151.43842105263158</v>
      </c>
      <c r="S64" t="str">
        <f t="shared" si="18"/>
        <v>Moderate</v>
      </c>
      <c r="T64" t="str">
        <f t="shared" si="19"/>
        <v>OZONE</v>
      </c>
      <c r="U64">
        <v>28.88</v>
      </c>
      <c r="V64">
        <v>45.5</v>
      </c>
    </row>
    <row r="65" spans="1:22" x14ac:dyDescent="0.3">
      <c r="A65" s="2" t="s">
        <v>15</v>
      </c>
      <c r="B65">
        <v>560026</v>
      </c>
      <c r="C65" s="3">
        <v>43537</v>
      </c>
      <c r="D65">
        <v>50.18</v>
      </c>
      <c r="E65">
        <v>112.46</v>
      </c>
      <c r="F65">
        <v>68.95</v>
      </c>
      <c r="G65">
        <v>10.48</v>
      </c>
      <c r="H65">
        <v>17.23</v>
      </c>
      <c r="I65">
        <v>0.71</v>
      </c>
      <c r="J65">
        <v>95.89</v>
      </c>
      <c r="K65">
        <f t="shared" si="10"/>
        <v>83.633333333333326</v>
      </c>
      <c r="L65">
        <f t="shared" si="11"/>
        <v>108.30666666666666</v>
      </c>
      <c r="M65">
        <f t="shared" si="12"/>
        <v>86.1875</v>
      </c>
      <c r="N65">
        <f t="shared" si="13"/>
        <v>2.62</v>
      </c>
      <c r="O65">
        <f t="shared" si="14"/>
        <v>21.537500000000001</v>
      </c>
      <c r="P65">
        <f t="shared" si="15"/>
        <v>8.0681818181818183</v>
      </c>
      <c r="Q65">
        <f t="shared" si="16"/>
        <v>176.50578947368422</v>
      </c>
      <c r="R65">
        <f t="shared" si="17"/>
        <v>176.50578947368422</v>
      </c>
      <c r="S65" t="str">
        <f t="shared" si="18"/>
        <v>Moderate</v>
      </c>
      <c r="T65" t="str">
        <f t="shared" si="19"/>
        <v>OZONE</v>
      </c>
      <c r="U65">
        <v>28.49</v>
      </c>
      <c r="V65">
        <v>33.82</v>
      </c>
    </row>
    <row r="66" spans="1:22" x14ac:dyDescent="0.3">
      <c r="A66" s="2" t="s">
        <v>15</v>
      </c>
      <c r="B66">
        <v>560026</v>
      </c>
      <c r="C66" s="3">
        <v>43539</v>
      </c>
      <c r="D66">
        <v>43.1</v>
      </c>
      <c r="E66">
        <v>97.45</v>
      </c>
      <c r="F66">
        <v>69.48</v>
      </c>
      <c r="G66">
        <v>10.92</v>
      </c>
      <c r="H66">
        <v>12.01</v>
      </c>
      <c r="I66">
        <v>0.51</v>
      </c>
      <c r="J66">
        <v>52.44</v>
      </c>
      <c r="K66">
        <f t="shared" si="10"/>
        <v>71.833333333333343</v>
      </c>
      <c r="L66">
        <f t="shared" si="11"/>
        <v>97.45</v>
      </c>
      <c r="M66">
        <f t="shared" si="12"/>
        <v>86.850000000000009</v>
      </c>
      <c r="N66">
        <f t="shared" si="13"/>
        <v>2.73</v>
      </c>
      <c r="O66">
        <f t="shared" si="14"/>
        <v>15.012499999999999</v>
      </c>
      <c r="P66">
        <f t="shared" si="15"/>
        <v>5.795454545454545</v>
      </c>
      <c r="Q66">
        <f t="shared" si="16"/>
        <v>48.555555555555557</v>
      </c>
      <c r="R66">
        <f t="shared" si="17"/>
        <v>97.45</v>
      </c>
      <c r="S66" t="str">
        <f t="shared" si="18"/>
        <v>Satisfactory</v>
      </c>
      <c r="T66" t="str">
        <f t="shared" si="19"/>
        <v>PM10</v>
      </c>
      <c r="U66">
        <v>28.07</v>
      </c>
      <c r="V66">
        <v>29.02</v>
      </c>
    </row>
    <row r="67" spans="1:22" x14ac:dyDescent="0.3">
      <c r="A67" s="2" t="s">
        <v>15</v>
      </c>
      <c r="B67">
        <v>560026</v>
      </c>
      <c r="C67" s="3">
        <v>43540</v>
      </c>
      <c r="D67">
        <v>46.86</v>
      </c>
      <c r="E67">
        <v>107.73</v>
      </c>
      <c r="F67">
        <v>76</v>
      </c>
      <c r="G67">
        <v>13.45</v>
      </c>
      <c r="H67">
        <v>8.82</v>
      </c>
      <c r="I67">
        <v>0.66</v>
      </c>
      <c r="J67">
        <v>38.39</v>
      </c>
      <c r="K67">
        <f t="shared" si="10"/>
        <v>78.099999999999994</v>
      </c>
      <c r="L67">
        <f t="shared" si="11"/>
        <v>105.15333333333334</v>
      </c>
      <c r="M67">
        <f t="shared" si="12"/>
        <v>95</v>
      </c>
      <c r="N67">
        <f t="shared" si="13"/>
        <v>3.3624999999999998</v>
      </c>
      <c r="O67">
        <f t="shared" si="14"/>
        <v>11.025</v>
      </c>
      <c r="P67">
        <f t="shared" si="15"/>
        <v>7.5</v>
      </c>
      <c r="Q67">
        <f t="shared" si="16"/>
        <v>35.546296296296298</v>
      </c>
      <c r="R67">
        <f t="shared" si="17"/>
        <v>105.15333333333334</v>
      </c>
      <c r="S67" t="str">
        <f t="shared" si="18"/>
        <v>Moderate</v>
      </c>
      <c r="T67" t="str">
        <f t="shared" si="19"/>
        <v>PM10</v>
      </c>
      <c r="U67">
        <v>27.54</v>
      </c>
      <c r="V67">
        <v>34.549999999999997</v>
      </c>
    </row>
    <row r="68" spans="1:22" x14ac:dyDescent="0.3">
      <c r="A68" s="2" t="s">
        <v>15</v>
      </c>
      <c r="B68">
        <v>560026</v>
      </c>
      <c r="C68" s="3">
        <v>43541</v>
      </c>
      <c r="D68">
        <v>44.49</v>
      </c>
      <c r="E68">
        <v>94</v>
      </c>
      <c r="F68">
        <v>77.069999999999993</v>
      </c>
      <c r="G68">
        <v>15.08</v>
      </c>
      <c r="H68">
        <v>6.71</v>
      </c>
      <c r="I68">
        <v>0.76</v>
      </c>
      <c r="J68">
        <v>78.959999999999994</v>
      </c>
      <c r="K68">
        <f t="shared" si="10"/>
        <v>74.150000000000006</v>
      </c>
      <c r="L68">
        <f t="shared" si="11"/>
        <v>94</v>
      </c>
      <c r="M68">
        <f t="shared" si="12"/>
        <v>96.337499999999991</v>
      </c>
      <c r="N68">
        <f t="shared" si="13"/>
        <v>3.77</v>
      </c>
      <c r="O68">
        <f t="shared" si="14"/>
        <v>8.3874999999999993</v>
      </c>
      <c r="P68">
        <f t="shared" si="15"/>
        <v>8.6363636363636367</v>
      </c>
      <c r="Q68">
        <f t="shared" si="16"/>
        <v>128.85999999999999</v>
      </c>
      <c r="R68">
        <f t="shared" si="17"/>
        <v>128.85999999999999</v>
      </c>
      <c r="S68" t="str">
        <f t="shared" si="18"/>
        <v>Moderate</v>
      </c>
      <c r="T68" t="str">
        <f t="shared" si="19"/>
        <v>OZONE</v>
      </c>
      <c r="U68">
        <v>27.66</v>
      </c>
      <c r="V68">
        <v>36.39</v>
      </c>
    </row>
    <row r="69" spans="1:22" x14ac:dyDescent="0.3">
      <c r="A69" s="2" t="s">
        <v>15</v>
      </c>
      <c r="B69">
        <v>560026</v>
      </c>
      <c r="C69" s="3">
        <v>43542</v>
      </c>
      <c r="D69">
        <v>40.479999999999997</v>
      </c>
      <c r="E69">
        <v>92.91</v>
      </c>
      <c r="F69">
        <v>66.75</v>
      </c>
      <c r="G69">
        <v>15.15</v>
      </c>
      <c r="H69">
        <v>10.96</v>
      </c>
      <c r="I69">
        <v>0.44</v>
      </c>
      <c r="J69">
        <v>88.82</v>
      </c>
      <c r="K69">
        <f t="shared" si="10"/>
        <v>67.466666666666669</v>
      </c>
      <c r="L69">
        <f t="shared" si="11"/>
        <v>92.91</v>
      </c>
      <c r="M69">
        <f t="shared" si="12"/>
        <v>83.4375</v>
      </c>
      <c r="N69">
        <f t="shared" si="13"/>
        <v>3.7875000000000001</v>
      </c>
      <c r="O69">
        <f t="shared" si="14"/>
        <v>13.7</v>
      </c>
      <c r="P69">
        <f t="shared" si="15"/>
        <v>5</v>
      </c>
      <c r="Q69">
        <f t="shared" si="16"/>
        <v>158.27263157894734</v>
      </c>
      <c r="R69">
        <f t="shared" si="17"/>
        <v>158.27263157894734</v>
      </c>
      <c r="S69" t="str">
        <f t="shared" si="18"/>
        <v>Moderate</v>
      </c>
      <c r="T69" t="str">
        <f t="shared" si="19"/>
        <v>OZONE</v>
      </c>
      <c r="U69">
        <v>26.81</v>
      </c>
      <c r="V69">
        <v>44.9</v>
      </c>
    </row>
    <row r="70" spans="1:22" x14ac:dyDescent="0.3">
      <c r="A70" s="2" t="s">
        <v>15</v>
      </c>
      <c r="B70">
        <v>560026</v>
      </c>
      <c r="C70" s="3">
        <v>43543</v>
      </c>
      <c r="D70">
        <v>38.67</v>
      </c>
      <c r="E70">
        <v>86.41</v>
      </c>
      <c r="F70">
        <v>62.88</v>
      </c>
      <c r="G70">
        <v>14.95</v>
      </c>
      <c r="H70">
        <v>7.56</v>
      </c>
      <c r="I70">
        <v>0.82</v>
      </c>
      <c r="J70">
        <v>68.239999999999995</v>
      </c>
      <c r="K70">
        <f t="shared" si="10"/>
        <v>64.45</v>
      </c>
      <c r="L70">
        <f t="shared" si="11"/>
        <v>86.41</v>
      </c>
      <c r="M70">
        <f t="shared" si="12"/>
        <v>78.600000000000009</v>
      </c>
      <c r="N70">
        <f t="shared" si="13"/>
        <v>3.7374999999999998</v>
      </c>
      <c r="O70">
        <f t="shared" si="14"/>
        <v>9.4499999999999993</v>
      </c>
      <c r="P70">
        <f t="shared" si="15"/>
        <v>9.3181818181818166</v>
      </c>
      <c r="Q70">
        <f t="shared" si="16"/>
        <v>94.250666666666646</v>
      </c>
      <c r="R70">
        <f t="shared" si="17"/>
        <v>94.250666666666646</v>
      </c>
      <c r="S70" t="str">
        <f t="shared" si="18"/>
        <v>Satisfactory</v>
      </c>
      <c r="T70" t="str">
        <f t="shared" si="19"/>
        <v>OZONE</v>
      </c>
      <c r="U70">
        <v>27.48</v>
      </c>
      <c r="V70">
        <v>49.15</v>
      </c>
    </row>
    <row r="71" spans="1:22" x14ac:dyDescent="0.3">
      <c r="A71" s="2" t="s">
        <v>15</v>
      </c>
      <c r="B71">
        <v>560026</v>
      </c>
      <c r="C71" s="3">
        <v>43544</v>
      </c>
      <c r="D71">
        <v>39.9</v>
      </c>
      <c r="E71">
        <v>90.76</v>
      </c>
      <c r="F71">
        <v>62.71</v>
      </c>
      <c r="G71">
        <v>14.44</v>
      </c>
      <c r="H71">
        <v>9.9600000000000009</v>
      </c>
      <c r="I71">
        <v>0.56999999999999995</v>
      </c>
      <c r="J71">
        <v>62.1</v>
      </c>
      <c r="K71">
        <f t="shared" si="10"/>
        <v>66.5</v>
      </c>
      <c r="L71">
        <f t="shared" si="11"/>
        <v>90.76</v>
      </c>
      <c r="M71">
        <f t="shared" si="12"/>
        <v>78.387500000000003</v>
      </c>
      <c r="N71">
        <f t="shared" si="13"/>
        <v>3.61</v>
      </c>
      <c r="O71">
        <f t="shared" si="14"/>
        <v>12.450000000000001</v>
      </c>
      <c r="P71">
        <f t="shared" si="15"/>
        <v>6.4772727272727266</v>
      </c>
      <c r="Q71">
        <f t="shared" si="16"/>
        <v>74.193333333333342</v>
      </c>
      <c r="R71">
        <f t="shared" si="17"/>
        <v>90.76</v>
      </c>
      <c r="S71" t="str">
        <f t="shared" si="18"/>
        <v>Satisfactory</v>
      </c>
      <c r="T71" t="str">
        <f t="shared" si="19"/>
        <v>PM10</v>
      </c>
      <c r="U71">
        <v>28.32</v>
      </c>
      <c r="V71">
        <v>48.25</v>
      </c>
    </row>
    <row r="72" spans="1:22" x14ac:dyDescent="0.3">
      <c r="A72" s="2" t="s">
        <v>15</v>
      </c>
      <c r="B72">
        <v>560026</v>
      </c>
      <c r="C72" s="3">
        <v>43545</v>
      </c>
      <c r="D72">
        <v>39.68</v>
      </c>
      <c r="E72">
        <v>88.16</v>
      </c>
      <c r="F72">
        <v>67.36</v>
      </c>
      <c r="G72">
        <v>13.58</v>
      </c>
      <c r="H72">
        <v>9.1999999999999993</v>
      </c>
      <c r="I72">
        <v>0.66</v>
      </c>
      <c r="J72">
        <v>77.349999999999994</v>
      </c>
      <c r="K72">
        <f t="shared" si="10"/>
        <v>66.133333333333326</v>
      </c>
      <c r="L72">
        <f t="shared" si="11"/>
        <v>88.16</v>
      </c>
      <c r="M72">
        <f t="shared" si="12"/>
        <v>84.2</v>
      </c>
      <c r="N72">
        <f t="shared" si="13"/>
        <v>3.395</v>
      </c>
      <c r="O72">
        <f t="shared" si="14"/>
        <v>11.499999999999998</v>
      </c>
      <c r="P72">
        <f t="shared" si="15"/>
        <v>7.5</v>
      </c>
      <c r="Q72">
        <f t="shared" si="16"/>
        <v>123.22499999999998</v>
      </c>
      <c r="R72">
        <f t="shared" si="17"/>
        <v>123.22499999999998</v>
      </c>
      <c r="S72" t="str">
        <f t="shared" si="18"/>
        <v>Moderate</v>
      </c>
      <c r="T72" t="str">
        <f t="shared" si="19"/>
        <v>OZONE</v>
      </c>
      <c r="U72">
        <v>28.19</v>
      </c>
      <c r="V72">
        <v>44.22</v>
      </c>
    </row>
    <row r="73" spans="1:22" x14ac:dyDescent="0.3">
      <c r="A73" s="2" t="s">
        <v>15</v>
      </c>
      <c r="B73">
        <v>560026</v>
      </c>
      <c r="C73" s="3">
        <v>43546</v>
      </c>
      <c r="D73">
        <v>39.83</v>
      </c>
      <c r="E73">
        <v>91.39</v>
      </c>
      <c r="F73">
        <v>67.739999999999995</v>
      </c>
      <c r="G73">
        <v>13.84</v>
      </c>
      <c r="H73">
        <v>12</v>
      </c>
      <c r="I73">
        <v>0.66</v>
      </c>
      <c r="J73">
        <v>73.459999999999994</v>
      </c>
      <c r="K73">
        <f t="shared" si="10"/>
        <v>66.383333333333326</v>
      </c>
      <c r="L73">
        <f t="shared" si="11"/>
        <v>91.39</v>
      </c>
      <c r="M73">
        <f t="shared" si="12"/>
        <v>84.674999999999997</v>
      </c>
      <c r="N73">
        <f t="shared" si="13"/>
        <v>3.46</v>
      </c>
      <c r="O73">
        <f t="shared" si="14"/>
        <v>15</v>
      </c>
      <c r="P73">
        <f t="shared" si="15"/>
        <v>7.5</v>
      </c>
      <c r="Q73">
        <f t="shared" si="16"/>
        <v>109.60999999999999</v>
      </c>
      <c r="R73">
        <f t="shared" si="17"/>
        <v>109.60999999999999</v>
      </c>
      <c r="S73" t="str">
        <f t="shared" si="18"/>
        <v>Moderate</v>
      </c>
      <c r="T73" t="str">
        <f t="shared" si="19"/>
        <v>OZONE</v>
      </c>
      <c r="U73">
        <v>28.22</v>
      </c>
      <c r="V73">
        <v>43.48</v>
      </c>
    </row>
    <row r="74" spans="1:22" x14ac:dyDescent="0.3">
      <c r="A74" s="2" t="s">
        <v>15</v>
      </c>
      <c r="B74">
        <v>560026</v>
      </c>
      <c r="C74" s="3">
        <v>43547</v>
      </c>
      <c r="D74">
        <v>40.69</v>
      </c>
      <c r="E74">
        <v>98.64</v>
      </c>
      <c r="F74">
        <v>70.73</v>
      </c>
      <c r="G74">
        <v>13.87</v>
      </c>
      <c r="H74">
        <v>7.96</v>
      </c>
      <c r="I74">
        <v>0.66</v>
      </c>
      <c r="J74">
        <v>69.3</v>
      </c>
      <c r="K74">
        <f t="shared" si="10"/>
        <v>67.816666666666663</v>
      </c>
      <c r="L74">
        <f t="shared" si="11"/>
        <v>98.64</v>
      </c>
      <c r="M74">
        <f t="shared" si="12"/>
        <v>88.412500000000009</v>
      </c>
      <c r="N74">
        <f t="shared" si="13"/>
        <v>3.4674999999999998</v>
      </c>
      <c r="O74">
        <f t="shared" si="14"/>
        <v>9.9499999999999993</v>
      </c>
      <c r="P74">
        <f t="shared" si="15"/>
        <v>7.5</v>
      </c>
      <c r="Q74">
        <f t="shared" si="16"/>
        <v>97.713333333333324</v>
      </c>
      <c r="R74">
        <f t="shared" si="17"/>
        <v>98.64</v>
      </c>
      <c r="S74" t="str">
        <f t="shared" si="18"/>
        <v>Satisfactory</v>
      </c>
      <c r="T74" t="str">
        <f t="shared" si="19"/>
        <v>PM10</v>
      </c>
      <c r="U74">
        <v>24.83</v>
      </c>
      <c r="V74">
        <v>41.16</v>
      </c>
    </row>
    <row r="75" spans="1:22" x14ac:dyDescent="0.3">
      <c r="A75" s="2" t="s">
        <v>15</v>
      </c>
      <c r="B75">
        <v>560026</v>
      </c>
      <c r="C75" s="3">
        <v>43548</v>
      </c>
      <c r="D75">
        <v>38.83</v>
      </c>
      <c r="E75">
        <v>91.69</v>
      </c>
      <c r="F75">
        <v>60.97</v>
      </c>
      <c r="G75">
        <v>14.85</v>
      </c>
      <c r="H75">
        <v>6.05</v>
      </c>
      <c r="I75">
        <v>0.56999999999999995</v>
      </c>
      <c r="J75">
        <v>79.03</v>
      </c>
      <c r="K75">
        <f t="shared" si="10"/>
        <v>64.716666666666669</v>
      </c>
      <c r="L75">
        <f t="shared" si="11"/>
        <v>91.69</v>
      </c>
      <c r="M75">
        <f t="shared" si="12"/>
        <v>76.212500000000006</v>
      </c>
      <c r="N75">
        <f t="shared" si="13"/>
        <v>3.7124999999999999</v>
      </c>
      <c r="O75">
        <f t="shared" si="14"/>
        <v>7.5625</v>
      </c>
      <c r="P75">
        <f t="shared" si="15"/>
        <v>6.4772727272727266</v>
      </c>
      <c r="Q75">
        <f t="shared" si="16"/>
        <v>129.10500000000002</v>
      </c>
      <c r="R75">
        <f t="shared" si="17"/>
        <v>129.10500000000002</v>
      </c>
      <c r="S75" t="str">
        <f t="shared" si="18"/>
        <v>Moderate</v>
      </c>
      <c r="T75" t="str">
        <f t="shared" si="19"/>
        <v>OZONE</v>
      </c>
      <c r="U75">
        <v>27.69</v>
      </c>
      <c r="V75">
        <v>45.76</v>
      </c>
    </row>
    <row r="76" spans="1:22" x14ac:dyDescent="0.3">
      <c r="A76" s="2" t="s">
        <v>15</v>
      </c>
      <c r="B76">
        <v>560026</v>
      </c>
      <c r="C76" s="3">
        <v>43549</v>
      </c>
      <c r="D76">
        <v>43.45</v>
      </c>
      <c r="E76">
        <v>102.27</v>
      </c>
      <c r="F76">
        <v>68.069999999999993</v>
      </c>
      <c r="G76">
        <v>14.92</v>
      </c>
      <c r="H76">
        <v>11.48</v>
      </c>
      <c r="I76">
        <v>0.66</v>
      </c>
      <c r="J76">
        <v>64.31</v>
      </c>
      <c r="K76">
        <f t="shared" si="10"/>
        <v>72.416666666666671</v>
      </c>
      <c r="L76">
        <f t="shared" si="11"/>
        <v>101.51333333333334</v>
      </c>
      <c r="M76">
        <f t="shared" si="12"/>
        <v>85.087499999999991</v>
      </c>
      <c r="N76">
        <f t="shared" si="13"/>
        <v>3.73</v>
      </c>
      <c r="O76">
        <f t="shared" si="14"/>
        <v>14.35</v>
      </c>
      <c r="P76">
        <f t="shared" si="15"/>
        <v>7.5</v>
      </c>
      <c r="Q76">
        <f t="shared" si="16"/>
        <v>81.412666666666667</v>
      </c>
      <c r="R76">
        <f t="shared" si="17"/>
        <v>101.51333333333334</v>
      </c>
      <c r="S76" t="str">
        <f t="shared" si="18"/>
        <v>Moderate</v>
      </c>
      <c r="T76" t="str">
        <f t="shared" si="19"/>
        <v>PM10</v>
      </c>
      <c r="U76">
        <v>29.72</v>
      </c>
      <c r="V76">
        <v>42.27</v>
      </c>
    </row>
    <row r="77" spans="1:22" x14ac:dyDescent="0.3">
      <c r="A77" s="2" t="s">
        <v>15</v>
      </c>
      <c r="B77">
        <v>560026</v>
      </c>
      <c r="C77" s="3">
        <v>43550</v>
      </c>
      <c r="D77">
        <v>44.88</v>
      </c>
      <c r="E77">
        <v>103.39</v>
      </c>
      <c r="F77">
        <v>68.16</v>
      </c>
      <c r="G77">
        <v>14.15</v>
      </c>
      <c r="H77">
        <v>10.29</v>
      </c>
      <c r="I77">
        <v>0.62</v>
      </c>
      <c r="J77">
        <v>78.63</v>
      </c>
      <c r="K77">
        <f t="shared" si="10"/>
        <v>74.800000000000011</v>
      </c>
      <c r="L77">
        <f t="shared" si="11"/>
        <v>102.26</v>
      </c>
      <c r="M77">
        <f t="shared" si="12"/>
        <v>85.199999999999989</v>
      </c>
      <c r="N77">
        <f t="shared" si="13"/>
        <v>3.5375000000000001</v>
      </c>
      <c r="O77">
        <f t="shared" si="14"/>
        <v>12.862500000000001</v>
      </c>
      <c r="P77">
        <f t="shared" si="15"/>
        <v>7.045454545454545</v>
      </c>
      <c r="Q77">
        <f t="shared" si="16"/>
        <v>127.70499999999998</v>
      </c>
      <c r="R77">
        <f t="shared" si="17"/>
        <v>127.70499999999998</v>
      </c>
      <c r="S77" t="str">
        <f t="shared" si="18"/>
        <v>Moderate</v>
      </c>
      <c r="T77" t="str">
        <f t="shared" si="19"/>
        <v>OZONE</v>
      </c>
      <c r="U77">
        <v>23.92</v>
      </c>
      <c r="V77">
        <v>35.69</v>
      </c>
    </row>
    <row r="78" spans="1:22" x14ac:dyDescent="0.3">
      <c r="A78" s="2" t="s">
        <v>15</v>
      </c>
      <c r="B78">
        <v>560026</v>
      </c>
      <c r="C78" s="3">
        <v>43551</v>
      </c>
      <c r="D78">
        <v>53.83</v>
      </c>
      <c r="E78">
        <v>129.38999999999999</v>
      </c>
      <c r="F78">
        <v>76.97</v>
      </c>
      <c r="G78">
        <v>14.66</v>
      </c>
      <c r="H78">
        <v>11.93</v>
      </c>
      <c r="I78">
        <v>0.79</v>
      </c>
      <c r="J78">
        <v>67.16</v>
      </c>
      <c r="K78">
        <f t="shared" si="10"/>
        <v>89.716666666666669</v>
      </c>
      <c r="L78">
        <f t="shared" si="11"/>
        <v>119.59333333333332</v>
      </c>
      <c r="M78">
        <f t="shared" si="12"/>
        <v>96.212500000000006</v>
      </c>
      <c r="N78">
        <f t="shared" si="13"/>
        <v>3.665</v>
      </c>
      <c r="O78">
        <f t="shared" si="14"/>
        <v>14.9125</v>
      </c>
      <c r="P78">
        <f t="shared" si="15"/>
        <v>8.9772727272727266</v>
      </c>
      <c r="Q78">
        <f t="shared" si="16"/>
        <v>90.722666666666655</v>
      </c>
      <c r="R78">
        <f t="shared" si="17"/>
        <v>119.59333333333332</v>
      </c>
      <c r="S78" t="str">
        <f t="shared" si="18"/>
        <v>Moderate</v>
      </c>
      <c r="T78" t="str">
        <f t="shared" si="19"/>
        <v>PM10</v>
      </c>
      <c r="U78">
        <v>23.38</v>
      </c>
      <c r="V78">
        <v>39.11</v>
      </c>
    </row>
    <row r="79" spans="1:22" x14ac:dyDescent="0.3">
      <c r="A79" s="2" t="s">
        <v>15</v>
      </c>
      <c r="B79">
        <v>560026</v>
      </c>
      <c r="C79" s="3">
        <v>43552</v>
      </c>
      <c r="D79">
        <v>57.54</v>
      </c>
      <c r="E79">
        <v>139.31</v>
      </c>
      <c r="F79">
        <v>81.34</v>
      </c>
      <c r="G79">
        <v>16.12</v>
      </c>
      <c r="H79">
        <v>8.6999999999999993</v>
      </c>
      <c r="I79">
        <v>0.8</v>
      </c>
      <c r="J79">
        <v>57.33</v>
      </c>
      <c r="K79">
        <f t="shared" si="10"/>
        <v>95.9</v>
      </c>
      <c r="L79">
        <f t="shared" si="11"/>
        <v>126.20666666666666</v>
      </c>
      <c r="M79">
        <f t="shared" si="12"/>
        <v>101.34</v>
      </c>
      <c r="N79">
        <f t="shared" si="13"/>
        <v>4.03</v>
      </c>
      <c r="O79">
        <f t="shared" si="14"/>
        <v>10.874999999999998</v>
      </c>
      <c r="P79">
        <f t="shared" si="15"/>
        <v>9.0909090909090917</v>
      </c>
      <c r="Q79">
        <f t="shared" si="16"/>
        <v>58.611333333333327</v>
      </c>
      <c r="R79">
        <f t="shared" si="17"/>
        <v>126.20666666666666</v>
      </c>
      <c r="S79" t="str">
        <f t="shared" si="18"/>
        <v>Moderate</v>
      </c>
      <c r="T79" t="str">
        <f t="shared" si="19"/>
        <v>PM10</v>
      </c>
      <c r="U79">
        <v>29.6</v>
      </c>
      <c r="V79">
        <v>36.78</v>
      </c>
    </row>
    <row r="80" spans="1:22" x14ac:dyDescent="0.3">
      <c r="A80" s="2" t="s">
        <v>15</v>
      </c>
      <c r="B80">
        <v>560026</v>
      </c>
      <c r="C80" s="3">
        <v>43553</v>
      </c>
      <c r="D80">
        <v>58</v>
      </c>
      <c r="E80">
        <v>130.74</v>
      </c>
      <c r="F80">
        <v>76.239999999999995</v>
      </c>
      <c r="G80">
        <v>16.66</v>
      </c>
      <c r="H80">
        <v>8.99</v>
      </c>
      <c r="I80">
        <v>0.85</v>
      </c>
      <c r="J80">
        <v>73.209999999999994</v>
      </c>
      <c r="K80">
        <f t="shared" si="10"/>
        <v>96.666666666666657</v>
      </c>
      <c r="L80">
        <f t="shared" si="11"/>
        <v>120.49333333333334</v>
      </c>
      <c r="M80">
        <f t="shared" si="12"/>
        <v>95.3</v>
      </c>
      <c r="N80">
        <f t="shared" si="13"/>
        <v>4.165</v>
      </c>
      <c r="O80">
        <f t="shared" si="14"/>
        <v>11.237500000000001</v>
      </c>
      <c r="P80">
        <f t="shared" si="15"/>
        <v>9.6590909090909083</v>
      </c>
      <c r="Q80">
        <f t="shared" si="16"/>
        <v>108.73499999999999</v>
      </c>
      <c r="R80">
        <f t="shared" si="17"/>
        <v>120.49333333333334</v>
      </c>
      <c r="S80" t="str">
        <f t="shared" si="18"/>
        <v>Moderate</v>
      </c>
      <c r="T80" t="str">
        <f t="shared" si="19"/>
        <v>PM10</v>
      </c>
      <c r="U80">
        <v>28.95</v>
      </c>
      <c r="V80">
        <v>44.74</v>
      </c>
    </row>
    <row r="81" spans="1:22" x14ac:dyDescent="0.3">
      <c r="A81" s="2" t="s">
        <v>15</v>
      </c>
      <c r="B81">
        <v>560026</v>
      </c>
      <c r="C81" s="3">
        <v>43554</v>
      </c>
      <c r="D81">
        <v>51.07</v>
      </c>
      <c r="E81">
        <v>121.87</v>
      </c>
      <c r="F81">
        <v>76.349999999999994</v>
      </c>
      <c r="G81">
        <v>16.329999999999998</v>
      </c>
      <c r="H81">
        <v>6.73</v>
      </c>
      <c r="I81">
        <v>0.77</v>
      </c>
      <c r="J81">
        <v>56.36</v>
      </c>
      <c r="K81">
        <f t="shared" si="10"/>
        <v>85.116666666666674</v>
      </c>
      <c r="L81">
        <f t="shared" si="11"/>
        <v>114.58</v>
      </c>
      <c r="M81">
        <f t="shared" si="12"/>
        <v>95.4375</v>
      </c>
      <c r="N81">
        <f t="shared" si="13"/>
        <v>4.0824999999999996</v>
      </c>
      <c r="O81">
        <f t="shared" si="14"/>
        <v>8.4124999999999996</v>
      </c>
      <c r="P81">
        <f t="shared" si="15"/>
        <v>8.75</v>
      </c>
      <c r="Q81">
        <f t="shared" si="16"/>
        <v>55.442666666666668</v>
      </c>
      <c r="R81">
        <f t="shared" si="17"/>
        <v>114.58</v>
      </c>
      <c r="S81" t="str">
        <f t="shared" si="18"/>
        <v>Moderate</v>
      </c>
      <c r="T81" t="str">
        <f t="shared" si="19"/>
        <v>PM10</v>
      </c>
      <c r="U81">
        <v>29.03</v>
      </c>
      <c r="V81">
        <v>42.04</v>
      </c>
    </row>
    <row r="82" spans="1:22" x14ac:dyDescent="0.3">
      <c r="A82" s="2" t="s">
        <v>15</v>
      </c>
      <c r="B82">
        <v>560026</v>
      </c>
      <c r="C82" s="3">
        <v>43555</v>
      </c>
      <c r="D82">
        <v>47.17</v>
      </c>
      <c r="E82">
        <v>103.27</v>
      </c>
      <c r="F82">
        <v>63.7</v>
      </c>
      <c r="G82">
        <v>17.29</v>
      </c>
      <c r="H82">
        <v>4.2699999999999996</v>
      </c>
      <c r="I82">
        <v>0.56000000000000005</v>
      </c>
      <c r="J82">
        <v>57.27</v>
      </c>
      <c r="K82">
        <f t="shared" si="10"/>
        <v>78.616666666666674</v>
      </c>
      <c r="L82">
        <f t="shared" si="11"/>
        <v>102.17999999999999</v>
      </c>
      <c r="M82">
        <f t="shared" si="12"/>
        <v>79.625</v>
      </c>
      <c r="N82">
        <f t="shared" si="13"/>
        <v>4.3224999999999998</v>
      </c>
      <c r="O82">
        <f t="shared" si="14"/>
        <v>5.3374999999999995</v>
      </c>
      <c r="P82">
        <f t="shared" si="15"/>
        <v>6.3636363636363642</v>
      </c>
      <c r="Q82">
        <f t="shared" si="16"/>
        <v>58.415333333333344</v>
      </c>
      <c r="R82">
        <f t="shared" si="17"/>
        <v>102.17999999999999</v>
      </c>
      <c r="S82" t="str">
        <f t="shared" si="18"/>
        <v>Moderate</v>
      </c>
      <c r="T82" t="str">
        <f t="shared" si="19"/>
        <v>PM10</v>
      </c>
      <c r="U82">
        <v>29.06</v>
      </c>
      <c r="V82">
        <v>49.25</v>
      </c>
    </row>
    <row r="83" spans="1:22" x14ac:dyDescent="0.3">
      <c r="A83" s="2" t="s">
        <v>15</v>
      </c>
      <c r="B83">
        <v>560026</v>
      </c>
      <c r="C83" s="3">
        <v>43556</v>
      </c>
      <c r="D83">
        <v>45.83</v>
      </c>
      <c r="E83">
        <v>104.43</v>
      </c>
      <c r="F83">
        <v>67.099999999999994</v>
      </c>
      <c r="G83">
        <v>16</v>
      </c>
      <c r="H83">
        <v>5.37</v>
      </c>
      <c r="I83">
        <v>0.63</v>
      </c>
      <c r="J83">
        <v>55.88</v>
      </c>
      <c r="K83">
        <f t="shared" si="10"/>
        <v>76.383333333333326</v>
      </c>
      <c r="L83">
        <f t="shared" si="11"/>
        <v>102.95333333333333</v>
      </c>
      <c r="M83">
        <f t="shared" si="12"/>
        <v>83.875</v>
      </c>
      <c r="N83">
        <f t="shared" si="13"/>
        <v>4</v>
      </c>
      <c r="O83">
        <f t="shared" si="14"/>
        <v>6.7125000000000004</v>
      </c>
      <c r="P83">
        <f t="shared" si="15"/>
        <v>7.1590909090909092</v>
      </c>
      <c r="Q83">
        <f t="shared" si="16"/>
        <v>53.874666666666677</v>
      </c>
      <c r="R83">
        <f t="shared" si="17"/>
        <v>102.95333333333333</v>
      </c>
      <c r="S83" t="str">
        <f t="shared" si="18"/>
        <v>Moderate</v>
      </c>
      <c r="T83" t="str">
        <f t="shared" si="19"/>
        <v>PM10</v>
      </c>
      <c r="U83">
        <v>29.36</v>
      </c>
      <c r="V83">
        <v>44.77</v>
      </c>
    </row>
    <row r="84" spans="1:22" x14ac:dyDescent="0.3">
      <c r="A84" s="2" t="s">
        <v>15</v>
      </c>
      <c r="B84">
        <v>560026</v>
      </c>
      <c r="C84" s="3">
        <v>43557</v>
      </c>
      <c r="D84">
        <v>47.86</v>
      </c>
      <c r="E84">
        <v>115.93</v>
      </c>
      <c r="F84">
        <v>68.7</v>
      </c>
      <c r="G84">
        <v>16.7</v>
      </c>
      <c r="H84">
        <v>5.54</v>
      </c>
      <c r="I84">
        <v>0.71</v>
      </c>
      <c r="J84">
        <v>59.17</v>
      </c>
      <c r="K84">
        <f t="shared" si="10"/>
        <v>79.766666666666666</v>
      </c>
      <c r="L84">
        <f t="shared" si="11"/>
        <v>110.62</v>
      </c>
      <c r="M84">
        <f t="shared" si="12"/>
        <v>85.875</v>
      </c>
      <c r="N84">
        <f t="shared" si="13"/>
        <v>4.1749999999999998</v>
      </c>
      <c r="O84">
        <f t="shared" si="14"/>
        <v>6.9249999999999998</v>
      </c>
      <c r="P84">
        <f t="shared" si="15"/>
        <v>8.0681818181818183</v>
      </c>
      <c r="Q84">
        <f t="shared" si="16"/>
        <v>64.622</v>
      </c>
      <c r="R84">
        <f t="shared" si="17"/>
        <v>110.62</v>
      </c>
      <c r="S84" t="str">
        <f t="shared" si="18"/>
        <v>Moderate</v>
      </c>
      <c r="T84" t="str">
        <f t="shared" si="19"/>
        <v>PM10</v>
      </c>
      <c r="U84">
        <v>29.31</v>
      </c>
      <c r="V84">
        <v>47.07</v>
      </c>
    </row>
    <row r="85" spans="1:22" x14ac:dyDescent="0.3">
      <c r="A85" s="2" t="s">
        <v>15</v>
      </c>
      <c r="B85">
        <v>560026</v>
      </c>
      <c r="C85" s="3">
        <v>43558</v>
      </c>
      <c r="D85">
        <v>46.85</v>
      </c>
      <c r="E85">
        <v>107.43</v>
      </c>
      <c r="F85">
        <v>69.489999999999995</v>
      </c>
      <c r="G85">
        <v>16.45</v>
      </c>
      <c r="H85">
        <v>5.18</v>
      </c>
      <c r="I85">
        <v>0.62</v>
      </c>
      <c r="J85">
        <v>67.12</v>
      </c>
      <c r="K85">
        <f t="shared" si="10"/>
        <v>78.083333333333343</v>
      </c>
      <c r="L85">
        <f t="shared" si="11"/>
        <v>104.95333333333333</v>
      </c>
      <c r="M85">
        <f t="shared" si="12"/>
        <v>86.862499999999997</v>
      </c>
      <c r="N85">
        <f t="shared" si="13"/>
        <v>4.1124999999999998</v>
      </c>
      <c r="O85">
        <f t="shared" si="14"/>
        <v>6.4749999999999996</v>
      </c>
      <c r="P85">
        <f t="shared" si="15"/>
        <v>7.045454545454545</v>
      </c>
      <c r="Q85">
        <f t="shared" si="16"/>
        <v>90.592000000000013</v>
      </c>
      <c r="R85">
        <f t="shared" si="17"/>
        <v>104.95333333333333</v>
      </c>
      <c r="S85" t="str">
        <f t="shared" si="18"/>
        <v>Moderate</v>
      </c>
      <c r="T85" t="str">
        <f t="shared" si="19"/>
        <v>PM10</v>
      </c>
      <c r="U85">
        <v>29.64</v>
      </c>
      <c r="V85">
        <v>40.5</v>
      </c>
    </row>
    <row r="86" spans="1:22" x14ac:dyDescent="0.3">
      <c r="A86" s="2" t="s">
        <v>15</v>
      </c>
      <c r="B86">
        <v>560026</v>
      </c>
      <c r="C86" s="3">
        <v>43559</v>
      </c>
      <c r="D86">
        <v>36.659999999999997</v>
      </c>
      <c r="E86">
        <v>101.24</v>
      </c>
      <c r="F86">
        <v>59.03</v>
      </c>
      <c r="G86">
        <v>21.1</v>
      </c>
      <c r="H86">
        <v>10.39</v>
      </c>
      <c r="I86">
        <v>0.55000000000000004</v>
      </c>
      <c r="J86">
        <v>60.77</v>
      </c>
      <c r="K86">
        <f t="shared" si="10"/>
        <v>61.099999999999994</v>
      </c>
      <c r="L86">
        <f t="shared" si="11"/>
        <v>100.82666666666667</v>
      </c>
      <c r="M86">
        <f t="shared" si="12"/>
        <v>73.787499999999994</v>
      </c>
      <c r="N86">
        <f t="shared" si="13"/>
        <v>5.2750000000000004</v>
      </c>
      <c r="O86">
        <f t="shared" si="14"/>
        <v>12.987500000000001</v>
      </c>
      <c r="P86">
        <f t="shared" si="15"/>
        <v>6.25</v>
      </c>
      <c r="Q86">
        <f t="shared" si="16"/>
        <v>69.848666666666674</v>
      </c>
      <c r="R86">
        <f t="shared" si="17"/>
        <v>100.82666666666667</v>
      </c>
      <c r="S86" t="str">
        <f t="shared" si="18"/>
        <v>Moderate</v>
      </c>
      <c r="T86" t="str">
        <f t="shared" si="19"/>
        <v>PM10</v>
      </c>
      <c r="U86">
        <v>29.18</v>
      </c>
      <c r="V86">
        <v>41.06</v>
      </c>
    </row>
    <row r="87" spans="1:22" x14ac:dyDescent="0.3">
      <c r="A87" s="2" t="s">
        <v>15</v>
      </c>
      <c r="B87">
        <v>560026</v>
      </c>
      <c r="C87" s="3">
        <v>43560</v>
      </c>
      <c r="D87">
        <v>45.72</v>
      </c>
      <c r="E87">
        <v>101.13</v>
      </c>
      <c r="F87">
        <v>62.28</v>
      </c>
      <c r="G87">
        <v>17.53</v>
      </c>
      <c r="H87">
        <v>7.15</v>
      </c>
      <c r="I87">
        <v>0.68</v>
      </c>
      <c r="J87">
        <v>65.349999999999994</v>
      </c>
      <c r="K87">
        <f t="shared" si="10"/>
        <v>76.2</v>
      </c>
      <c r="L87">
        <f t="shared" si="11"/>
        <v>100.75333333333333</v>
      </c>
      <c r="M87">
        <f t="shared" si="12"/>
        <v>77.849999999999994</v>
      </c>
      <c r="N87">
        <f t="shared" si="13"/>
        <v>4.3825000000000003</v>
      </c>
      <c r="O87">
        <f t="shared" si="14"/>
        <v>8.9375</v>
      </c>
      <c r="P87">
        <f t="shared" si="15"/>
        <v>7.7272727272727275</v>
      </c>
      <c r="Q87">
        <f t="shared" si="16"/>
        <v>84.809999999999974</v>
      </c>
      <c r="R87">
        <f t="shared" si="17"/>
        <v>100.75333333333333</v>
      </c>
      <c r="S87" t="str">
        <f t="shared" si="18"/>
        <v>Moderate</v>
      </c>
      <c r="T87" t="str">
        <f t="shared" si="19"/>
        <v>PM10</v>
      </c>
      <c r="U87">
        <v>27.69</v>
      </c>
      <c r="V87">
        <v>42.11</v>
      </c>
    </row>
    <row r="88" spans="1:22" x14ac:dyDescent="0.3">
      <c r="A88" s="2" t="s">
        <v>15</v>
      </c>
      <c r="B88">
        <v>560026</v>
      </c>
      <c r="C88" s="3">
        <v>43561</v>
      </c>
      <c r="D88">
        <v>46.41</v>
      </c>
      <c r="E88">
        <v>100.53</v>
      </c>
      <c r="F88">
        <v>63.96</v>
      </c>
      <c r="G88">
        <v>19.11</v>
      </c>
      <c r="H88">
        <v>6.62</v>
      </c>
      <c r="I88">
        <v>0.69</v>
      </c>
      <c r="J88">
        <v>73.510000000000005</v>
      </c>
      <c r="K88">
        <f t="shared" si="10"/>
        <v>77.349999999999994</v>
      </c>
      <c r="L88">
        <f t="shared" si="11"/>
        <v>100.35333333333334</v>
      </c>
      <c r="M88">
        <f t="shared" si="12"/>
        <v>79.95</v>
      </c>
      <c r="N88">
        <f t="shared" si="13"/>
        <v>4.7774999999999999</v>
      </c>
      <c r="O88">
        <f t="shared" si="14"/>
        <v>8.2750000000000004</v>
      </c>
      <c r="P88">
        <f t="shared" si="15"/>
        <v>7.8409090909090899</v>
      </c>
      <c r="Q88">
        <f t="shared" si="16"/>
        <v>109.78500000000003</v>
      </c>
      <c r="R88">
        <f t="shared" si="17"/>
        <v>109.78500000000003</v>
      </c>
      <c r="S88" t="str">
        <f t="shared" si="18"/>
        <v>Moderate</v>
      </c>
      <c r="T88" t="str">
        <f t="shared" si="19"/>
        <v>OZONE</v>
      </c>
      <c r="U88">
        <v>20.62</v>
      </c>
      <c r="V88">
        <v>42.31</v>
      </c>
    </row>
    <row r="89" spans="1:22" x14ac:dyDescent="0.3">
      <c r="A89" s="2" t="s">
        <v>15</v>
      </c>
      <c r="B89">
        <v>560026</v>
      </c>
      <c r="C89" s="3">
        <v>43562</v>
      </c>
      <c r="D89">
        <v>39.340000000000003</v>
      </c>
      <c r="E89">
        <v>85.96</v>
      </c>
      <c r="F89">
        <v>61.2</v>
      </c>
      <c r="G89">
        <v>18.11</v>
      </c>
      <c r="H89">
        <v>5.56</v>
      </c>
      <c r="I89">
        <v>0.6</v>
      </c>
      <c r="J89">
        <v>72.709999999999994</v>
      </c>
      <c r="K89">
        <f t="shared" si="10"/>
        <v>65.566666666666677</v>
      </c>
      <c r="L89">
        <f t="shared" si="11"/>
        <v>85.96</v>
      </c>
      <c r="M89">
        <f t="shared" si="12"/>
        <v>76.5</v>
      </c>
      <c r="N89">
        <f t="shared" si="13"/>
        <v>4.5274999999999999</v>
      </c>
      <c r="O89">
        <f t="shared" si="14"/>
        <v>6.95</v>
      </c>
      <c r="P89">
        <f t="shared" si="15"/>
        <v>6.8181818181818175</v>
      </c>
      <c r="Q89">
        <f t="shared" si="16"/>
        <v>106.98499999999999</v>
      </c>
      <c r="R89">
        <f t="shared" si="17"/>
        <v>106.98499999999999</v>
      </c>
      <c r="S89" t="str">
        <f t="shared" si="18"/>
        <v>Moderate</v>
      </c>
      <c r="T89" t="str">
        <f t="shared" si="19"/>
        <v>OZONE</v>
      </c>
      <c r="U89">
        <v>27.32</v>
      </c>
      <c r="V89">
        <v>41.09</v>
      </c>
    </row>
    <row r="90" spans="1:22" x14ac:dyDescent="0.3">
      <c r="A90" s="2" t="s">
        <v>15</v>
      </c>
      <c r="B90">
        <v>560026</v>
      </c>
      <c r="C90" s="3">
        <v>43563</v>
      </c>
      <c r="D90">
        <v>38.54</v>
      </c>
      <c r="E90">
        <v>91.47</v>
      </c>
      <c r="F90">
        <v>61.36</v>
      </c>
      <c r="G90">
        <v>18.52</v>
      </c>
      <c r="H90">
        <v>5.07</v>
      </c>
      <c r="I90">
        <v>0.65</v>
      </c>
      <c r="J90">
        <v>64.040000000000006</v>
      </c>
      <c r="K90">
        <f t="shared" si="10"/>
        <v>64.233333333333334</v>
      </c>
      <c r="L90">
        <f t="shared" si="11"/>
        <v>91.47</v>
      </c>
      <c r="M90">
        <f t="shared" si="12"/>
        <v>76.7</v>
      </c>
      <c r="N90">
        <f t="shared" si="13"/>
        <v>4.63</v>
      </c>
      <c r="O90">
        <f t="shared" si="14"/>
        <v>6.3375000000000004</v>
      </c>
      <c r="P90">
        <f t="shared" si="15"/>
        <v>7.3863636363636367</v>
      </c>
      <c r="Q90">
        <f t="shared" si="16"/>
        <v>80.53066666666669</v>
      </c>
      <c r="R90">
        <f t="shared" si="17"/>
        <v>91.47</v>
      </c>
      <c r="S90" t="str">
        <f t="shared" si="18"/>
        <v>Satisfactory</v>
      </c>
      <c r="T90" t="str">
        <f t="shared" si="19"/>
        <v>PM10</v>
      </c>
      <c r="U90">
        <v>29.22</v>
      </c>
      <c r="V90">
        <v>47.09</v>
      </c>
    </row>
    <row r="91" spans="1:22" x14ac:dyDescent="0.3">
      <c r="A91" s="2" t="s">
        <v>15</v>
      </c>
      <c r="B91">
        <v>560026</v>
      </c>
      <c r="C91" s="3">
        <v>43564</v>
      </c>
      <c r="D91">
        <v>40.79</v>
      </c>
      <c r="E91">
        <v>82.27</v>
      </c>
      <c r="F91">
        <v>59.62</v>
      </c>
      <c r="G91">
        <v>24.6</v>
      </c>
      <c r="H91">
        <v>4.0599999999999996</v>
      </c>
      <c r="I91">
        <v>0.57999999999999996</v>
      </c>
      <c r="J91">
        <v>73.12</v>
      </c>
      <c r="K91">
        <f t="shared" si="10"/>
        <v>67.983333333333334</v>
      </c>
      <c r="L91">
        <f t="shared" si="11"/>
        <v>82.27</v>
      </c>
      <c r="M91">
        <f t="shared" si="12"/>
        <v>74.525000000000006</v>
      </c>
      <c r="N91">
        <f t="shared" si="13"/>
        <v>6.15</v>
      </c>
      <c r="O91">
        <f t="shared" si="14"/>
        <v>5.0749999999999993</v>
      </c>
      <c r="P91">
        <f t="shared" si="15"/>
        <v>6.5909090909090899</v>
      </c>
      <c r="Q91">
        <f t="shared" si="16"/>
        <v>108.42000000000002</v>
      </c>
      <c r="R91">
        <f t="shared" si="17"/>
        <v>108.42000000000002</v>
      </c>
      <c r="S91" t="str">
        <f t="shared" si="18"/>
        <v>Moderate</v>
      </c>
      <c r="T91" t="str">
        <f t="shared" si="19"/>
        <v>OZONE</v>
      </c>
      <c r="U91">
        <v>28.29</v>
      </c>
      <c r="V91">
        <v>51.64</v>
      </c>
    </row>
    <row r="92" spans="1:22" x14ac:dyDescent="0.3">
      <c r="A92" s="2" t="s">
        <v>15</v>
      </c>
      <c r="B92">
        <v>560026</v>
      </c>
      <c r="C92" s="3">
        <v>43565</v>
      </c>
      <c r="D92">
        <v>52.99</v>
      </c>
      <c r="E92">
        <v>107.72</v>
      </c>
      <c r="F92">
        <v>62.64</v>
      </c>
      <c r="G92">
        <v>23.38</v>
      </c>
      <c r="H92">
        <v>5.65</v>
      </c>
      <c r="I92">
        <v>0.65</v>
      </c>
      <c r="J92">
        <v>55.36</v>
      </c>
      <c r="K92">
        <f t="shared" si="10"/>
        <v>88.316666666666663</v>
      </c>
      <c r="L92">
        <f t="shared" si="11"/>
        <v>105.14666666666666</v>
      </c>
      <c r="M92">
        <f t="shared" si="12"/>
        <v>78.3</v>
      </c>
      <c r="N92">
        <f t="shared" si="13"/>
        <v>5.8449999999999998</v>
      </c>
      <c r="O92">
        <f t="shared" si="14"/>
        <v>7.0625</v>
      </c>
      <c r="P92">
        <f t="shared" si="15"/>
        <v>7.3863636363636367</v>
      </c>
      <c r="Q92">
        <f t="shared" si="16"/>
        <v>52.175999999999995</v>
      </c>
      <c r="R92">
        <f t="shared" si="17"/>
        <v>105.14666666666666</v>
      </c>
      <c r="S92" t="str">
        <f t="shared" si="18"/>
        <v>Moderate</v>
      </c>
      <c r="T92" t="str">
        <f t="shared" si="19"/>
        <v>PM10</v>
      </c>
      <c r="U92">
        <v>29.72</v>
      </c>
      <c r="V92">
        <v>44.4</v>
      </c>
    </row>
    <row r="93" spans="1:22" x14ac:dyDescent="0.3">
      <c r="A93" s="2" t="s">
        <v>15</v>
      </c>
      <c r="B93">
        <v>560026</v>
      </c>
      <c r="C93" s="3">
        <v>43566</v>
      </c>
      <c r="D93">
        <v>44.98</v>
      </c>
      <c r="E93">
        <v>96.52</v>
      </c>
      <c r="F93">
        <v>56.35</v>
      </c>
      <c r="G93">
        <v>23.26</v>
      </c>
      <c r="H93">
        <v>6.57</v>
      </c>
      <c r="I93">
        <v>0.56999999999999995</v>
      </c>
      <c r="J93">
        <v>54.78</v>
      </c>
      <c r="K93">
        <f t="shared" si="10"/>
        <v>74.966666666666669</v>
      </c>
      <c r="L93">
        <f t="shared" si="11"/>
        <v>96.52</v>
      </c>
      <c r="M93">
        <f t="shared" si="12"/>
        <v>70.4375</v>
      </c>
      <c r="N93">
        <f t="shared" si="13"/>
        <v>5.8150000000000004</v>
      </c>
      <c r="O93">
        <f t="shared" si="14"/>
        <v>8.2125000000000004</v>
      </c>
      <c r="P93">
        <f t="shared" si="15"/>
        <v>6.4772727272727266</v>
      </c>
      <c r="Q93">
        <f t="shared" si="16"/>
        <v>50.281333333333336</v>
      </c>
      <c r="R93">
        <f t="shared" si="17"/>
        <v>96.52</v>
      </c>
      <c r="S93" t="str">
        <f t="shared" si="18"/>
        <v>Satisfactory</v>
      </c>
      <c r="T93" t="str">
        <f t="shared" si="19"/>
        <v>PM10</v>
      </c>
      <c r="U93">
        <v>29.72</v>
      </c>
      <c r="V93">
        <v>47.05</v>
      </c>
    </row>
    <row r="94" spans="1:22" x14ac:dyDescent="0.3">
      <c r="A94" s="2" t="s">
        <v>15</v>
      </c>
      <c r="B94">
        <v>560026</v>
      </c>
      <c r="C94" s="3">
        <v>43567</v>
      </c>
      <c r="D94">
        <v>52.01</v>
      </c>
      <c r="E94">
        <v>113.61</v>
      </c>
      <c r="F94">
        <v>62.63</v>
      </c>
      <c r="G94">
        <v>24.14</v>
      </c>
      <c r="H94">
        <v>4.9800000000000004</v>
      </c>
      <c r="I94">
        <v>0.74</v>
      </c>
      <c r="J94">
        <v>58.82</v>
      </c>
      <c r="K94">
        <f t="shared" si="10"/>
        <v>86.683333333333337</v>
      </c>
      <c r="L94">
        <f t="shared" si="11"/>
        <v>109.07333333333334</v>
      </c>
      <c r="M94">
        <f t="shared" si="12"/>
        <v>78.287500000000009</v>
      </c>
      <c r="N94">
        <f t="shared" si="13"/>
        <v>6.0350000000000001</v>
      </c>
      <c r="O94">
        <f t="shared" si="14"/>
        <v>6.2250000000000005</v>
      </c>
      <c r="P94">
        <f t="shared" si="15"/>
        <v>8.4090909090909083</v>
      </c>
      <c r="Q94">
        <f t="shared" si="16"/>
        <v>63.478666666666669</v>
      </c>
      <c r="R94">
        <f t="shared" si="17"/>
        <v>109.07333333333334</v>
      </c>
      <c r="S94" t="str">
        <f t="shared" si="18"/>
        <v>Moderate</v>
      </c>
      <c r="T94" t="str">
        <f t="shared" si="19"/>
        <v>PM10</v>
      </c>
      <c r="U94">
        <v>30.31</v>
      </c>
      <c r="V94">
        <v>42.09</v>
      </c>
    </row>
    <row r="95" spans="1:22" x14ac:dyDescent="0.3">
      <c r="A95" s="2" t="s">
        <v>15</v>
      </c>
      <c r="B95">
        <v>560026</v>
      </c>
      <c r="C95" s="3">
        <v>43568</v>
      </c>
      <c r="D95">
        <v>40.020000000000003</v>
      </c>
      <c r="E95">
        <v>94.66</v>
      </c>
      <c r="F95">
        <v>55.4</v>
      </c>
      <c r="G95">
        <v>21.68</v>
      </c>
      <c r="H95">
        <v>10.93</v>
      </c>
      <c r="I95">
        <v>0.64</v>
      </c>
      <c r="J95">
        <v>70.489999999999995</v>
      </c>
      <c r="K95">
        <f t="shared" si="10"/>
        <v>66.7</v>
      </c>
      <c r="L95">
        <f t="shared" si="11"/>
        <v>94.66</v>
      </c>
      <c r="M95">
        <f t="shared" si="12"/>
        <v>69.25</v>
      </c>
      <c r="N95">
        <f t="shared" si="13"/>
        <v>5.42</v>
      </c>
      <c r="O95">
        <f t="shared" si="14"/>
        <v>13.6625</v>
      </c>
      <c r="P95">
        <f t="shared" si="15"/>
        <v>7.2727272727272725</v>
      </c>
      <c r="Q95">
        <f t="shared" si="16"/>
        <v>99.214999999999975</v>
      </c>
      <c r="R95">
        <f t="shared" si="17"/>
        <v>99.214999999999975</v>
      </c>
      <c r="S95" t="str">
        <f t="shared" si="18"/>
        <v>Satisfactory</v>
      </c>
      <c r="T95" t="str">
        <f t="shared" si="19"/>
        <v>OZONE</v>
      </c>
      <c r="U95">
        <v>30.24</v>
      </c>
      <c r="V95">
        <v>42.75</v>
      </c>
    </row>
    <row r="96" spans="1:22" x14ac:dyDescent="0.3">
      <c r="A96" s="2" t="s">
        <v>15</v>
      </c>
      <c r="B96">
        <v>560026</v>
      </c>
      <c r="C96" s="3">
        <v>43569</v>
      </c>
      <c r="D96">
        <v>36.39</v>
      </c>
      <c r="E96">
        <v>83.76</v>
      </c>
      <c r="F96">
        <v>52.8</v>
      </c>
      <c r="G96">
        <v>14.12</v>
      </c>
      <c r="H96">
        <v>9.43</v>
      </c>
      <c r="I96">
        <v>0.56000000000000005</v>
      </c>
      <c r="J96">
        <v>75.81</v>
      </c>
      <c r="K96">
        <f t="shared" si="10"/>
        <v>60.65</v>
      </c>
      <c r="L96">
        <f t="shared" si="11"/>
        <v>83.76</v>
      </c>
      <c r="M96">
        <f t="shared" si="12"/>
        <v>66</v>
      </c>
      <c r="N96">
        <f t="shared" si="13"/>
        <v>3.53</v>
      </c>
      <c r="O96">
        <f t="shared" si="14"/>
        <v>11.7875</v>
      </c>
      <c r="P96">
        <f t="shared" si="15"/>
        <v>6.3636363636363642</v>
      </c>
      <c r="Q96">
        <f t="shared" si="16"/>
        <v>117.83500000000001</v>
      </c>
      <c r="R96">
        <f t="shared" si="17"/>
        <v>117.83500000000001</v>
      </c>
      <c r="S96" t="str">
        <f t="shared" si="18"/>
        <v>Moderate</v>
      </c>
      <c r="T96" t="str">
        <f t="shared" si="19"/>
        <v>OZONE</v>
      </c>
      <c r="U96">
        <v>30.29</v>
      </c>
      <c r="V96">
        <v>38.159999999999997</v>
      </c>
    </row>
    <row r="97" spans="1:22" x14ac:dyDescent="0.3">
      <c r="A97" s="2" t="s">
        <v>15</v>
      </c>
      <c r="B97">
        <v>560026</v>
      </c>
      <c r="C97" s="3">
        <v>43570</v>
      </c>
      <c r="D97">
        <v>43.14</v>
      </c>
      <c r="E97">
        <v>92.92</v>
      </c>
      <c r="F97">
        <v>59.74</v>
      </c>
      <c r="G97">
        <v>14.47</v>
      </c>
      <c r="H97">
        <v>9.6</v>
      </c>
      <c r="I97">
        <v>0.64</v>
      </c>
      <c r="J97">
        <v>67.900000000000006</v>
      </c>
      <c r="K97">
        <f t="shared" si="10"/>
        <v>71.900000000000006</v>
      </c>
      <c r="L97">
        <f t="shared" si="11"/>
        <v>92.92</v>
      </c>
      <c r="M97">
        <f t="shared" si="12"/>
        <v>74.675000000000011</v>
      </c>
      <c r="N97">
        <f t="shared" si="13"/>
        <v>3.6175000000000002</v>
      </c>
      <c r="O97">
        <f t="shared" si="14"/>
        <v>12</v>
      </c>
      <c r="P97">
        <f t="shared" si="15"/>
        <v>7.2727272727272725</v>
      </c>
      <c r="Q97">
        <f t="shared" si="16"/>
        <v>93.140000000000015</v>
      </c>
      <c r="R97">
        <f t="shared" si="17"/>
        <v>93.140000000000015</v>
      </c>
      <c r="S97" t="str">
        <f t="shared" si="18"/>
        <v>Satisfactory</v>
      </c>
      <c r="T97" t="str">
        <f t="shared" si="19"/>
        <v>OZONE</v>
      </c>
      <c r="U97">
        <v>29.96</v>
      </c>
      <c r="V97">
        <v>38.340000000000003</v>
      </c>
    </row>
    <row r="98" spans="1:22" x14ac:dyDescent="0.3">
      <c r="A98" s="2" t="s">
        <v>15</v>
      </c>
      <c r="B98">
        <v>560026</v>
      </c>
      <c r="C98" s="3">
        <v>43571</v>
      </c>
      <c r="D98">
        <v>40.57</v>
      </c>
      <c r="E98">
        <v>90.88</v>
      </c>
      <c r="F98">
        <v>58.99</v>
      </c>
      <c r="G98">
        <v>14.78</v>
      </c>
      <c r="H98">
        <v>6.97</v>
      </c>
      <c r="I98">
        <v>1.49</v>
      </c>
      <c r="J98">
        <v>57.02</v>
      </c>
      <c r="K98">
        <f t="shared" si="10"/>
        <v>67.616666666666674</v>
      </c>
      <c r="L98">
        <f t="shared" si="11"/>
        <v>90.88</v>
      </c>
      <c r="M98">
        <f t="shared" si="12"/>
        <v>73.737500000000011</v>
      </c>
      <c r="N98">
        <f t="shared" si="13"/>
        <v>3.6949999999999998</v>
      </c>
      <c r="O98">
        <f t="shared" si="14"/>
        <v>8.7125000000000004</v>
      </c>
      <c r="P98">
        <f t="shared" si="15"/>
        <v>16.93181818181818</v>
      </c>
      <c r="Q98">
        <f t="shared" si="16"/>
        <v>57.598666666666674</v>
      </c>
      <c r="R98">
        <f t="shared" si="17"/>
        <v>90.88</v>
      </c>
      <c r="S98" t="str">
        <f t="shared" si="18"/>
        <v>Satisfactory</v>
      </c>
      <c r="T98" t="str">
        <f t="shared" si="19"/>
        <v>PM10</v>
      </c>
      <c r="U98">
        <v>29.89</v>
      </c>
      <c r="V98">
        <v>44.51</v>
      </c>
    </row>
    <row r="99" spans="1:22" x14ac:dyDescent="0.3">
      <c r="A99" s="2" t="s">
        <v>15</v>
      </c>
      <c r="B99">
        <v>560026</v>
      </c>
      <c r="C99" s="3">
        <v>43572</v>
      </c>
      <c r="D99">
        <v>45</v>
      </c>
      <c r="E99">
        <v>97.77</v>
      </c>
      <c r="F99">
        <v>57.31</v>
      </c>
      <c r="G99">
        <v>19.61</v>
      </c>
      <c r="H99">
        <v>8.8000000000000007</v>
      </c>
      <c r="I99">
        <v>0.52</v>
      </c>
      <c r="J99">
        <v>32.4</v>
      </c>
      <c r="K99">
        <f t="shared" si="10"/>
        <v>75</v>
      </c>
      <c r="L99">
        <f t="shared" si="11"/>
        <v>97.77</v>
      </c>
      <c r="M99">
        <f t="shared" si="12"/>
        <v>71.637500000000003</v>
      </c>
      <c r="N99">
        <f t="shared" si="13"/>
        <v>4.9024999999999999</v>
      </c>
      <c r="O99">
        <f t="shared" si="14"/>
        <v>11.000000000000002</v>
      </c>
      <c r="P99">
        <f t="shared" si="15"/>
        <v>5.9090909090909092</v>
      </c>
      <c r="Q99">
        <f t="shared" si="16"/>
        <v>30</v>
      </c>
      <c r="R99">
        <f t="shared" si="17"/>
        <v>97.77</v>
      </c>
      <c r="S99" t="str">
        <f t="shared" si="18"/>
        <v>Satisfactory</v>
      </c>
      <c r="T99" t="str">
        <f t="shared" si="19"/>
        <v>PM10</v>
      </c>
      <c r="U99">
        <v>28.09</v>
      </c>
      <c r="V99">
        <v>61.07</v>
      </c>
    </row>
    <row r="100" spans="1:22" x14ac:dyDescent="0.3">
      <c r="A100" s="2" t="s">
        <v>15</v>
      </c>
      <c r="B100">
        <v>560026</v>
      </c>
      <c r="C100" s="3">
        <v>43573</v>
      </c>
      <c r="D100">
        <v>36.049999999999997</v>
      </c>
      <c r="E100">
        <v>77.069999999999993</v>
      </c>
      <c r="F100">
        <v>57.71</v>
      </c>
      <c r="G100">
        <v>19.510000000000002</v>
      </c>
      <c r="H100">
        <v>6.7</v>
      </c>
      <c r="I100">
        <v>0.68666666700000001</v>
      </c>
      <c r="J100">
        <v>56.58</v>
      </c>
      <c r="K100">
        <f t="shared" si="10"/>
        <v>60.083333333333329</v>
      </c>
      <c r="L100">
        <f t="shared" si="11"/>
        <v>77.069999999999993</v>
      </c>
      <c r="M100">
        <f t="shared" si="12"/>
        <v>72.137500000000003</v>
      </c>
      <c r="N100">
        <f t="shared" si="13"/>
        <v>4.8775000000000004</v>
      </c>
      <c r="O100">
        <f t="shared" si="14"/>
        <v>8.375</v>
      </c>
      <c r="P100">
        <f t="shared" si="15"/>
        <v>7.8030303068181821</v>
      </c>
      <c r="Q100">
        <f t="shared" si="16"/>
        <v>56.161333333333332</v>
      </c>
      <c r="R100">
        <f t="shared" si="17"/>
        <v>77.069999999999993</v>
      </c>
      <c r="S100" t="str">
        <f t="shared" si="18"/>
        <v>Satisfactory</v>
      </c>
      <c r="T100" t="str">
        <f t="shared" si="19"/>
        <v>PM10</v>
      </c>
      <c r="U100">
        <v>28.43</v>
      </c>
      <c r="V100">
        <v>57.79</v>
      </c>
    </row>
    <row r="101" spans="1:22" x14ac:dyDescent="0.3">
      <c r="A101" s="2" t="s">
        <v>15</v>
      </c>
      <c r="B101">
        <v>560026</v>
      </c>
      <c r="C101" s="3">
        <v>43574</v>
      </c>
      <c r="D101">
        <v>30.91</v>
      </c>
      <c r="E101">
        <v>68.61</v>
      </c>
      <c r="F101">
        <v>54.45</v>
      </c>
      <c r="G101">
        <v>18.940000000000001</v>
      </c>
      <c r="H101">
        <v>6.06</v>
      </c>
      <c r="I101">
        <v>0.68666666700000001</v>
      </c>
      <c r="J101">
        <v>59.17</v>
      </c>
      <c r="K101">
        <f t="shared" si="10"/>
        <v>51.516666666666666</v>
      </c>
      <c r="L101">
        <f t="shared" si="11"/>
        <v>68.61</v>
      </c>
      <c r="M101">
        <f t="shared" si="12"/>
        <v>68.0625</v>
      </c>
      <c r="N101">
        <f t="shared" si="13"/>
        <v>4.7350000000000003</v>
      </c>
      <c r="O101">
        <f t="shared" si="14"/>
        <v>7.5750000000000002</v>
      </c>
      <c r="P101">
        <f t="shared" si="15"/>
        <v>7.8030303068181821</v>
      </c>
      <c r="Q101">
        <f t="shared" si="16"/>
        <v>64.622</v>
      </c>
      <c r="R101">
        <f t="shared" si="17"/>
        <v>68.61</v>
      </c>
      <c r="S101" t="str">
        <f t="shared" si="18"/>
        <v>Satisfactory</v>
      </c>
      <c r="T101" t="str">
        <f t="shared" si="19"/>
        <v>PM10</v>
      </c>
      <c r="U101">
        <v>25.02</v>
      </c>
      <c r="V101">
        <v>57.05</v>
      </c>
    </row>
    <row r="102" spans="1:22" x14ac:dyDescent="0.3">
      <c r="A102" s="2" t="s">
        <v>15</v>
      </c>
      <c r="B102">
        <v>560026</v>
      </c>
      <c r="C102" s="3">
        <v>43575</v>
      </c>
      <c r="D102">
        <v>32.28</v>
      </c>
      <c r="E102">
        <v>65.83</v>
      </c>
      <c r="F102">
        <v>55.98</v>
      </c>
      <c r="G102">
        <v>16.93</v>
      </c>
      <c r="H102">
        <v>10.34</v>
      </c>
      <c r="I102">
        <v>1.1000000000000001</v>
      </c>
      <c r="J102">
        <v>62.68</v>
      </c>
      <c r="K102">
        <f t="shared" si="10"/>
        <v>53.800000000000004</v>
      </c>
      <c r="L102">
        <f t="shared" si="11"/>
        <v>65.83</v>
      </c>
      <c r="M102">
        <f t="shared" si="12"/>
        <v>69.974999999999994</v>
      </c>
      <c r="N102">
        <f t="shared" si="13"/>
        <v>4.2324999999999999</v>
      </c>
      <c r="O102">
        <f t="shared" si="14"/>
        <v>12.925000000000001</v>
      </c>
      <c r="P102">
        <f t="shared" si="15"/>
        <v>12.5</v>
      </c>
      <c r="Q102">
        <f t="shared" si="16"/>
        <v>76.087999999999994</v>
      </c>
      <c r="R102">
        <f t="shared" si="17"/>
        <v>76.087999999999994</v>
      </c>
      <c r="S102" t="str">
        <f t="shared" si="18"/>
        <v>Satisfactory</v>
      </c>
      <c r="T102" t="str">
        <f t="shared" si="19"/>
        <v>OZONE</v>
      </c>
      <c r="U102">
        <v>19.28</v>
      </c>
      <c r="V102">
        <v>60.4</v>
      </c>
    </row>
    <row r="103" spans="1:22" x14ac:dyDescent="0.3">
      <c r="A103" s="2" t="s">
        <v>15</v>
      </c>
      <c r="B103">
        <v>560026</v>
      </c>
      <c r="C103" s="3">
        <v>43576</v>
      </c>
      <c r="D103">
        <v>29.35</v>
      </c>
      <c r="E103">
        <v>45.8</v>
      </c>
      <c r="F103">
        <v>57.84</v>
      </c>
      <c r="G103">
        <v>14.63</v>
      </c>
      <c r="H103">
        <v>8.36</v>
      </c>
      <c r="I103">
        <v>0.83</v>
      </c>
      <c r="J103">
        <v>62.77</v>
      </c>
      <c r="K103">
        <f t="shared" si="10"/>
        <v>48.916666666666664</v>
      </c>
      <c r="L103">
        <f t="shared" si="11"/>
        <v>45.8</v>
      </c>
      <c r="M103">
        <f t="shared" si="12"/>
        <v>72.300000000000011</v>
      </c>
      <c r="N103">
        <f t="shared" si="13"/>
        <v>3.6575000000000002</v>
      </c>
      <c r="O103">
        <f t="shared" si="14"/>
        <v>10.45</v>
      </c>
      <c r="P103">
        <f t="shared" si="15"/>
        <v>9.4318181818181817</v>
      </c>
      <c r="Q103">
        <f t="shared" si="16"/>
        <v>76.382000000000005</v>
      </c>
      <c r="R103">
        <f t="shared" si="17"/>
        <v>76.382000000000005</v>
      </c>
      <c r="S103" t="str">
        <f t="shared" si="18"/>
        <v>Satisfactory</v>
      </c>
      <c r="T103" t="str">
        <f t="shared" si="19"/>
        <v>OZONE</v>
      </c>
      <c r="U103">
        <v>18.55</v>
      </c>
      <c r="V103">
        <v>55.9</v>
      </c>
    </row>
    <row r="104" spans="1:22" x14ac:dyDescent="0.3">
      <c r="A104" s="2" t="s">
        <v>15</v>
      </c>
      <c r="B104">
        <v>560026</v>
      </c>
      <c r="C104" s="3">
        <v>43577</v>
      </c>
      <c r="D104">
        <v>40.81</v>
      </c>
      <c r="E104">
        <v>99.55</v>
      </c>
      <c r="F104">
        <v>61.32</v>
      </c>
      <c r="G104">
        <v>26.3</v>
      </c>
      <c r="H104">
        <v>7.7</v>
      </c>
      <c r="I104">
        <v>0.65</v>
      </c>
      <c r="J104">
        <v>51.71</v>
      </c>
      <c r="K104">
        <f t="shared" si="10"/>
        <v>68.016666666666666</v>
      </c>
      <c r="L104">
        <f t="shared" si="11"/>
        <v>99.55</v>
      </c>
      <c r="M104">
        <f t="shared" si="12"/>
        <v>76.650000000000006</v>
      </c>
      <c r="N104">
        <f t="shared" si="13"/>
        <v>6.5750000000000002</v>
      </c>
      <c r="O104">
        <f t="shared" si="14"/>
        <v>9.625</v>
      </c>
      <c r="P104">
        <f t="shared" si="15"/>
        <v>7.3863636363636367</v>
      </c>
      <c r="Q104">
        <f t="shared" si="16"/>
        <v>47.879629629629633</v>
      </c>
      <c r="R104">
        <f t="shared" si="17"/>
        <v>99.55</v>
      </c>
      <c r="S104" t="str">
        <f t="shared" si="18"/>
        <v>Satisfactory</v>
      </c>
      <c r="T104" t="str">
        <f t="shared" si="19"/>
        <v>PM10</v>
      </c>
      <c r="U104">
        <v>25.04</v>
      </c>
      <c r="V104">
        <v>60.39</v>
      </c>
    </row>
    <row r="105" spans="1:22" x14ac:dyDescent="0.3">
      <c r="A105" s="2" t="s">
        <v>15</v>
      </c>
      <c r="B105">
        <v>560026</v>
      </c>
      <c r="C105" s="3">
        <v>43578</v>
      </c>
      <c r="D105">
        <v>36.49</v>
      </c>
      <c r="E105">
        <v>71.83</v>
      </c>
      <c r="F105">
        <v>67.33</v>
      </c>
      <c r="G105">
        <v>14.64</v>
      </c>
      <c r="H105">
        <v>8.74</v>
      </c>
      <c r="I105">
        <v>0.72</v>
      </c>
      <c r="J105">
        <v>73.28</v>
      </c>
      <c r="K105">
        <f t="shared" si="10"/>
        <v>60.81666666666667</v>
      </c>
      <c r="L105">
        <f t="shared" si="11"/>
        <v>71.83</v>
      </c>
      <c r="M105">
        <f t="shared" si="12"/>
        <v>84.162499999999994</v>
      </c>
      <c r="N105">
        <f t="shared" si="13"/>
        <v>3.66</v>
      </c>
      <c r="O105">
        <f t="shared" si="14"/>
        <v>10.925000000000001</v>
      </c>
      <c r="P105">
        <f t="shared" si="15"/>
        <v>8.1818181818181817</v>
      </c>
      <c r="Q105">
        <f t="shared" si="16"/>
        <v>108.98</v>
      </c>
      <c r="R105">
        <f t="shared" si="17"/>
        <v>108.98</v>
      </c>
      <c r="S105" t="str">
        <f t="shared" si="18"/>
        <v>Moderate</v>
      </c>
      <c r="T105" t="str">
        <f t="shared" si="19"/>
        <v>OZONE</v>
      </c>
      <c r="U105">
        <v>20.47</v>
      </c>
      <c r="V105">
        <v>51.65</v>
      </c>
    </row>
    <row r="106" spans="1:22" x14ac:dyDescent="0.3">
      <c r="A106" s="2" t="s">
        <v>15</v>
      </c>
      <c r="B106">
        <v>560026</v>
      </c>
      <c r="C106" s="3">
        <v>43579</v>
      </c>
      <c r="D106">
        <v>39.46</v>
      </c>
      <c r="E106">
        <v>81.739999999999995</v>
      </c>
      <c r="F106">
        <v>75.260000000000005</v>
      </c>
      <c r="G106">
        <v>14.39</v>
      </c>
      <c r="H106">
        <v>6.92</v>
      </c>
      <c r="I106">
        <v>0.66</v>
      </c>
      <c r="J106">
        <v>64.22</v>
      </c>
      <c r="K106">
        <f t="shared" si="10"/>
        <v>65.766666666666666</v>
      </c>
      <c r="L106">
        <f t="shared" si="11"/>
        <v>81.739999999999995</v>
      </c>
      <c r="M106">
        <f t="shared" si="12"/>
        <v>94.075000000000003</v>
      </c>
      <c r="N106">
        <f t="shared" si="13"/>
        <v>3.5975000000000001</v>
      </c>
      <c r="O106">
        <f t="shared" si="14"/>
        <v>8.65</v>
      </c>
      <c r="P106">
        <f t="shared" si="15"/>
        <v>7.5</v>
      </c>
      <c r="Q106">
        <f t="shared" si="16"/>
        <v>81.118666666666655</v>
      </c>
      <c r="R106">
        <f t="shared" si="17"/>
        <v>94.075000000000003</v>
      </c>
      <c r="S106" t="str">
        <f t="shared" si="18"/>
        <v>Satisfactory</v>
      </c>
      <c r="T106" t="str">
        <f t="shared" si="19"/>
        <v>NO2</v>
      </c>
      <c r="U106">
        <v>21.36</v>
      </c>
      <c r="V106">
        <v>44</v>
      </c>
    </row>
    <row r="107" spans="1:22" x14ac:dyDescent="0.3">
      <c r="A107" s="2" t="s">
        <v>15</v>
      </c>
      <c r="B107">
        <v>560026</v>
      </c>
      <c r="C107" s="3">
        <v>43580</v>
      </c>
      <c r="D107">
        <v>45.71</v>
      </c>
      <c r="E107">
        <v>93.81</v>
      </c>
      <c r="F107">
        <v>72.58</v>
      </c>
      <c r="G107">
        <v>14.56</v>
      </c>
      <c r="H107">
        <v>9.92</v>
      </c>
      <c r="I107">
        <v>0.63</v>
      </c>
      <c r="J107">
        <v>70.739999999999995</v>
      </c>
      <c r="K107">
        <f t="shared" si="10"/>
        <v>76.183333333333337</v>
      </c>
      <c r="L107">
        <f t="shared" si="11"/>
        <v>93.81</v>
      </c>
      <c r="M107">
        <f t="shared" si="12"/>
        <v>90.724999999999994</v>
      </c>
      <c r="N107">
        <f t="shared" si="13"/>
        <v>3.64</v>
      </c>
      <c r="O107">
        <f t="shared" si="14"/>
        <v>12.4</v>
      </c>
      <c r="P107">
        <f t="shared" si="15"/>
        <v>7.1590909090909092</v>
      </c>
      <c r="Q107">
        <f t="shared" si="16"/>
        <v>100.08999999999997</v>
      </c>
      <c r="R107">
        <f t="shared" si="17"/>
        <v>100.08999999999997</v>
      </c>
      <c r="S107" t="str">
        <f t="shared" si="18"/>
        <v>Moderate</v>
      </c>
      <c r="T107" t="str">
        <f t="shared" si="19"/>
        <v>OZONE</v>
      </c>
      <c r="U107">
        <v>26.31</v>
      </c>
      <c r="V107">
        <v>40.64</v>
      </c>
    </row>
    <row r="108" spans="1:22" x14ac:dyDescent="0.3">
      <c r="A108" s="2" t="s">
        <v>15</v>
      </c>
      <c r="B108">
        <v>560026</v>
      </c>
      <c r="C108" s="3">
        <v>43581</v>
      </c>
      <c r="D108">
        <v>45.57</v>
      </c>
      <c r="E108">
        <v>87.14</v>
      </c>
      <c r="F108">
        <v>56.64</v>
      </c>
      <c r="G108">
        <v>17.649999999999999</v>
      </c>
      <c r="H108">
        <v>4.83</v>
      </c>
      <c r="I108">
        <v>0.46</v>
      </c>
      <c r="J108">
        <v>61.46</v>
      </c>
      <c r="K108">
        <f t="shared" si="10"/>
        <v>75.95</v>
      </c>
      <c r="L108">
        <f t="shared" si="11"/>
        <v>87.14</v>
      </c>
      <c r="M108">
        <f t="shared" si="12"/>
        <v>70.8</v>
      </c>
      <c r="N108">
        <f t="shared" si="13"/>
        <v>4.4124999999999996</v>
      </c>
      <c r="O108">
        <f t="shared" si="14"/>
        <v>6.0374999999999996</v>
      </c>
      <c r="P108">
        <f t="shared" si="15"/>
        <v>5.2272727272727275</v>
      </c>
      <c r="Q108">
        <f t="shared" si="16"/>
        <v>72.102666666666664</v>
      </c>
      <c r="R108">
        <f t="shared" si="17"/>
        <v>87.14</v>
      </c>
      <c r="S108" t="str">
        <f t="shared" si="18"/>
        <v>Satisfactory</v>
      </c>
      <c r="T108" t="str">
        <f t="shared" si="19"/>
        <v>PM10</v>
      </c>
      <c r="U108">
        <v>26.59</v>
      </c>
      <c r="V108">
        <v>54.64</v>
      </c>
    </row>
    <row r="109" spans="1:22" x14ac:dyDescent="0.3">
      <c r="A109" s="2" t="s">
        <v>15</v>
      </c>
      <c r="B109">
        <v>560026</v>
      </c>
      <c r="C109" s="3">
        <v>43582</v>
      </c>
      <c r="D109">
        <v>42.32</v>
      </c>
      <c r="E109">
        <v>91.328275860000005</v>
      </c>
      <c r="F109">
        <v>60.758275859999998</v>
      </c>
      <c r="G109">
        <v>21.338965519999999</v>
      </c>
      <c r="H109">
        <v>7.6527586210000003</v>
      </c>
      <c r="I109">
        <v>0.68666666700000001</v>
      </c>
      <c r="J109">
        <v>61.68689655</v>
      </c>
      <c r="K109">
        <f t="shared" si="10"/>
        <v>70.533333333333331</v>
      </c>
      <c r="L109">
        <f t="shared" si="11"/>
        <v>91.328275860000005</v>
      </c>
      <c r="M109">
        <f t="shared" si="12"/>
        <v>75.947844825000004</v>
      </c>
      <c r="N109">
        <f t="shared" si="13"/>
        <v>5.3347413799999996</v>
      </c>
      <c r="O109">
        <f t="shared" si="14"/>
        <v>9.5659482762500012</v>
      </c>
      <c r="P109">
        <f t="shared" si="15"/>
        <v>7.8030303068181821</v>
      </c>
      <c r="Q109">
        <f t="shared" si="16"/>
        <v>72.843862063333333</v>
      </c>
      <c r="R109">
        <f t="shared" si="17"/>
        <v>91.328275860000005</v>
      </c>
      <c r="S109" t="str">
        <f t="shared" si="18"/>
        <v>Satisfactory</v>
      </c>
      <c r="T109" t="str">
        <f t="shared" si="19"/>
        <v>PM10</v>
      </c>
      <c r="U109">
        <v>26.59</v>
      </c>
      <c r="V109">
        <v>54.64</v>
      </c>
    </row>
    <row r="110" spans="1:22" x14ac:dyDescent="0.3">
      <c r="A110" s="2" t="s">
        <v>15</v>
      </c>
      <c r="B110">
        <v>560026</v>
      </c>
      <c r="C110" s="3">
        <v>43583</v>
      </c>
      <c r="D110">
        <v>48.14</v>
      </c>
      <c r="E110">
        <v>100.02</v>
      </c>
      <c r="F110">
        <v>67.34</v>
      </c>
      <c r="G110">
        <v>21.87</v>
      </c>
      <c r="H110">
        <v>20.72</v>
      </c>
      <c r="I110">
        <v>0.89</v>
      </c>
      <c r="J110">
        <v>39.83</v>
      </c>
      <c r="K110">
        <f t="shared" si="10"/>
        <v>80.233333333333334</v>
      </c>
      <c r="L110">
        <f t="shared" si="11"/>
        <v>100.01333333333334</v>
      </c>
      <c r="M110">
        <f t="shared" si="12"/>
        <v>84.175000000000011</v>
      </c>
      <c r="N110">
        <f t="shared" si="13"/>
        <v>5.4675000000000002</v>
      </c>
      <c r="O110">
        <f t="shared" si="14"/>
        <v>25.9</v>
      </c>
      <c r="P110">
        <f t="shared" si="15"/>
        <v>10.113636363636363</v>
      </c>
      <c r="Q110">
        <f t="shared" si="16"/>
        <v>36.879629629629626</v>
      </c>
      <c r="R110">
        <f t="shared" si="17"/>
        <v>100.01333333333334</v>
      </c>
      <c r="S110" t="str">
        <f t="shared" si="18"/>
        <v>Moderate</v>
      </c>
      <c r="T110" t="str">
        <f t="shared" si="19"/>
        <v>PM10</v>
      </c>
      <c r="U110">
        <v>28.7</v>
      </c>
      <c r="V110">
        <v>37.81</v>
      </c>
    </row>
    <row r="111" spans="1:22" x14ac:dyDescent="0.3">
      <c r="A111" s="2" t="s">
        <v>15</v>
      </c>
      <c r="B111">
        <v>560026</v>
      </c>
      <c r="C111" s="3">
        <v>43584</v>
      </c>
      <c r="D111">
        <v>48.11</v>
      </c>
      <c r="E111">
        <v>93.69</v>
      </c>
      <c r="F111">
        <v>52.33</v>
      </c>
      <c r="G111">
        <v>24.45</v>
      </c>
      <c r="H111">
        <v>6.61</v>
      </c>
      <c r="I111">
        <v>0.66</v>
      </c>
      <c r="J111">
        <v>43.28</v>
      </c>
      <c r="K111">
        <f t="shared" si="10"/>
        <v>80.183333333333337</v>
      </c>
      <c r="L111">
        <f t="shared" si="11"/>
        <v>93.69</v>
      </c>
      <c r="M111">
        <f t="shared" si="12"/>
        <v>65.412499999999994</v>
      </c>
      <c r="N111">
        <f t="shared" si="13"/>
        <v>6.1124999999999998</v>
      </c>
      <c r="O111">
        <f t="shared" si="14"/>
        <v>8.2624999999999993</v>
      </c>
      <c r="P111">
        <f t="shared" si="15"/>
        <v>7.5</v>
      </c>
      <c r="Q111">
        <f t="shared" si="16"/>
        <v>40.074074074074076</v>
      </c>
      <c r="R111">
        <f t="shared" si="17"/>
        <v>93.69</v>
      </c>
      <c r="S111" t="str">
        <f t="shared" si="18"/>
        <v>Satisfactory</v>
      </c>
      <c r="T111" t="str">
        <f t="shared" si="19"/>
        <v>PM10</v>
      </c>
      <c r="U111">
        <v>26.07</v>
      </c>
      <c r="V111">
        <v>56.75</v>
      </c>
    </row>
    <row r="112" spans="1:22" x14ac:dyDescent="0.3">
      <c r="A112" s="2" t="s">
        <v>15</v>
      </c>
      <c r="B112">
        <v>560026</v>
      </c>
      <c r="C112" s="3">
        <v>43585</v>
      </c>
      <c r="D112">
        <v>51.3</v>
      </c>
      <c r="E112">
        <v>95.2</v>
      </c>
      <c r="F112">
        <v>44.61</v>
      </c>
      <c r="G112">
        <v>91.4</v>
      </c>
      <c r="H112">
        <v>7.16</v>
      </c>
      <c r="I112">
        <v>0.42</v>
      </c>
      <c r="J112">
        <v>78.95</v>
      </c>
      <c r="K112">
        <f t="shared" si="10"/>
        <v>85.5</v>
      </c>
      <c r="L112">
        <f t="shared" si="11"/>
        <v>95.2</v>
      </c>
      <c r="M112">
        <f t="shared" si="12"/>
        <v>55.762500000000003</v>
      </c>
      <c r="N112">
        <f t="shared" si="13"/>
        <v>22.85</v>
      </c>
      <c r="O112">
        <f t="shared" si="14"/>
        <v>8.9499999999999993</v>
      </c>
      <c r="P112">
        <f t="shared" si="15"/>
        <v>4.7727272727272725</v>
      </c>
      <c r="Q112">
        <f t="shared" si="16"/>
        <v>128.82500000000002</v>
      </c>
      <c r="R112">
        <f t="shared" si="17"/>
        <v>128.82500000000002</v>
      </c>
      <c r="S112" t="str">
        <f t="shared" si="18"/>
        <v>Moderate</v>
      </c>
      <c r="T112" t="str">
        <f t="shared" si="19"/>
        <v>OZONE</v>
      </c>
      <c r="U112">
        <v>31.02</v>
      </c>
      <c r="V112">
        <v>46.62</v>
      </c>
    </row>
    <row r="113" spans="1:22" x14ac:dyDescent="0.3">
      <c r="A113" s="2" t="s">
        <v>15</v>
      </c>
      <c r="B113">
        <v>560026</v>
      </c>
      <c r="C113" s="3">
        <v>43586</v>
      </c>
      <c r="D113">
        <v>45.56482759</v>
      </c>
      <c r="E113">
        <v>90.265172410000005</v>
      </c>
      <c r="F113">
        <v>45.646206900000003</v>
      </c>
      <c r="G113">
        <v>17.966551719999998</v>
      </c>
      <c r="H113">
        <v>4.0175862069999999</v>
      </c>
      <c r="I113">
        <v>0.60793103400000004</v>
      </c>
      <c r="J113">
        <v>59.581379310000003</v>
      </c>
      <c r="K113">
        <f t="shared" si="10"/>
        <v>75.941379316666669</v>
      </c>
      <c r="L113">
        <f t="shared" si="11"/>
        <v>90.265172410000005</v>
      </c>
      <c r="M113">
        <f t="shared" si="12"/>
        <v>57.057758625000005</v>
      </c>
      <c r="N113">
        <f t="shared" si="13"/>
        <v>4.4916379299999996</v>
      </c>
      <c r="O113">
        <f t="shared" si="14"/>
        <v>5.0219827587500001</v>
      </c>
      <c r="P113">
        <f t="shared" si="15"/>
        <v>6.908307204545455</v>
      </c>
      <c r="Q113">
        <f t="shared" si="16"/>
        <v>65.965839079333335</v>
      </c>
      <c r="R113">
        <f t="shared" si="17"/>
        <v>90.265172410000005</v>
      </c>
      <c r="S113" t="str">
        <f t="shared" si="18"/>
        <v>Satisfactory</v>
      </c>
      <c r="T113" t="str">
        <f t="shared" si="19"/>
        <v>PM10</v>
      </c>
      <c r="U113">
        <v>29.13666667</v>
      </c>
      <c r="V113">
        <v>52.39</v>
      </c>
    </row>
    <row r="114" spans="1:22" x14ac:dyDescent="0.3">
      <c r="A114" s="2" t="s">
        <v>15</v>
      </c>
      <c r="B114">
        <v>560026</v>
      </c>
      <c r="C114" s="3">
        <v>43587</v>
      </c>
      <c r="D114">
        <v>45.56482759</v>
      </c>
      <c r="E114">
        <v>90.265172410000005</v>
      </c>
      <c r="F114">
        <v>45.646206900000003</v>
      </c>
      <c r="G114">
        <v>17.966551719999998</v>
      </c>
      <c r="H114">
        <v>4.0175862069999999</v>
      </c>
      <c r="I114">
        <v>0.60793103400000004</v>
      </c>
      <c r="J114">
        <v>59.581379310000003</v>
      </c>
      <c r="K114">
        <f t="shared" si="10"/>
        <v>75.941379316666669</v>
      </c>
      <c r="L114">
        <f t="shared" si="11"/>
        <v>90.265172410000005</v>
      </c>
      <c r="M114">
        <f t="shared" si="12"/>
        <v>57.057758625000005</v>
      </c>
      <c r="N114">
        <f t="shared" si="13"/>
        <v>4.4916379299999996</v>
      </c>
      <c r="O114">
        <f t="shared" si="14"/>
        <v>5.0219827587500001</v>
      </c>
      <c r="P114">
        <f t="shared" si="15"/>
        <v>6.908307204545455</v>
      </c>
      <c r="Q114">
        <f t="shared" si="16"/>
        <v>65.965839079333335</v>
      </c>
      <c r="R114">
        <f t="shared" si="17"/>
        <v>90.265172410000005</v>
      </c>
      <c r="S114" t="str">
        <f t="shared" si="18"/>
        <v>Satisfactory</v>
      </c>
      <c r="T114" t="str">
        <f t="shared" si="19"/>
        <v>PM10</v>
      </c>
      <c r="U114">
        <v>29.13666667</v>
      </c>
      <c r="V114">
        <v>52.39</v>
      </c>
    </row>
    <row r="115" spans="1:22" x14ac:dyDescent="0.3">
      <c r="A115" s="2" t="s">
        <v>15</v>
      </c>
      <c r="B115">
        <v>560026</v>
      </c>
      <c r="C115" s="3">
        <v>43588</v>
      </c>
      <c r="D115">
        <v>46.36</v>
      </c>
      <c r="E115">
        <v>93.93</v>
      </c>
      <c r="F115">
        <v>54.82</v>
      </c>
      <c r="G115">
        <v>56.76</v>
      </c>
      <c r="H115">
        <v>30.3</v>
      </c>
      <c r="I115">
        <v>0.63</v>
      </c>
      <c r="J115">
        <v>44.08</v>
      </c>
      <c r="K115">
        <f t="shared" si="10"/>
        <v>77.266666666666666</v>
      </c>
      <c r="L115">
        <f t="shared" si="11"/>
        <v>93.93</v>
      </c>
      <c r="M115">
        <f t="shared" si="12"/>
        <v>68.525000000000006</v>
      </c>
      <c r="N115">
        <f t="shared" si="13"/>
        <v>14.19</v>
      </c>
      <c r="O115">
        <f t="shared" si="14"/>
        <v>37.875</v>
      </c>
      <c r="P115">
        <f t="shared" si="15"/>
        <v>7.1590909090909092</v>
      </c>
      <c r="Q115">
        <f t="shared" si="16"/>
        <v>40.814814814814817</v>
      </c>
      <c r="R115">
        <f t="shared" si="17"/>
        <v>93.93</v>
      </c>
      <c r="S115" t="str">
        <f t="shared" si="18"/>
        <v>Satisfactory</v>
      </c>
      <c r="T115" t="str">
        <f t="shared" si="19"/>
        <v>PM10</v>
      </c>
      <c r="U115">
        <v>30.01</v>
      </c>
      <c r="V115">
        <v>47.54</v>
      </c>
    </row>
    <row r="116" spans="1:22" x14ac:dyDescent="0.3">
      <c r="A116" s="2" t="s">
        <v>15</v>
      </c>
      <c r="B116">
        <v>560026</v>
      </c>
      <c r="C116" s="3">
        <v>43589</v>
      </c>
      <c r="D116">
        <v>62.6</v>
      </c>
      <c r="E116">
        <v>114.28</v>
      </c>
      <c r="F116">
        <v>45.92</v>
      </c>
      <c r="G116">
        <v>33.78</v>
      </c>
      <c r="H116">
        <v>3.32</v>
      </c>
      <c r="I116">
        <v>0.57999999999999996</v>
      </c>
      <c r="J116">
        <v>46.18</v>
      </c>
      <c r="K116">
        <f t="shared" si="10"/>
        <v>108.66666666666667</v>
      </c>
      <c r="L116">
        <f t="shared" si="11"/>
        <v>109.52</v>
      </c>
      <c r="M116">
        <f t="shared" si="12"/>
        <v>57.400000000000006</v>
      </c>
      <c r="N116">
        <f t="shared" si="13"/>
        <v>8.4450000000000003</v>
      </c>
      <c r="O116">
        <f t="shared" si="14"/>
        <v>4.1500000000000004</v>
      </c>
      <c r="P116">
        <f t="shared" si="15"/>
        <v>6.5909090909090899</v>
      </c>
      <c r="Q116">
        <f t="shared" si="16"/>
        <v>42.75925925925926</v>
      </c>
      <c r="R116">
        <f t="shared" si="17"/>
        <v>109.52</v>
      </c>
      <c r="S116" t="str">
        <f t="shared" si="18"/>
        <v>Moderate</v>
      </c>
      <c r="T116" t="str">
        <f t="shared" si="19"/>
        <v>PM10</v>
      </c>
      <c r="U116">
        <v>28.11</v>
      </c>
      <c r="V116">
        <v>57.24</v>
      </c>
    </row>
    <row r="117" spans="1:22" x14ac:dyDescent="0.3">
      <c r="A117" s="2" t="s">
        <v>15</v>
      </c>
      <c r="B117">
        <v>560026</v>
      </c>
      <c r="C117" s="3">
        <v>43590</v>
      </c>
      <c r="D117">
        <v>50.98</v>
      </c>
      <c r="E117">
        <v>108.59</v>
      </c>
      <c r="F117">
        <v>40.909999999999997</v>
      </c>
      <c r="G117">
        <v>23.74</v>
      </c>
      <c r="H117">
        <v>3.5</v>
      </c>
      <c r="I117">
        <v>0.51</v>
      </c>
      <c r="J117">
        <v>63.17</v>
      </c>
      <c r="K117">
        <f t="shared" si="10"/>
        <v>84.966666666666669</v>
      </c>
      <c r="L117">
        <f t="shared" si="11"/>
        <v>105.72666666666667</v>
      </c>
      <c r="M117">
        <f t="shared" si="12"/>
        <v>51.137499999999996</v>
      </c>
      <c r="N117">
        <f t="shared" si="13"/>
        <v>5.9349999999999996</v>
      </c>
      <c r="O117">
        <f t="shared" si="14"/>
        <v>4.375</v>
      </c>
      <c r="P117">
        <f t="shared" si="15"/>
        <v>5.795454545454545</v>
      </c>
      <c r="Q117">
        <f t="shared" si="16"/>
        <v>77.688666666666677</v>
      </c>
      <c r="R117">
        <f t="shared" si="17"/>
        <v>105.72666666666667</v>
      </c>
      <c r="S117" t="str">
        <f t="shared" si="18"/>
        <v>Moderate</v>
      </c>
      <c r="T117" t="str">
        <f t="shared" si="19"/>
        <v>PM10</v>
      </c>
      <c r="U117">
        <v>29.29</v>
      </c>
      <c r="V117">
        <v>51</v>
      </c>
    </row>
    <row r="118" spans="1:22" x14ac:dyDescent="0.3">
      <c r="A118" s="2" t="s">
        <v>15</v>
      </c>
      <c r="B118">
        <v>560026</v>
      </c>
      <c r="C118" s="3">
        <v>43591</v>
      </c>
      <c r="D118">
        <v>51.62</v>
      </c>
      <c r="E118">
        <v>98.74</v>
      </c>
      <c r="F118">
        <v>40.74</v>
      </c>
      <c r="G118">
        <v>21.11</v>
      </c>
      <c r="H118">
        <v>3.17</v>
      </c>
      <c r="I118">
        <v>0.57999999999999996</v>
      </c>
      <c r="J118">
        <v>80.900000000000006</v>
      </c>
      <c r="K118">
        <f t="shared" si="10"/>
        <v>86.033333333333331</v>
      </c>
      <c r="L118">
        <f t="shared" si="11"/>
        <v>98.74</v>
      </c>
      <c r="M118">
        <f t="shared" si="12"/>
        <v>50.925000000000004</v>
      </c>
      <c r="N118">
        <f t="shared" si="13"/>
        <v>5.2774999999999999</v>
      </c>
      <c r="O118">
        <f t="shared" si="14"/>
        <v>3.9624999999999999</v>
      </c>
      <c r="P118">
        <f t="shared" si="15"/>
        <v>6.5909090909090899</v>
      </c>
      <c r="Q118">
        <f t="shared" si="16"/>
        <v>135.65000000000003</v>
      </c>
      <c r="R118">
        <f t="shared" si="17"/>
        <v>135.65000000000003</v>
      </c>
      <c r="S118" t="str">
        <f t="shared" si="18"/>
        <v>Moderate</v>
      </c>
      <c r="T118" t="str">
        <f t="shared" si="19"/>
        <v>OZONE</v>
      </c>
      <c r="U118">
        <v>29.94</v>
      </c>
      <c r="V118">
        <v>50</v>
      </c>
    </row>
    <row r="119" spans="1:22" x14ac:dyDescent="0.3">
      <c r="A119" s="2" t="s">
        <v>15</v>
      </c>
      <c r="B119">
        <v>560026</v>
      </c>
      <c r="C119" s="3">
        <v>43592</v>
      </c>
      <c r="D119">
        <v>40.32</v>
      </c>
      <c r="E119">
        <v>76.13</v>
      </c>
      <c r="F119">
        <v>37.03</v>
      </c>
      <c r="G119">
        <v>19.72</v>
      </c>
      <c r="H119">
        <v>3.61</v>
      </c>
      <c r="I119">
        <v>0.43</v>
      </c>
      <c r="J119">
        <v>54.99</v>
      </c>
      <c r="K119">
        <f t="shared" si="10"/>
        <v>67.2</v>
      </c>
      <c r="L119">
        <f t="shared" si="11"/>
        <v>76.13</v>
      </c>
      <c r="M119">
        <f t="shared" si="12"/>
        <v>46.287500000000001</v>
      </c>
      <c r="N119">
        <f t="shared" si="13"/>
        <v>4.93</v>
      </c>
      <c r="O119">
        <f t="shared" si="14"/>
        <v>4.5125000000000002</v>
      </c>
      <c r="P119">
        <f t="shared" si="15"/>
        <v>4.8863636363636358</v>
      </c>
      <c r="Q119">
        <f t="shared" si="16"/>
        <v>50.967333333333343</v>
      </c>
      <c r="R119">
        <f t="shared" si="17"/>
        <v>76.13</v>
      </c>
      <c r="S119" t="str">
        <f t="shared" si="18"/>
        <v>Satisfactory</v>
      </c>
      <c r="T119" t="str">
        <f t="shared" si="19"/>
        <v>PM10</v>
      </c>
      <c r="U119">
        <v>27.62</v>
      </c>
      <c r="V119">
        <v>63.68</v>
      </c>
    </row>
    <row r="120" spans="1:22" x14ac:dyDescent="0.3">
      <c r="A120" s="2" t="s">
        <v>15</v>
      </c>
      <c r="B120">
        <v>560026</v>
      </c>
      <c r="C120" s="3">
        <v>43593</v>
      </c>
      <c r="D120">
        <v>38.46</v>
      </c>
      <c r="E120">
        <v>77.430000000000007</v>
      </c>
      <c r="F120">
        <v>40.99</v>
      </c>
      <c r="G120">
        <v>17.91</v>
      </c>
      <c r="H120">
        <v>3.52</v>
      </c>
      <c r="I120">
        <v>0.54</v>
      </c>
      <c r="J120">
        <v>32.5</v>
      </c>
      <c r="K120">
        <f t="shared" si="10"/>
        <v>64.099999999999994</v>
      </c>
      <c r="L120">
        <f t="shared" si="11"/>
        <v>77.430000000000007</v>
      </c>
      <c r="M120">
        <f t="shared" si="12"/>
        <v>51.237500000000004</v>
      </c>
      <c r="N120">
        <f t="shared" si="13"/>
        <v>4.4775</v>
      </c>
      <c r="O120">
        <f t="shared" si="14"/>
        <v>4.4000000000000004</v>
      </c>
      <c r="P120">
        <f t="shared" si="15"/>
        <v>6.1363636363636367</v>
      </c>
      <c r="Q120">
        <f t="shared" si="16"/>
        <v>30.092592592592592</v>
      </c>
      <c r="R120">
        <f t="shared" si="17"/>
        <v>77.430000000000007</v>
      </c>
      <c r="S120" t="str">
        <f t="shared" si="18"/>
        <v>Satisfactory</v>
      </c>
      <c r="T120" t="str">
        <f t="shared" si="19"/>
        <v>PM10</v>
      </c>
      <c r="U120">
        <v>27.37</v>
      </c>
      <c r="V120">
        <v>65.12</v>
      </c>
    </row>
    <row r="121" spans="1:22" x14ac:dyDescent="0.3">
      <c r="A121" s="2" t="s">
        <v>15</v>
      </c>
      <c r="B121">
        <v>560026</v>
      </c>
      <c r="C121" s="3">
        <v>43594</v>
      </c>
      <c r="D121">
        <v>43.04</v>
      </c>
      <c r="E121">
        <v>96.44</v>
      </c>
      <c r="F121">
        <v>46.4</v>
      </c>
      <c r="G121">
        <v>16.75</v>
      </c>
      <c r="H121">
        <v>3.26</v>
      </c>
      <c r="I121">
        <v>0.7</v>
      </c>
      <c r="J121">
        <v>30.03</v>
      </c>
      <c r="K121">
        <f t="shared" ref="K121:K181" si="20">IF(ISTEXT(D121),0,IF(D121&lt;=30,D121*50/30,IF(AND(D121&gt;30,D121&lt;=60),50+(D121-30)*50/30,IF(AND(D121&gt;60,D121&lt;=90),100+(D121-60)*100/30,IF(AND(D121&gt;90,D121&lt;=120),200+(D121-90)*(100/30),IF(AND(D121&gt;120,D121&lt;=250),300+(D121-120)*(100/130),IF(D121&gt;250,400+(D121-250)*(100/130))))))))</f>
        <v>71.733333333333334</v>
      </c>
      <c r="L121">
        <f t="shared" ref="L121:L181" si="21">IF(ISTEXT(E121),0,IF(E121&lt;=50,E121,IF(AND(E121&gt;50,E121&lt;=100),E121,IF(AND(E121&gt;100,E121&lt;=250),100+(E121-100)*100/150,IF(AND(E121&gt;250,E121&lt;=350),200+(E121-250),IF(AND(E121&gt;350,E121&lt;=430),300+(E121-350)*(100/80),IF(E121&gt;430,400+(E121-430)*(100/80))))))))</f>
        <v>96.44</v>
      </c>
      <c r="M121">
        <f t="shared" ref="M121:M181" si="22">IF(ISTEXT(F121),0,IF(F121&lt;=40,F121*50/40,IF(AND(F121&gt;40,F121&lt;=80),50+(F121-40)*50/40,IF(AND(F121&gt;80,F121&lt;=180),100+(F121-80)*100/100,IF(AND(F121&gt;180,F121&lt;=280),200+(F121-180)*(100/100),IF(AND(F121&gt;280,F121&lt;=400),300+(F121-280)*(100/120),IF(F121&gt;400,400+(F121-400)*(100/120))))))))</f>
        <v>58</v>
      </c>
      <c r="N121">
        <f t="shared" ref="N121:N181" si="23">IF(ISTEXT(G121),0,IF(G121&lt;=200,G121*50/200,IF(AND(G121&gt;200,G121&lt;=400),50+(G121-200)*50/200,IF(AND(G121&gt;400,G121&lt;=800),100+(G121-400)*100/400,IF(AND(G121&gt;800,G121&lt;=1200),200+(G121-800)*(100/400),IF(AND(G121&gt;1200,G121&lt;=1800),300+(G121-1200)*(100/600),IF(G121&gt;1800,400+(G121-1800)*(100/600))))))))</f>
        <v>4.1875</v>
      </c>
      <c r="O121">
        <f t="shared" ref="O121:O181" si="24">IF(ISTEXT(H121),0,IF(H121&lt;=40,H121*50/40,IF(AND(H121&gt;40,H121&lt;=80),50+(H121-40)*50/40,IF(AND(H121&gt;80,H121&lt;=380),100+(H121-80)*100/300,IF(AND(H121&gt;380,H121&lt;=800),200+(H121-380)*(100/420),IF(AND(H121&gt;800,H121&lt;=1600),300+(H121-800)*(100/800),IF(H121&gt;1600,400+(H121-1600)*(100/800))))))))</f>
        <v>4.0750000000000002</v>
      </c>
      <c r="P121">
        <f t="shared" ref="P121:P181" si="25">IF(I121&lt;=4.4,(50-0)/(4.4-0)*(I121-0)+0,
IF(I121&lt;=9.4,(100-51)/(9.4-4.5)*(I121-4.5)+51,
IF(I121&lt;=12.4,(150-101)/(12.4-9.5)*(I121-9.5)+101,
IF(I121&lt;=15.4,(200-151)/(15.4-12.5)*(I121-12.5)+151,
IF(I121&lt;=30.4,(300-201)/(30.4-15.5)*(I121-15.5)+201,
(500-301)/(50.4-30.5)*(I121-30.5)+301)))))</f>
        <v>7.9545454545454541</v>
      </c>
      <c r="Q121">
        <f t="shared" ref="Q121:Q181" si="26">IF(J121&lt;=54,(50-0)/(54-0)*(J121-0)+0,
IF(J121&lt;=70,(100-51)/(70-55)*(J121-55)+51,
IF(J121&lt;=85,(150-101)/(85-71)*(J121-71)+101,
IF(J121&lt;=105,(200-151)/(105-86)*(J121-86)+151,
IF(J121&lt;=200,(300-201)/(200-106)*(J121-106)+201,
(500-301)/(300-201)*(J121-201)+301)))))</f>
        <v>27.805555555555557</v>
      </c>
      <c r="R121">
        <f t="shared" ref="R121:R181" si="27">MAX(K121:Q121)</f>
        <v>96.44</v>
      </c>
      <c r="S121" t="str">
        <f t="shared" ref="S121:S181" si="28">IF(R121&lt;=50,"Good",
IF(R121&lt;=100,"Satisfactory",
IF(R121&lt;=200,"Moderate",
IF(R121&lt;=300,"Poor",
IF(R121&lt;=400,"Very Poor",
"Severe")))))</f>
        <v>Satisfactory</v>
      </c>
      <c r="T121" t="str">
        <f t="shared" ref="T121:T181" si="29">IF(MAX(K121:Q121)=K121,"PM2.5",
IF(MAX(K121:Q121)=L121,"PM10",
IF(MAX(K121:Q121)=M121,"NO2",
IF(MAX(K121:Q121)=N121,"NH3",
IF(MAX(K121:Q121)=O121,"SO2",
IF(MAX(K121:Q121)=P121,"CO",
IF(MAX(K121:Q121)=Q121,"OZONE","")))))))</f>
        <v>PM10</v>
      </c>
      <c r="U121">
        <v>27.86</v>
      </c>
      <c r="V121">
        <v>59.64</v>
      </c>
    </row>
    <row r="122" spans="1:22" x14ac:dyDescent="0.3">
      <c r="A122" s="2" t="s">
        <v>15</v>
      </c>
      <c r="B122">
        <v>560026</v>
      </c>
      <c r="C122" s="3">
        <v>43595</v>
      </c>
      <c r="D122">
        <v>41.73</v>
      </c>
      <c r="E122">
        <v>89.36</v>
      </c>
      <c r="F122">
        <v>50.13</v>
      </c>
      <c r="G122">
        <v>16.850000000000001</v>
      </c>
      <c r="H122">
        <v>3.13</v>
      </c>
      <c r="I122">
        <v>0.62</v>
      </c>
      <c r="J122">
        <v>47.07</v>
      </c>
      <c r="K122">
        <f t="shared" si="20"/>
        <v>69.55</v>
      </c>
      <c r="L122">
        <f t="shared" si="21"/>
        <v>89.36</v>
      </c>
      <c r="M122">
        <f t="shared" si="22"/>
        <v>62.662500000000001</v>
      </c>
      <c r="N122">
        <f t="shared" si="23"/>
        <v>4.2125000000000004</v>
      </c>
      <c r="O122">
        <f t="shared" si="24"/>
        <v>3.9125000000000001</v>
      </c>
      <c r="P122">
        <f t="shared" si="25"/>
        <v>7.045454545454545</v>
      </c>
      <c r="Q122">
        <f t="shared" si="26"/>
        <v>43.583333333333336</v>
      </c>
      <c r="R122">
        <f t="shared" si="27"/>
        <v>89.36</v>
      </c>
      <c r="S122" t="str">
        <f t="shared" si="28"/>
        <v>Satisfactory</v>
      </c>
      <c r="T122" t="str">
        <f t="shared" si="29"/>
        <v>PM10</v>
      </c>
      <c r="U122">
        <v>29.64</v>
      </c>
      <c r="V122">
        <v>49.19</v>
      </c>
    </row>
    <row r="123" spans="1:22" x14ac:dyDescent="0.3">
      <c r="A123" s="2" t="s">
        <v>15</v>
      </c>
      <c r="B123">
        <v>560026</v>
      </c>
      <c r="C123" s="3">
        <v>43596</v>
      </c>
      <c r="D123">
        <v>34.29</v>
      </c>
      <c r="E123">
        <v>74.45</v>
      </c>
      <c r="F123">
        <v>41.08</v>
      </c>
      <c r="G123">
        <v>16.579999999999998</v>
      </c>
      <c r="H123">
        <v>4.24</v>
      </c>
      <c r="I123">
        <v>0.46</v>
      </c>
      <c r="J123">
        <v>53.87</v>
      </c>
      <c r="K123">
        <f t="shared" si="20"/>
        <v>57.15</v>
      </c>
      <c r="L123">
        <f t="shared" si="21"/>
        <v>74.45</v>
      </c>
      <c r="M123">
        <f t="shared" si="22"/>
        <v>51.349999999999994</v>
      </c>
      <c r="N123">
        <f t="shared" si="23"/>
        <v>4.1449999999999996</v>
      </c>
      <c r="O123">
        <f t="shared" si="24"/>
        <v>5.3</v>
      </c>
      <c r="P123">
        <f t="shared" si="25"/>
        <v>5.2272727272727275</v>
      </c>
      <c r="Q123">
        <f t="shared" si="26"/>
        <v>49.879629629629626</v>
      </c>
      <c r="R123">
        <f t="shared" si="27"/>
        <v>74.45</v>
      </c>
      <c r="S123" t="str">
        <f t="shared" si="28"/>
        <v>Satisfactory</v>
      </c>
      <c r="T123" t="str">
        <f t="shared" si="29"/>
        <v>PM10</v>
      </c>
      <c r="U123">
        <v>28.64</v>
      </c>
      <c r="V123">
        <v>60.98</v>
      </c>
    </row>
    <row r="124" spans="1:22" x14ac:dyDescent="0.3">
      <c r="A124" s="2" t="s">
        <v>15</v>
      </c>
      <c r="B124">
        <v>560026</v>
      </c>
      <c r="C124" s="3">
        <v>43597</v>
      </c>
      <c r="D124">
        <v>38.11</v>
      </c>
      <c r="E124">
        <v>76.63</v>
      </c>
      <c r="F124">
        <v>41.49</v>
      </c>
      <c r="G124">
        <v>14.77</v>
      </c>
      <c r="H124">
        <v>3.38</v>
      </c>
      <c r="I124">
        <v>0.59</v>
      </c>
      <c r="J124">
        <v>48.37</v>
      </c>
      <c r="K124">
        <f t="shared" si="20"/>
        <v>63.516666666666666</v>
      </c>
      <c r="L124">
        <f t="shared" si="21"/>
        <v>76.63</v>
      </c>
      <c r="M124">
        <f t="shared" si="22"/>
        <v>51.862500000000004</v>
      </c>
      <c r="N124">
        <f t="shared" si="23"/>
        <v>3.6924999999999999</v>
      </c>
      <c r="O124">
        <f t="shared" si="24"/>
        <v>4.2249999999999996</v>
      </c>
      <c r="P124">
        <f t="shared" si="25"/>
        <v>6.7045454545454541</v>
      </c>
      <c r="Q124">
        <f t="shared" si="26"/>
        <v>44.787037037037038</v>
      </c>
      <c r="R124">
        <f t="shared" si="27"/>
        <v>76.63</v>
      </c>
      <c r="S124" t="str">
        <f t="shared" si="28"/>
        <v>Satisfactory</v>
      </c>
      <c r="T124" t="str">
        <f t="shared" si="29"/>
        <v>PM10</v>
      </c>
      <c r="U124">
        <v>28.54</v>
      </c>
      <c r="V124">
        <v>58.59</v>
      </c>
    </row>
    <row r="125" spans="1:22" x14ac:dyDescent="0.3">
      <c r="A125" s="2" t="s">
        <v>15</v>
      </c>
      <c r="B125">
        <v>560026</v>
      </c>
      <c r="C125" s="3">
        <v>43598</v>
      </c>
      <c r="D125">
        <v>39.700000000000003</v>
      </c>
      <c r="E125">
        <v>77.09</v>
      </c>
      <c r="F125">
        <v>39.869999999999997</v>
      </c>
      <c r="G125">
        <v>15.1</v>
      </c>
      <c r="H125">
        <v>3.31</v>
      </c>
      <c r="I125">
        <v>0.47</v>
      </c>
      <c r="J125">
        <v>59.43</v>
      </c>
      <c r="K125">
        <f t="shared" si="20"/>
        <v>66.166666666666671</v>
      </c>
      <c r="L125">
        <f t="shared" si="21"/>
        <v>77.09</v>
      </c>
      <c r="M125">
        <f t="shared" si="22"/>
        <v>49.837499999999991</v>
      </c>
      <c r="N125">
        <f t="shared" si="23"/>
        <v>3.7749999999999999</v>
      </c>
      <c r="O125">
        <f t="shared" si="24"/>
        <v>4.1375000000000002</v>
      </c>
      <c r="P125">
        <f t="shared" si="25"/>
        <v>5.3409090909090908</v>
      </c>
      <c r="Q125">
        <f t="shared" si="26"/>
        <v>65.471333333333334</v>
      </c>
      <c r="R125">
        <f t="shared" si="27"/>
        <v>77.09</v>
      </c>
      <c r="S125" t="str">
        <f t="shared" si="28"/>
        <v>Satisfactory</v>
      </c>
      <c r="T125" t="str">
        <f t="shared" si="29"/>
        <v>PM10</v>
      </c>
      <c r="U125">
        <v>27.48</v>
      </c>
      <c r="V125">
        <v>62.68</v>
      </c>
    </row>
    <row r="126" spans="1:22" x14ac:dyDescent="0.3">
      <c r="A126" s="2" t="s">
        <v>15</v>
      </c>
      <c r="B126">
        <v>560026</v>
      </c>
      <c r="C126" s="3">
        <v>43599</v>
      </c>
      <c r="D126">
        <v>44.01</v>
      </c>
      <c r="E126">
        <v>92.44</v>
      </c>
      <c r="F126">
        <v>44.61</v>
      </c>
      <c r="G126">
        <v>13.09</v>
      </c>
      <c r="H126">
        <v>2.87</v>
      </c>
      <c r="I126">
        <v>0.61</v>
      </c>
      <c r="J126">
        <v>50.86</v>
      </c>
      <c r="K126">
        <f t="shared" si="20"/>
        <v>73.349999999999994</v>
      </c>
      <c r="L126">
        <f t="shared" si="21"/>
        <v>92.44</v>
      </c>
      <c r="M126">
        <f t="shared" si="22"/>
        <v>55.762500000000003</v>
      </c>
      <c r="N126">
        <f t="shared" si="23"/>
        <v>3.2725</v>
      </c>
      <c r="O126">
        <f t="shared" si="24"/>
        <v>3.5874999999999999</v>
      </c>
      <c r="P126">
        <f t="shared" si="25"/>
        <v>6.9318181818181817</v>
      </c>
      <c r="Q126">
        <f t="shared" si="26"/>
        <v>47.092592592592595</v>
      </c>
      <c r="R126">
        <f t="shared" si="27"/>
        <v>92.44</v>
      </c>
      <c r="S126" t="str">
        <f t="shared" si="28"/>
        <v>Satisfactory</v>
      </c>
      <c r="T126" t="str">
        <f t="shared" si="29"/>
        <v>PM10</v>
      </c>
      <c r="U126">
        <v>28.41</v>
      </c>
      <c r="V126">
        <v>58.91</v>
      </c>
    </row>
    <row r="127" spans="1:22" x14ac:dyDescent="0.3">
      <c r="A127" s="2" t="s">
        <v>15</v>
      </c>
      <c r="B127">
        <v>560026</v>
      </c>
      <c r="C127" s="3">
        <v>43600</v>
      </c>
      <c r="D127">
        <v>34.46</v>
      </c>
      <c r="E127">
        <v>65.819999999999993</v>
      </c>
      <c r="F127">
        <v>40.56</v>
      </c>
      <c r="G127">
        <v>13.61</v>
      </c>
      <c r="H127">
        <v>2.78</v>
      </c>
      <c r="I127">
        <v>0.51</v>
      </c>
      <c r="J127">
        <v>44.03</v>
      </c>
      <c r="K127">
        <f t="shared" si="20"/>
        <v>57.433333333333337</v>
      </c>
      <c r="L127">
        <f t="shared" si="21"/>
        <v>65.819999999999993</v>
      </c>
      <c r="M127">
        <f t="shared" si="22"/>
        <v>50.7</v>
      </c>
      <c r="N127">
        <f t="shared" si="23"/>
        <v>3.4024999999999999</v>
      </c>
      <c r="O127">
        <f t="shared" si="24"/>
        <v>3.4750000000000001</v>
      </c>
      <c r="P127">
        <f t="shared" si="25"/>
        <v>5.795454545454545</v>
      </c>
      <c r="Q127">
        <f t="shared" si="26"/>
        <v>40.768518518518519</v>
      </c>
      <c r="R127">
        <f t="shared" si="27"/>
        <v>65.819999999999993</v>
      </c>
      <c r="S127" t="str">
        <f t="shared" si="28"/>
        <v>Satisfactory</v>
      </c>
      <c r="T127" t="str">
        <f t="shared" si="29"/>
        <v>PM10</v>
      </c>
      <c r="U127">
        <v>26.77</v>
      </c>
      <c r="V127">
        <v>70.91</v>
      </c>
    </row>
    <row r="128" spans="1:22" x14ac:dyDescent="0.3">
      <c r="A128" s="2" t="s">
        <v>15</v>
      </c>
      <c r="B128">
        <v>560026</v>
      </c>
      <c r="C128" s="3">
        <v>43601</v>
      </c>
      <c r="D128">
        <v>48.66</v>
      </c>
      <c r="E128">
        <v>106.62</v>
      </c>
      <c r="F128">
        <v>56.46</v>
      </c>
      <c r="G128">
        <v>13.57</v>
      </c>
      <c r="H128">
        <v>2.94</v>
      </c>
      <c r="I128">
        <v>0.94</v>
      </c>
      <c r="J128">
        <v>49.59</v>
      </c>
      <c r="K128">
        <f t="shared" si="20"/>
        <v>81.099999999999994</v>
      </c>
      <c r="L128">
        <f t="shared" si="21"/>
        <v>104.41333333333334</v>
      </c>
      <c r="M128">
        <f t="shared" si="22"/>
        <v>70.575000000000003</v>
      </c>
      <c r="N128">
        <f t="shared" si="23"/>
        <v>3.3925000000000001</v>
      </c>
      <c r="O128">
        <f t="shared" si="24"/>
        <v>3.6749999999999998</v>
      </c>
      <c r="P128">
        <f t="shared" si="25"/>
        <v>10.681818181818182</v>
      </c>
      <c r="Q128">
        <f t="shared" si="26"/>
        <v>45.916666666666671</v>
      </c>
      <c r="R128">
        <f t="shared" si="27"/>
        <v>104.41333333333334</v>
      </c>
      <c r="S128" t="str">
        <f t="shared" si="28"/>
        <v>Moderate</v>
      </c>
      <c r="T128" t="str">
        <f t="shared" si="29"/>
        <v>PM10</v>
      </c>
      <c r="U128">
        <v>25.99</v>
      </c>
      <c r="V128">
        <v>60.34</v>
      </c>
    </row>
    <row r="129" spans="1:22" x14ac:dyDescent="0.3">
      <c r="A129" s="2" t="s">
        <v>15</v>
      </c>
      <c r="B129">
        <v>560026</v>
      </c>
      <c r="C129" s="3">
        <v>43602</v>
      </c>
      <c r="D129">
        <v>44.03</v>
      </c>
      <c r="E129">
        <v>95.11</v>
      </c>
      <c r="F129">
        <v>56.36</v>
      </c>
      <c r="G129">
        <v>16.66</v>
      </c>
      <c r="H129">
        <v>2.64</v>
      </c>
      <c r="I129">
        <v>1.01</v>
      </c>
      <c r="J129">
        <v>42.2</v>
      </c>
      <c r="K129">
        <f t="shared" si="20"/>
        <v>73.383333333333326</v>
      </c>
      <c r="L129">
        <f t="shared" si="21"/>
        <v>95.11</v>
      </c>
      <c r="M129">
        <f t="shared" si="22"/>
        <v>70.45</v>
      </c>
      <c r="N129">
        <f t="shared" si="23"/>
        <v>4.165</v>
      </c>
      <c r="O129">
        <f t="shared" si="24"/>
        <v>3.3</v>
      </c>
      <c r="P129">
        <f t="shared" si="25"/>
        <v>11.477272727272727</v>
      </c>
      <c r="Q129">
        <f t="shared" si="26"/>
        <v>39.074074074074076</v>
      </c>
      <c r="R129">
        <f t="shared" si="27"/>
        <v>95.11</v>
      </c>
      <c r="S129" t="str">
        <f t="shared" si="28"/>
        <v>Satisfactory</v>
      </c>
      <c r="T129" t="str">
        <f t="shared" si="29"/>
        <v>PM10</v>
      </c>
      <c r="U129">
        <v>19.329999999999998</v>
      </c>
      <c r="V129">
        <v>66</v>
      </c>
    </row>
    <row r="130" spans="1:22" x14ac:dyDescent="0.3">
      <c r="A130" s="2" t="s">
        <v>15</v>
      </c>
      <c r="B130">
        <v>560026</v>
      </c>
      <c r="C130" s="3">
        <v>43603</v>
      </c>
      <c r="D130">
        <v>61.49</v>
      </c>
      <c r="E130">
        <v>135.27000000000001</v>
      </c>
      <c r="F130">
        <v>59.5</v>
      </c>
      <c r="G130">
        <v>18.8</v>
      </c>
      <c r="H130">
        <v>2.5299999999999998</v>
      </c>
      <c r="I130">
        <v>0.86</v>
      </c>
      <c r="J130">
        <v>48.18</v>
      </c>
      <c r="K130">
        <f t="shared" si="20"/>
        <v>104.96666666666667</v>
      </c>
      <c r="L130">
        <f t="shared" si="21"/>
        <v>123.51333333333334</v>
      </c>
      <c r="M130">
        <f t="shared" si="22"/>
        <v>74.375</v>
      </c>
      <c r="N130">
        <f t="shared" si="23"/>
        <v>4.7</v>
      </c>
      <c r="O130">
        <f t="shared" si="24"/>
        <v>3.1624999999999996</v>
      </c>
      <c r="P130">
        <f t="shared" si="25"/>
        <v>9.7727272727272716</v>
      </c>
      <c r="Q130">
        <f t="shared" si="26"/>
        <v>44.611111111111114</v>
      </c>
      <c r="R130">
        <f t="shared" si="27"/>
        <v>123.51333333333334</v>
      </c>
      <c r="S130" t="str">
        <f t="shared" si="28"/>
        <v>Moderate</v>
      </c>
      <c r="T130" t="str">
        <f t="shared" si="29"/>
        <v>PM10</v>
      </c>
      <c r="U130">
        <v>16.329999999999998</v>
      </c>
      <c r="V130">
        <v>58.85</v>
      </c>
    </row>
    <row r="131" spans="1:22" x14ac:dyDescent="0.3">
      <c r="A131" s="2" t="s">
        <v>15</v>
      </c>
      <c r="B131">
        <v>560026</v>
      </c>
      <c r="C131" s="3">
        <v>43604</v>
      </c>
      <c r="D131">
        <v>50.01</v>
      </c>
      <c r="E131">
        <v>109.02</v>
      </c>
      <c r="F131">
        <v>48.64</v>
      </c>
      <c r="G131">
        <v>17.329999999999998</v>
      </c>
      <c r="H131">
        <v>2.8</v>
      </c>
      <c r="I131">
        <v>0.7</v>
      </c>
      <c r="J131">
        <v>50.39</v>
      </c>
      <c r="K131">
        <f t="shared" si="20"/>
        <v>83.35</v>
      </c>
      <c r="L131">
        <f t="shared" si="21"/>
        <v>106.01333333333334</v>
      </c>
      <c r="M131">
        <f t="shared" si="22"/>
        <v>60.8</v>
      </c>
      <c r="N131">
        <f t="shared" si="23"/>
        <v>4.3324999999999996</v>
      </c>
      <c r="O131">
        <f t="shared" si="24"/>
        <v>3.5</v>
      </c>
      <c r="P131">
        <f t="shared" si="25"/>
        <v>7.9545454545454541</v>
      </c>
      <c r="Q131">
        <f t="shared" si="26"/>
        <v>46.657407407407405</v>
      </c>
      <c r="R131">
        <f t="shared" si="27"/>
        <v>106.01333333333334</v>
      </c>
      <c r="S131" t="str">
        <f t="shared" si="28"/>
        <v>Moderate</v>
      </c>
      <c r="T131" t="str">
        <f t="shared" si="29"/>
        <v>PM10</v>
      </c>
      <c r="U131">
        <v>22.32</v>
      </c>
      <c r="V131">
        <v>59.06</v>
      </c>
    </row>
    <row r="132" spans="1:22" x14ac:dyDescent="0.3">
      <c r="A132" s="2" t="s">
        <v>15</v>
      </c>
      <c r="B132">
        <v>560026</v>
      </c>
      <c r="C132" s="3">
        <v>43605</v>
      </c>
      <c r="D132">
        <v>53.28</v>
      </c>
      <c r="E132">
        <v>115.05</v>
      </c>
      <c r="F132">
        <v>50.5</v>
      </c>
      <c r="G132">
        <v>17</v>
      </c>
      <c r="H132">
        <v>2.92</v>
      </c>
      <c r="I132">
        <v>0.71</v>
      </c>
      <c r="J132">
        <v>45.3</v>
      </c>
      <c r="K132">
        <f t="shared" si="20"/>
        <v>88.8</v>
      </c>
      <c r="L132">
        <f t="shared" si="21"/>
        <v>110.03333333333333</v>
      </c>
      <c r="M132">
        <f t="shared" si="22"/>
        <v>63.125</v>
      </c>
      <c r="N132">
        <f t="shared" si="23"/>
        <v>4.25</v>
      </c>
      <c r="O132">
        <f t="shared" si="24"/>
        <v>3.65</v>
      </c>
      <c r="P132">
        <f t="shared" si="25"/>
        <v>8.0681818181818183</v>
      </c>
      <c r="Q132">
        <f t="shared" si="26"/>
        <v>41.944444444444443</v>
      </c>
      <c r="R132">
        <f t="shared" si="27"/>
        <v>110.03333333333333</v>
      </c>
      <c r="S132" t="str">
        <f t="shared" si="28"/>
        <v>Moderate</v>
      </c>
      <c r="T132" t="str">
        <f t="shared" si="29"/>
        <v>PM10</v>
      </c>
      <c r="U132">
        <v>23.41</v>
      </c>
      <c r="V132">
        <v>58.55</v>
      </c>
    </row>
    <row r="133" spans="1:22" x14ac:dyDescent="0.3">
      <c r="A133" s="2" t="s">
        <v>15</v>
      </c>
      <c r="B133">
        <v>560026</v>
      </c>
      <c r="C133" s="3">
        <v>43606</v>
      </c>
      <c r="D133">
        <v>48.07</v>
      </c>
      <c r="E133">
        <v>98.71</v>
      </c>
      <c r="F133">
        <v>40.729999999999997</v>
      </c>
      <c r="G133">
        <v>15.5</v>
      </c>
      <c r="H133">
        <v>3.45</v>
      </c>
      <c r="I133">
        <v>0.56000000000000005</v>
      </c>
      <c r="J133">
        <v>61.79</v>
      </c>
      <c r="K133">
        <f t="shared" si="20"/>
        <v>80.116666666666674</v>
      </c>
      <c r="L133">
        <f t="shared" si="21"/>
        <v>98.71</v>
      </c>
      <c r="M133">
        <f t="shared" si="22"/>
        <v>50.912499999999994</v>
      </c>
      <c r="N133">
        <f t="shared" si="23"/>
        <v>3.875</v>
      </c>
      <c r="O133">
        <f t="shared" si="24"/>
        <v>4.3125</v>
      </c>
      <c r="P133">
        <f t="shared" si="25"/>
        <v>6.3636363636363642</v>
      </c>
      <c r="Q133">
        <f t="shared" si="26"/>
        <v>73.180666666666667</v>
      </c>
      <c r="R133">
        <f t="shared" si="27"/>
        <v>98.71</v>
      </c>
      <c r="S133" t="str">
        <f t="shared" si="28"/>
        <v>Satisfactory</v>
      </c>
      <c r="T133" t="str">
        <f t="shared" si="29"/>
        <v>PM10</v>
      </c>
      <c r="U133">
        <v>23.05</v>
      </c>
      <c r="V133">
        <v>55.68</v>
      </c>
    </row>
    <row r="134" spans="1:22" x14ac:dyDescent="0.3">
      <c r="A134" s="2" t="s">
        <v>15</v>
      </c>
      <c r="B134">
        <v>560026</v>
      </c>
      <c r="C134" s="3">
        <v>43607</v>
      </c>
      <c r="D134">
        <v>41.23</v>
      </c>
      <c r="E134">
        <v>93.73</v>
      </c>
      <c r="F134">
        <v>45.35</v>
      </c>
      <c r="G134">
        <v>13.89</v>
      </c>
      <c r="H134">
        <v>3.18</v>
      </c>
      <c r="I134">
        <v>0.72</v>
      </c>
      <c r="J134">
        <v>74.55</v>
      </c>
      <c r="K134">
        <f t="shared" si="20"/>
        <v>68.716666666666669</v>
      </c>
      <c r="L134">
        <f t="shared" si="21"/>
        <v>93.73</v>
      </c>
      <c r="M134">
        <f t="shared" si="22"/>
        <v>56.6875</v>
      </c>
      <c r="N134">
        <f t="shared" si="23"/>
        <v>3.4725000000000001</v>
      </c>
      <c r="O134">
        <f t="shared" si="24"/>
        <v>3.9750000000000001</v>
      </c>
      <c r="P134">
        <f t="shared" si="25"/>
        <v>8.1818181818181817</v>
      </c>
      <c r="Q134">
        <f t="shared" si="26"/>
        <v>113.42499999999998</v>
      </c>
      <c r="R134">
        <f t="shared" si="27"/>
        <v>113.42499999999998</v>
      </c>
      <c r="S134" t="str">
        <f t="shared" si="28"/>
        <v>Moderate</v>
      </c>
      <c r="T134" t="str">
        <f t="shared" si="29"/>
        <v>OZONE</v>
      </c>
      <c r="U134">
        <v>19.440000000000001</v>
      </c>
      <c r="V134">
        <v>61.19</v>
      </c>
    </row>
    <row r="135" spans="1:22" x14ac:dyDescent="0.3">
      <c r="A135" s="2" t="s">
        <v>15</v>
      </c>
      <c r="B135">
        <v>560026</v>
      </c>
      <c r="C135" s="3">
        <v>43608</v>
      </c>
      <c r="D135">
        <v>50.9</v>
      </c>
      <c r="E135">
        <v>94.71</v>
      </c>
      <c r="F135">
        <v>53.17</v>
      </c>
      <c r="G135">
        <v>17.54</v>
      </c>
      <c r="H135">
        <v>2.39</v>
      </c>
      <c r="I135">
        <v>0.68</v>
      </c>
      <c r="J135">
        <v>40.479999999999997</v>
      </c>
      <c r="K135">
        <f t="shared" si="20"/>
        <v>84.833333333333343</v>
      </c>
      <c r="L135">
        <f t="shared" si="21"/>
        <v>94.71</v>
      </c>
      <c r="M135">
        <f t="shared" si="22"/>
        <v>66.462500000000006</v>
      </c>
      <c r="N135">
        <f t="shared" si="23"/>
        <v>4.3849999999999998</v>
      </c>
      <c r="O135">
        <f t="shared" si="24"/>
        <v>2.9874999999999998</v>
      </c>
      <c r="P135">
        <f t="shared" si="25"/>
        <v>7.7272727272727275</v>
      </c>
      <c r="Q135">
        <f t="shared" si="26"/>
        <v>37.481481481481481</v>
      </c>
      <c r="R135">
        <f t="shared" si="27"/>
        <v>94.71</v>
      </c>
      <c r="S135" t="str">
        <f t="shared" si="28"/>
        <v>Satisfactory</v>
      </c>
      <c r="T135" t="str">
        <f t="shared" si="29"/>
        <v>PM10</v>
      </c>
      <c r="U135">
        <v>22.86</v>
      </c>
      <c r="V135">
        <v>68.86</v>
      </c>
    </row>
    <row r="136" spans="1:22" x14ac:dyDescent="0.3">
      <c r="A136" s="2" t="s">
        <v>15</v>
      </c>
      <c r="B136">
        <v>560026</v>
      </c>
      <c r="C136" s="3">
        <v>43609</v>
      </c>
      <c r="D136">
        <v>46.69</v>
      </c>
      <c r="E136">
        <v>75.88</v>
      </c>
      <c r="F136">
        <v>46.54</v>
      </c>
      <c r="G136">
        <v>16.02</v>
      </c>
      <c r="H136">
        <v>2.04</v>
      </c>
      <c r="I136">
        <v>0.53</v>
      </c>
      <c r="J136">
        <v>59.53</v>
      </c>
      <c r="K136">
        <f t="shared" si="20"/>
        <v>77.816666666666663</v>
      </c>
      <c r="L136">
        <f t="shared" si="21"/>
        <v>75.88</v>
      </c>
      <c r="M136">
        <f t="shared" si="22"/>
        <v>58.174999999999997</v>
      </c>
      <c r="N136">
        <f t="shared" si="23"/>
        <v>4.0049999999999999</v>
      </c>
      <c r="O136">
        <f t="shared" si="24"/>
        <v>2.5499999999999998</v>
      </c>
      <c r="P136">
        <f t="shared" si="25"/>
        <v>6.0227272727272725</v>
      </c>
      <c r="Q136">
        <f t="shared" si="26"/>
        <v>65.798000000000002</v>
      </c>
      <c r="R136">
        <f t="shared" si="27"/>
        <v>77.816666666666663</v>
      </c>
      <c r="S136" t="str">
        <f t="shared" si="28"/>
        <v>Satisfactory</v>
      </c>
      <c r="T136" t="str">
        <f t="shared" si="29"/>
        <v>PM2.5</v>
      </c>
      <c r="U136">
        <v>27.29</v>
      </c>
      <c r="V136">
        <v>64.42</v>
      </c>
    </row>
    <row r="137" spans="1:22" x14ac:dyDescent="0.3">
      <c r="A137" s="2" t="s">
        <v>15</v>
      </c>
      <c r="B137">
        <v>560026</v>
      </c>
      <c r="C137" s="3">
        <v>43610</v>
      </c>
      <c r="D137">
        <v>35.270000000000003</v>
      </c>
      <c r="E137">
        <v>64.66</v>
      </c>
      <c r="F137">
        <v>42.34</v>
      </c>
      <c r="G137">
        <v>13.97</v>
      </c>
      <c r="H137">
        <v>3.12</v>
      </c>
      <c r="I137">
        <v>0.47</v>
      </c>
      <c r="J137">
        <v>68.7</v>
      </c>
      <c r="K137">
        <f t="shared" si="20"/>
        <v>58.783333333333339</v>
      </c>
      <c r="L137">
        <f t="shared" si="21"/>
        <v>64.66</v>
      </c>
      <c r="M137">
        <f t="shared" si="22"/>
        <v>52.925000000000004</v>
      </c>
      <c r="N137">
        <f t="shared" si="23"/>
        <v>3.4925000000000002</v>
      </c>
      <c r="O137">
        <f t="shared" si="24"/>
        <v>3.9</v>
      </c>
      <c r="P137">
        <f t="shared" si="25"/>
        <v>5.3409090909090908</v>
      </c>
      <c r="Q137">
        <f t="shared" si="26"/>
        <v>95.753333333333345</v>
      </c>
      <c r="R137">
        <f t="shared" si="27"/>
        <v>95.753333333333345</v>
      </c>
      <c r="S137" t="str">
        <f t="shared" si="28"/>
        <v>Satisfactory</v>
      </c>
      <c r="T137" t="str">
        <f t="shared" si="29"/>
        <v>OZONE</v>
      </c>
      <c r="U137">
        <v>26.9</v>
      </c>
      <c r="V137">
        <v>65.36</v>
      </c>
    </row>
    <row r="138" spans="1:22" x14ac:dyDescent="0.3">
      <c r="A138" s="2" t="s">
        <v>15</v>
      </c>
      <c r="B138">
        <v>560026</v>
      </c>
      <c r="C138" s="3">
        <v>43612</v>
      </c>
      <c r="D138">
        <v>41.88</v>
      </c>
      <c r="E138">
        <v>78.099999999999994</v>
      </c>
      <c r="F138">
        <v>56.44</v>
      </c>
      <c r="G138">
        <v>14.74</v>
      </c>
      <c r="H138">
        <v>3.25</v>
      </c>
      <c r="I138">
        <v>0.74</v>
      </c>
      <c r="J138">
        <v>78.900000000000006</v>
      </c>
      <c r="K138">
        <f t="shared" si="20"/>
        <v>69.800000000000011</v>
      </c>
      <c r="L138">
        <f t="shared" si="21"/>
        <v>78.099999999999994</v>
      </c>
      <c r="M138">
        <f t="shared" si="22"/>
        <v>70.55</v>
      </c>
      <c r="N138">
        <f t="shared" si="23"/>
        <v>3.6850000000000001</v>
      </c>
      <c r="O138">
        <f t="shared" si="24"/>
        <v>4.0625</v>
      </c>
      <c r="P138">
        <f t="shared" si="25"/>
        <v>8.4090909090909083</v>
      </c>
      <c r="Q138">
        <f t="shared" si="26"/>
        <v>128.65000000000003</v>
      </c>
      <c r="R138">
        <f t="shared" si="27"/>
        <v>128.65000000000003</v>
      </c>
      <c r="S138" t="str">
        <f t="shared" si="28"/>
        <v>Moderate</v>
      </c>
      <c r="T138" t="str">
        <f t="shared" si="29"/>
        <v>OZONE</v>
      </c>
      <c r="U138">
        <v>28.08</v>
      </c>
      <c r="V138">
        <v>59.96</v>
      </c>
    </row>
    <row r="139" spans="1:22" x14ac:dyDescent="0.3">
      <c r="A139" s="2" t="s">
        <v>15</v>
      </c>
      <c r="B139">
        <v>560026</v>
      </c>
      <c r="C139" s="3">
        <v>43613</v>
      </c>
      <c r="D139">
        <v>50.23</v>
      </c>
      <c r="E139">
        <v>96.08</v>
      </c>
      <c r="F139">
        <v>44.25</v>
      </c>
      <c r="G139">
        <v>15.79</v>
      </c>
      <c r="H139">
        <v>3.42</v>
      </c>
      <c r="I139">
        <v>0.56000000000000005</v>
      </c>
      <c r="J139">
        <v>57.4</v>
      </c>
      <c r="K139">
        <f t="shared" si="20"/>
        <v>83.716666666666669</v>
      </c>
      <c r="L139">
        <f t="shared" si="21"/>
        <v>96.08</v>
      </c>
      <c r="M139">
        <f t="shared" si="22"/>
        <v>55.3125</v>
      </c>
      <c r="N139">
        <f t="shared" si="23"/>
        <v>3.9474999999999998</v>
      </c>
      <c r="O139">
        <f t="shared" si="24"/>
        <v>4.2750000000000004</v>
      </c>
      <c r="P139">
        <f t="shared" si="25"/>
        <v>6.3636363636363642</v>
      </c>
      <c r="Q139">
        <f t="shared" si="26"/>
        <v>58.839999999999996</v>
      </c>
      <c r="R139">
        <f t="shared" si="27"/>
        <v>96.08</v>
      </c>
      <c r="S139" t="str">
        <f t="shared" si="28"/>
        <v>Satisfactory</v>
      </c>
      <c r="T139" t="str">
        <f t="shared" si="29"/>
        <v>PM10</v>
      </c>
      <c r="U139">
        <v>28.54</v>
      </c>
      <c r="V139">
        <v>62.74</v>
      </c>
    </row>
    <row r="140" spans="1:22" x14ac:dyDescent="0.3">
      <c r="A140" s="2" t="s">
        <v>15</v>
      </c>
      <c r="B140">
        <v>560026</v>
      </c>
      <c r="C140" s="3">
        <v>43615</v>
      </c>
      <c r="D140">
        <v>66.39</v>
      </c>
      <c r="E140">
        <v>108.16</v>
      </c>
      <c r="F140">
        <v>37.39</v>
      </c>
      <c r="G140">
        <v>14.74</v>
      </c>
      <c r="H140">
        <v>2.1</v>
      </c>
      <c r="I140">
        <v>0.51</v>
      </c>
      <c r="J140">
        <v>78.02</v>
      </c>
      <c r="K140">
        <f t="shared" si="20"/>
        <v>121.3</v>
      </c>
      <c r="L140">
        <f t="shared" si="21"/>
        <v>105.44</v>
      </c>
      <c r="M140">
        <f t="shared" si="22"/>
        <v>46.737499999999997</v>
      </c>
      <c r="N140">
        <f t="shared" si="23"/>
        <v>3.6850000000000001</v>
      </c>
      <c r="O140">
        <f t="shared" si="24"/>
        <v>2.625</v>
      </c>
      <c r="P140">
        <f t="shared" si="25"/>
        <v>5.795454545454545</v>
      </c>
      <c r="Q140">
        <f t="shared" si="26"/>
        <v>125.57</v>
      </c>
      <c r="R140">
        <f t="shared" si="27"/>
        <v>125.57</v>
      </c>
      <c r="S140" t="str">
        <f t="shared" si="28"/>
        <v>Moderate</v>
      </c>
      <c r="T140" t="str">
        <f t="shared" si="29"/>
        <v>OZONE</v>
      </c>
      <c r="U140">
        <v>28.35</v>
      </c>
      <c r="V140">
        <v>59.84</v>
      </c>
    </row>
    <row r="141" spans="1:22" x14ac:dyDescent="0.3">
      <c r="A141" s="2" t="s">
        <v>15</v>
      </c>
      <c r="B141">
        <v>560026</v>
      </c>
      <c r="C141" s="3">
        <v>43617</v>
      </c>
      <c r="D141">
        <v>41.74</v>
      </c>
      <c r="E141">
        <v>79.180000000000007</v>
      </c>
      <c r="F141">
        <v>43.62</v>
      </c>
      <c r="G141">
        <v>12.27</v>
      </c>
      <c r="H141">
        <v>3.22</v>
      </c>
      <c r="I141">
        <v>0.68</v>
      </c>
      <c r="J141">
        <v>59.32</v>
      </c>
      <c r="K141">
        <f t="shared" si="20"/>
        <v>69.566666666666663</v>
      </c>
      <c r="L141">
        <f t="shared" si="21"/>
        <v>79.180000000000007</v>
      </c>
      <c r="M141">
        <f t="shared" si="22"/>
        <v>54.524999999999999</v>
      </c>
      <c r="N141">
        <f t="shared" si="23"/>
        <v>3.0674999999999999</v>
      </c>
      <c r="O141">
        <f t="shared" si="24"/>
        <v>4.0250000000000004</v>
      </c>
      <c r="P141">
        <f t="shared" si="25"/>
        <v>7.7272727272727275</v>
      </c>
      <c r="Q141">
        <f t="shared" si="26"/>
        <v>65.111999999999995</v>
      </c>
      <c r="R141">
        <f t="shared" si="27"/>
        <v>79.180000000000007</v>
      </c>
      <c r="S141" t="str">
        <f t="shared" si="28"/>
        <v>Satisfactory</v>
      </c>
      <c r="T141" t="str">
        <f t="shared" si="29"/>
        <v>PM10</v>
      </c>
      <c r="U141">
        <v>27.55</v>
      </c>
      <c r="V141">
        <v>63.93</v>
      </c>
    </row>
    <row r="142" spans="1:22" x14ac:dyDescent="0.3">
      <c r="A142" s="2" t="s">
        <v>15</v>
      </c>
      <c r="B142">
        <v>560026</v>
      </c>
      <c r="C142" s="3">
        <v>43618</v>
      </c>
      <c r="D142">
        <v>37.93</v>
      </c>
      <c r="E142">
        <v>57.62</v>
      </c>
      <c r="F142">
        <v>22.82</v>
      </c>
      <c r="G142">
        <v>13.07</v>
      </c>
      <c r="H142">
        <v>2.59</v>
      </c>
      <c r="I142">
        <v>0.33</v>
      </c>
      <c r="J142">
        <v>59.56</v>
      </c>
      <c r="K142">
        <f t="shared" si="20"/>
        <v>63.216666666666669</v>
      </c>
      <c r="L142">
        <f t="shared" si="21"/>
        <v>57.62</v>
      </c>
      <c r="M142">
        <f t="shared" si="22"/>
        <v>28.524999999999999</v>
      </c>
      <c r="N142">
        <f t="shared" si="23"/>
        <v>3.2675000000000001</v>
      </c>
      <c r="O142">
        <f t="shared" si="24"/>
        <v>3.2374999999999998</v>
      </c>
      <c r="P142">
        <f t="shared" si="25"/>
        <v>3.75</v>
      </c>
      <c r="Q142">
        <f t="shared" si="26"/>
        <v>65.896000000000015</v>
      </c>
      <c r="R142">
        <f t="shared" si="27"/>
        <v>65.896000000000015</v>
      </c>
      <c r="S142" t="str">
        <f t="shared" si="28"/>
        <v>Satisfactory</v>
      </c>
      <c r="T142" t="str">
        <f t="shared" si="29"/>
        <v>OZONE</v>
      </c>
      <c r="U142">
        <v>27.18</v>
      </c>
      <c r="V142">
        <v>71.849999999999994</v>
      </c>
    </row>
    <row r="143" spans="1:22" x14ac:dyDescent="0.3">
      <c r="A143" s="2" t="s">
        <v>15</v>
      </c>
      <c r="B143">
        <v>560026</v>
      </c>
      <c r="C143" s="3">
        <v>43619</v>
      </c>
      <c r="D143">
        <v>29.78</v>
      </c>
      <c r="E143">
        <v>47.34</v>
      </c>
      <c r="F143">
        <v>36.65</v>
      </c>
      <c r="G143">
        <v>11.3</v>
      </c>
      <c r="H143">
        <v>3.13</v>
      </c>
      <c r="I143">
        <v>0.48</v>
      </c>
      <c r="J143">
        <v>70.239999999999995</v>
      </c>
      <c r="K143">
        <f t="shared" si="20"/>
        <v>49.633333333333333</v>
      </c>
      <c r="L143">
        <f t="shared" si="21"/>
        <v>47.34</v>
      </c>
      <c r="M143">
        <f t="shared" si="22"/>
        <v>45.8125</v>
      </c>
      <c r="N143">
        <f t="shared" si="23"/>
        <v>2.8250000000000002</v>
      </c>
      <c r="O143">
        <f t="shared" si="24"/>
        <v>3.9125000000000001</v>
      </c>
      <c r="P143">
        <f t="shared" si="25"/>
        <v>5.4545454545454541</v>
      </c>
      <c r="Q143">
        <f t="shared" si="26"/>
        <v>98.339999999999975</v>
      </c>
      <c r="R143">
        <f t="shared" si="27"/>
        <v>98.339999999999975</v>
      </c>
      <c r="S143" t="str">
        <f t="shared" si="28"/>
        <v>Satisfactory</v>
      </c>
      <c r="T143" t="str">
        <f t="shared" si="29"/>
        <v>OZONE</v>
      </c>
      <c r="U143">
        <v>26.46</v>
      </c>
      <c r="V143">
        <v>70.239999999999995</v>
      </c>
    </row>
    <row r="144" spans="1:22" x14ac:dyDescent="0.3">
      <c r="A144" s="2" t="s">
        <v>15</v>
      </c>
      <c r="B144">
        <v>560026</v>
      </c>
      <c r="C144" s="3">
        <v>43620</v>
      </c>
      <c r="D144">
        <v>36.96</v>
      </c>
      <c r="E144">
        <v>55.7</v>
      </c>
      <c r="F144">
        <v>25.75</v>
      </c>
      <c r="G144">
        <v>12.81</v>
      </c>
      <c r="H144">
        <v>2.95</v>
      </c>
      <c r="I144">
        <v>0.35</v>
      </c>
      <c r="J144">
        <v>26.6</v>
      </c>
      <c r="K144">
        <f t="shared" si="20"/>
        <v>61.6</v>
      </c>
      <c r="L144">
        <f t="shared" si="21"/>
        <v>55.7</v>
      </c>
      <c r="M144">
        <f t="shared" si="22"/>
        <v>32.1875</v>
      </c>
      <c r="N144">
        <f t="shared" si="23"/>
        <v>3.2025000000000001</v>
      </c>
      <c r="O144">
        <f t="shared" si="24"/>
        <v>3.6875</v>
      </c>
      <c r="P144">
        <f t="shared" si="25"/>
        <v>3.9772727272727271</v>
      </c>
      <c r="Q144">
        <f t="shared" si="26"/>
        <v>24.62962962962963</v>
      </c>
      <c r="R144">
        <f t="shared" si="27"/>
        <v>61.6</v>
      </c>
      <c r="S144" t="str">
        <f t="shared" si="28"/>
        <v>Satisfactory</v>
      </c>
      <c r="T144" t="str">
        <f t="shared" si="29"/>
        <v>PM2.5</v>
      </c>
      <c r="U144">
        <v>25.83</v>
      </c>
      <c r="V144">
        <v>75.28</v>
      </c>
    </row>
    <row r="145" spans="1:22" x14ac:dyDescent="0.3">
      <c r="A145" s="2" t="s">
        <v>15</v>
      </c>
      <c r="B145">
        <v>560026</v>
      </c>
      <c r="C145" s="3">
        <v>43621</v>
      </c>
      <c r="D145">
        <v>35.080416669999998</v>
      </c>
      <c r="E145">
        <v>60.744166669999998</v>
      </c>
      <c r="F145">
        <v>24.345833330000001</v>
      </c>
      <c r="G145">
        <v>11.338333329999999</v>
      </c>
      <c r="H145">
        <v>2.8537499999999998</v>
      </c>
      <c r="I145">
        <v>0.34875</v>
      </c>
      <c r="J145">
        <v>28.63</v>
      </c>
      <c r="K145">
        <f t="shared" si="20"/>
        <v>58.467361116666666</v>
      </c>
      <c r="L145">
        <f t="shared" si="21"/>
        <v>60.744166669999998</v>
      </c>
      <c r="M145">
        <f t="shared" si="22"/>
        <v>30.432291662499999</v>
      </c>
      <c r="N145">
        <f t="shared" si="23"/>
        <v>2.8345833325000003</v>
      </c>
      <c r="O145">
        <f t="shared" si="24"/>
        <v>3.5671875000000002</v>
      </c>
      <c r="P145">
        <f t="shared" si="25"/>
        <v>3.9630681818181817</v>
      </c>
      <c r="Q145">
        <f t="shared" si="26"/>
        <v>26.50925925925926</v>
      </c>
      <c r="R145">
        <f t="shared" si="27"/>
        <v>60.744166669999998</v>
      </c>
      <c r="S145" t="str">
        <f t="shared" si="28"/>
        <v>Satisfactory</v>
      </c>
      <c r="T145" t="str">
        <f t="shared" si="29"/>
        <v>PM10</v>
      </c>
      <c r="U145">
        <v>26.754999999999999</v>
      </c>
      <c r="V145">
        <v>70.325000000000003</v>
      </c>
    </row>
    <row r="146" spans="1:22" x14ac:dyDescent="0.3">
      <c r="A146" s="2" t="s">
        <v>15</v>
      </c>
      <c r="B146">
        <v>560026</v>
      </c>
      <c r="C146" s="3">
        <v>43622</v>
      </c>
      <c r="D146">
        <v>35.080416669999998</v>
      </c>
      <c r="E146">
        <v>60.744166669999998</v>
      </c>
      <c r="F146">
        <v>24.345833330000001</v>
      </c>
      <c r="G146">
        <v>11.338333329999999</v>
      </c>
      <c r="H146">
        <v>2.8537499999999998</v>
      </c>
      <c r="I146">
        <v>0.34875</v>
      </c>
      <c r="J146">
        <v>28.63</v>
      </c>
      <c r="K146">
        <f t="shared" si="20"/>
        <v>58.467361116666666</v>
      </c>
      <c r="L146">
        <f t="shared" si="21"/>
        <v>60.744166669999998</v>
      </c>
      <c r="M146">
        <f t="shared" si="22"/>
        <v>30.432291662499999</v>
      </c>
      <c r="N146">
        <f t="shared" si="23"/>
        <v>2.8345833325000003</v>
      </c>
      <c r="O146">
        <f t="shared" si="24"/>
        <v>3.5671875000000002</v>
      </c>
      <c r="P146">
        <f t="shared" si="25"/>
        <v>3.9630681818181817</v>
      </c>
      <c r="Q146">
        <f t="shared" si="26"/>
        <v>26.50925925925926</v>
      </c>
      <c r="R146">
        <f t="shared" si="27"/>
        <v>60.744166669999998</v>
      </c>
      <c r="S146" t="str">
        <f t="shared" si="28"/>
        <v>Satisfactory</v>
      </c>
      <c r="T146" t="str">
        <f t="shared" si="29"/>
        <v>PM10</v>
      </c>
      <c r="U146">
        <v>26.754999999999999</v>
      </c>
      <c r="V146">
        <v>70.325000000000003</v>
      </c>
    </row>
    <row r="147" spans="1:22" x14ac:dyDescent="0.3">
      <c r="A147" s="2" t="s">
        <v>15</v>
      </c>
      <c r="B147">
        <v>560026</v>
      </c>
      <c r="C147" s="3">
        <v>43623</v>
      </c>
      <c r="D147">
        <v>35.080416669999998</v>
      </c>
      <c r="E147">
        <v>60.744166669999998</v>
      </c>
      <c r="F147">
        <v>24.345833330000001</v>
      </c>
      <c r="G147">
        <v>11.338333329999999</v>
      </c>
      <c r="H147">
        <v>2.8537499999999998</v>
      </c>
      <c r="I147">
        <v>0.34875</v>
      </c>
      <c r="J147">
        <v>28.63</v>
      </c>
      <c r="K147">
        <f t="shared" si="20"/>
        <v>58.467361116666666</v>
      </c>
      <c r="L147">
        <f t="shared" si="21"/>
        <v>60.744166669999998</v>
      </c>
      <c r="M147">
        <f t="shared" si="22"/>
        <v>30.432291662499999</v>
      </c>
      <c r="N147">
        <f t="shared" si="23"/>
        <v>2.8345833325000003</v>
      </c>
      <c r="O147">
        <f t="shared" si="24"/>
        <v>3.5671875000000002</v>
      </c>
      <c r="P147">
        <f t="shared" si="25"/>
        <v>3.9630681818181817</v>
      </c>
      <c r="Q147">
        <f t="shared" si="26"/>
        <v>26.50925925925926</v>
      </c>
      <c r="R147">
        <f t="shared" si="27"/>
        <v>60.744166669999998</v>
      </c>
      <c r="S147" t="str">
        <f t="shared" si="28"/>
        <v>Satisfactory</v>
      </c>
      <c r="T147" t="str">
        <f t="shared" si="29"/>
        <v>PM10</v>
      </c>
      <c r="U147">
        <v>26.754999999999999</v>
      </c>
      <c r="V147">
        <v>70.325000000000003</v>
      </c>
    </row>
    <row r="148" spans="1:22" x14ac:dyDescent="0.3">
      <c r="A148" s="2" t="s">
        <v>15</v>
      </c>
      <c r="B148">
        <v>560026</v>
      </c>
      <c r="C148" s="3">
        <v>43624</v>
      </c>
      <c r="D148">
        <v>35.080416669999998</v>
      </c>
      <c r="E148">
        <v>60.744166669999998</v>
      </c>
      <c r="F148">
        <v>24.345833330000001</v>
      </c>
      <c r="G148">
        <v>11.338333329999999</v>
      </c>
      <c r="H148">
        <v>2.8537499999999998</v>
      </c>
      <c r="I148">
        <v>0.34875</v>
      </c>
      <c r="J148">
        <v>28.63</v>
      </c>
      <c r="K148">
        <f t="shared" si="20"/>
        <v>58.467361116666666</v>
      </c>
      <c r="L148">
        <f t="shared" si="21"/>
        <v>60.744166669999998</v>
      </c>
      <c r="M148">
        <f t="shared" si="22"/>
        <v>30.432291662499999</v>
      </c>
      <c r="N148">
        <f t="shared" si="23"/>
        <v>2.8345833325000003</v>
      </c>
      <c r="O148">
        <f t="shared" si="24"/>
        <v>3.5671875000000002</v>
      </c>
      <c r="P148">
        <f t="shared" si="25"/>
        <v>3.9630681818181817</v>
      </c>
      <c r="Q148">
        <f t="shared" si="26"/>
        <v>26.50925925925926</v>
      </c>
      <c r="R148">
        <f t="shared" si="27"/>
        <v>60.744166669999998</v>
      </c>
      <c r="S148" t="str">
        <f t="shared" si="28"/>
        <v>Satisfactory</v>
      </c>
      <c r="T148" t="str">
        <f t="shared" si="29"/>
        <v>PM10</v>
      </c>
      <c r="U148">
        <v>26.754999999999999</v>
      </c>
      <c r="V148">
        <v>70.325000000000003</v>
      </c>
    </row>
    <row r="149" spans="1:22" x14ac:dyDescent="0.3">
      <c r="A149" s="2" t="s">
        <v>15</v>
      </c>
      <c r="B149">
        <v>560026</v>
      </c>
      <c r="C149" s="3">
        <v>43625</v>
      </c>
      <c r="D149">
        <v>35.080416669999998</v>
      </c>
      <c r="E149">
        <v>60.744166669999998</v>
      </c>
      <c r="F149">
        <v>24.345833330000001</v>
      </c>
      <c r="G149">
        <v>11.338333329999999</v>
      </c>
      <c r="H149">
        <v>2.8537499999999998</v>
      </c>
      <c r="I149">
        <v>0.34875</v>
      </c>
      <c r="J149">
        <v>28.63</v>
      </c>
      <c r="K149">
        <f t="shared" si="20"/>
        <v>58.467361116666666</v>
      </c>
      <c r="L149">
        <f t="shared" si="21"/>
        <v>60.744166669999998</v>
      </c>
      <c r="M149">
        <f t="shared" si="22"/>
        <v>30.432291662499999</v>
      </c>
      <c r="N149">
        <f t="shared" si="23"/>
        <v>2.8345833325000003</v>
      </c>
      <c r="O149">
        <f t="shared" si="24"/>
        <v>3.5671875000000002</v>
      </c>
      <c r="P149">
        <f t="shared" si="25"/>
        <v>3.9630681818181817</v>
      </c>
      <c r="Q149">
        <f t="shared" si="26"/>
        <v>26.50925925925926</v>
      </c>
      <c r="R149">
        <f t="shared" si="27"/>
        <v>60.744166669999998</v>
      </c>
      <c r="S149" t="str">
        <f t="shared" si="28"/>
        <v>Satisfactory</v>
      </c>
      <c r="T149" t="str">
        <f t="shared" si="29"/>
        <v>PM10</v>
      </c>
      <c r="U149">
        <v>26.754999999999999</v>
      </c>
      <c r="V149">
        <v>70.325000000000003</v>
      </c>
    </row>
    <row r="150" spans="1:22" x14ac:dyDescent="0.3">
      <c r="A150" s="2" t="s">
        <v>15</v>
      </c>
      <c r="B150">
        <v>560026</v>
      </c>
      <c r="C150" s="3">
        <v>43626</v>
      </c>
      <c r="D150">
        <v>35.080416669999998</v>
      </c>
      <c r="E150">
        <v>60.744166669999998</v>
      </c>
      <c r="F150">
        <v>24.345833330000001</v>
      </c>
      <c r="G150">
        <v>11.338333329999999</v>
      </c>
      <c r="H150">
        <v>2.8537499999999998</v>
      </c>
      <c r="I150">
        <v>0.34875</v>
      </c>
      <c r="J150">
        <v>28.63</v>
      </c>
      <c r="K150">
        <f t="shared" si="20"/>
        <v>58.467361116666666</v>
      </c>
      <c r="L150">
        <f t="shared" si="21"/>
        <v>60.744166669999998</v>
      </c>
      <c r="M150">
        <f t="shared" si="22"/>
        <v>30.432291662499999</v>
      </c>
      <c r="N150">
        <f t="shared" si="23"/>
        <v>2.8345833325000003</v>
      </c>
      <c r="O150">
        <f t="shared" si="24"/>
        <v>3.5671875000000002</v>
      </c>
      <c r="P150">
        <f t="shared" si="25"/>
        <v>3.9630681818181817</v>
      </c>
      <c r="Q150">
        <f t="shared" si="26"/>
        <v>26.50925925925926</v>
      </c>
      <c r="R150">
        <f t="shared" si="27"/>
        <v>60.744166669999998</v>
      </c>
      <c r="S150" t="str">
        <f t="shared" si="28"/>
        <v>Satisfactory</v>
      </c>
      <c r="T150" t="str">
        <f t="shared" si="29"/>
        <v>PM10</v>
      </c>
      <c r="U150">
        <v>26.754999999999999</v>
      </c>
      <c r="V150">
        <v>70.325000000000003</v>
      </c>
    </row>
    <row r="151" spans="1:22" x14ac:dyDescent="0.3">
      <c r="A151" s="2" t="s">
        <v>15</v>
      </c>
      <c r="B151">
        <v>560026</v>
      </c>
      <c r="C151" s="3">
        <v>43627</v>
      </c>
      <c r="D151">
        <v>23.49</v>
      </c>
      <c r="E151">
        <v>47.02</v>
      </c>
      <c r="F151">
        <v>23.69</v>
      </c>
      <c r="G151">
        <v>9.52</v>
      </c>
      <c r="H151">
        <v>2.5299999999999998</v>
      </c>
      <c r="I151">
        <v>0.3</v>
      </c>
      <c r="J151">
        <v>27.35</v>
      </c>
      <c r="K151">
        <f t="shared" si="20"/>
        <v>39.15</v>
      </c>
      <c r="L151">
        <f t="shared" si="21"/>
        <v>47.02</v>
      </c>
      <c r="M151">
        <f t="shared" si="22"/>
        <v>29.612500000000001</v>
      </c>
      <c r="N151">
        <f t="shared" si="23"/>
        <v>2.38</v>
      </c>
      <c r="O151">
        <f t="shared" si="24"/>
        <v>3.1624999999999996</v>
      </c>
      <c r="P151">
        <f t="shared" si="25"/>
        <v>3.4090909090909087</v>
      </c>
      <c r="Q151">
        <f t="shared" si="26"/>
        <v>25.324074074074076</v>
      </c>
      <c r="R151">
        <f t="shared" si="27"/>
        <v>47.02</v>
      </c>
      <c r="S151" t="str">
        <f t="shared" si="28"/>
        <v>Good</v>
      </c>
      <c r="T151" t="str">
        <f t="shared" si="29"/>
        <v>PM10</v>
      </c>
      <c r="U151">
        <v>26.87</v>
      </c>
      <c r="V151">
        <v>63.98</v>
      </c>
    </row>
    <row r="152" spans="1:22" x14ac:dyDescent="0.3">
      <c r="A152" s="2" t="s">
        <v>15</v>
      </c>
      <c r="B152">
        <v>560026</v>
      </c>
      <c r="C152" s="3">
        <v>43628</v>
      </c>
      <c r="D152">
        <v>22.45</v>
      </c>
      <c r="E152">
        <v>42.42</v>
      </c>
      <c r="F152">
        <v>19.88</v>
      </c>
      <c r="G152">
        <v>9.86</v>
      </c>
      <c r="H152">
        <v>3.09</v>
      </c>
      <c r="I152">
        <v>0.21</v>
      </c>
      <c r="J152">
        <v>26.68</v>
      </c>
      <c r="K152">
        <f t="shared" si="20"/>
        <v>37.416666666666664</v>
      </c>
      <c r="L152">
        <f t="shared" si="21"/>
        <v>42.42</v>
      </c>
      <c r="M152">
        <f t="shared" si="22"/>
        <v>24.85</v>
      </c>
      <c r="N152">
        <f t="shared" si="23"/>
        <v>2.4649999999999999</v>
      </c>
      <c r="O152">
        <f t="shared" si="24"/>
        <v>3.8624999999999998</v>
      </c>
      <c r="P152">
        <f t="shared" si="25"/>
        <v>2.3863636363636362</v>
      </c>
      <c r="Q152">
        <f t="shared" si="26"/>
        <v>24.703703703703702</v>
      </c>
      <c r="R152">
        <f t="shared" si="27"/>
        <v>42.42</v>
      </c>
      <c r="S152" t="str">
        <f t="shared" si="28"/>
        <v>Good</v>
      </c>
      <c r="T152" t="str">
        <f t="shared" si="29"/>
        <v>PM10</v>
      </c>
      <c r="U152">
        <v>25.55</v>
      </c>
      <c r="V152">
        <v>71.86</v>
      </c>
    </row>
    <row r="153" spans="1:22" x14ac:dyDescent="0.3">
      <c r="A153" s="2" t="s">
        <v>15</v>
      </c>
      <c r="B153">
        <v>560026</v>
      </c>
      <c r="C153" s="3">
        <v>43629</v>
      </c>
      <c r="D153">
        <v>37.72</v>
      </c>
      <c r="E153">
        <v>62.66</v>
      </c>
      <c r="F153">
        <v>19.420000000000002</v>
      </c>
      <c r="G153">
        <v>9.61</v>
      </c>
      <c r="H153">
        <v>2.59</v>
      </c>
      <c r="I153">
        <v>0.33</v>
      </c>
      <c r="J153">
        <v>16.61</v>
      </c>
      <c r="K153">
        <f t="shared" si="20"/>
        <v>62.866666666666667</v>
      </c>
      <c r="L153">
        <f t="shared" si="21"/>
        <v>62.66</v>
      </c>
      <c r="M153">
        <f t="shared" si="22"/>
        <v>24.275000000000002</v>
      </c>
      <c r="N153">
        <f t="shared" si="23"/>
        <v>2.4024999999999999</v>
      </c>
      <c r="O153">
        <f t="shared" si="24"/>
        <v>3.2374999999999998</v>
      </c>
      <c r="P153">
        <f t="shared" si="25"/>
        <v>3.75</v>
      </c>
      <c r="Q153">
        <f t="shared" si="26"/>
        <v>15.37962962962963</v>
      </c>
      <c r="R153">
        <f t="shared" si="27"/>
        <v>62.866666666666667</v>
      </c>
      <c r="S153" t="str">
        <f t="shared" si="28"/>
        <v>Satisfactory</v>
      </c>
      <c r="T153" t="str">
        <f t="shared" si="29"/>
        <v>PM2.5</v>
      </c>
      <c r="U153">
        <v>26.28</v>
      </c>
      <c r="V153">
        <v>70.900000000000006</v>
      </c>
    </row>
    <row r="154" spans="1:22" x14ac:dyDescent="0.3">
      <c r="A154" s="2" t="s">
        <v>15</v>
      </c>
      <c r="B154">
        <v>560026</v>
      </c>
      <c r="C154" s="3">
        <v>43630</v>
      </c>
      <c r="D154">
        <v>38.6</v>
      </c>
      <c r="E154">
        <v>63.53</v>
      </c>
      <c r="F154">
        <v>18.829999999999998</v>
      </c>
      <c r="G154">
        <v>10.18</v>
      </c>
      <c r="H154">
        <v>2.5299999999999998</v>
      </c>
      <c r="I154">
        <v>0.42</v>
      </c>
      <c r="J154">
        <v>13.96</v>
      </c>
      <c r="K154">
        <f t="shared" si="20"/>
        <v>64.333333333333343</v>
      </c>
      <c r="L154">
        <f t="shared" si="21"/>
        <v>63.53</v>
      </c>
      <c r="M154">
        <f t="shared" si="22"/>
        <v>23.537499999999998</v>
      </c>
      <c r="N154">
        <f t="shared" si="23"/>
        <v>2.5449999999999999</v>
      </c>
      <c r="O154">
        <f t="shared" si="24"/>
        <v>3.1624999999999996</v>
      </c>
      <c r="P154">
        <f t="shared" si="25"/>
        <v>4.7727272727272725</v>
      </c>
      <c r="Q154">
        <f t="shared" si="26"/>
        <v>12.925925925925927</v>
      </c>
      <c r="R154">
        <f t="shared" si="27"/>
        <v>64.333333333333343</v>
      </c>
      <c r="S154" t="str">
        <f t="shared" si="28"/>
        <v>Satisfactory</v>
      </c>
      <c r="T154" t="str">
        <f t="shared" si="29"/>
        <v>PM2.5</v>
      </c>
      <c r="U154">
        <v>26.59</v>
      </c>
      <c r="V154">
        <v>70.150000000000006</v>
      </c>
    </row>
    <row r="155" spans="1:22" x14ac:dyDescent="0.3">
      <c r="A155" s="2" t="s">
        <v>15</v>
      </c>
      <c r="B155">
        <v>560026</v>
      </c>
      <c r="C155" s="3">
        <v>43631</v>
      </c>
      <c r="D155">
        <v>35.29</v>
      </c>
      <c r="E155">
        <v>59.16</v>
      </c>
      <c r="F155">
        <v>21.72</v>
      </c>
      <c r="G155">
        <v>11.08</v>
      </c>
      <c r="H155">
        <v>2.92</v>
      </c>
      <c r="I155">
        <v>0.34</v>
      </c>
      <c r="J155">
        <v>16.93</v>
      </c>
      <c r="K155">
        <f t="shared" si="20"/>
        <v>58.816666666666663</v>
      </c>
      <c r="L155">
        <f t="shared" si="21"/>
        <v>59.16</v>
      </c>
      <c r="M155">
        <f t="shared" si="22"/>
        <v>27.15</v>
      </c>
      <c r="N155">
        <f t="shared" si="23"/>
        <v>2.77</v>
      </c>
      <c r="O155">
        <f t="shared" si="24"/>
        <v>3.65</v>
      </c>
      <c r="P155">
        <f t="shared" si="25"/>
        <v>3.8636363636363638</v>
      </c>
      <c r="Q155">
        <f t="shared" si="26"/>
        <v>15.675925925925926</v>
      </c>
      <c r="R155">
        <f t="shared" si="27"/>
        <v>59.16</v>
      </c>
      <c r="S155" t="str">
        <f t="shared" si="28"/>
        <v>Satisfactory</v>
      </c>
      <c r="T155" t="str">
        <f t="shared" si="29"/>
        <v>PM10</v>
      </c>
      <c r="U155">
        <v>27.28</v>
      </c>
      <c r="V155">
        <v>64.760000000000005</v>
      </c>
    </row>
    <row r="156" spans="1:22" x14ac:dyDescent="0.3">
      <c r="A156" s="2" t="s">
        <v>15</v>
      </c>
      <c r="B156">
        <v>560026</v>
      </c>
      <c r="C156" s="3">
        <v>43632</v>
      </c>
      <c r="D156">
        <v>32.950000000000003</v>
      </c>
      <c r="E156">
        <v>53.72</v>
      </c>
      <c r="F156">
        <v>20.86</v>
      </c>
      <c r="G156">
        <v>11.13</v>
      </c>
      <c r="H156">
        <v>3.14</v>
      </c>
      <c r="I156">
        <v>0.28000000000000003</v>
      </c>
      <c r="J156">
        <v>25.82</v>
      </c>
      <c r="K156">
        <f t="shared" si="20"/>
        <v>54.916666666666671</v>
      </c>
      <c r="L156">
        <f t="shared" si="21"/>
        <v>53.72</v>
      </c>
      <c r="M156">
        <f t="shared" si="22"/>
        <v>26.074999999999999</v>
      </c>
      <c r="N156">
        <f t="shared" si="23"/>
        <v>2.7825000000000002</v>
      </c>
      <c r="O156">
        <f t="shared" si="24"/>
        <v>3.9249999999999998</v>
      </c>
      <c r="P156">
        <f t="shared" si="25"/>
        <v>3.1818181818181821</v>
      </c>
      <c r="Q156">
        <f t="shared" si="26"/>
        <v>23.907407407407408</v>
      </c>
      <c r="R156">
        <f t="shared" si="27"/>
        <v>54.916666666666671</v>
      </c>
      <c r="S156" t="str">
        <f t="shared" si="28"/>
        <v>Satisfactory</v>
      </c>
      <c r="T156" t="str">
        <f t="shared" si="29"/>
        <v>PM2.5</v>
      </c>
      <c r="U156">
        <v>27.65</v>
      </c>
      <c r="V156">
        <v>60.4</v>
      </c>
    </row>
    <row r="157" spans="1:22" x14ac:dyDescent="0.3">
      <c r="A157" s="2" t="s">
        <v>15</v>
      </c>
      <c r="B157">
        <v>560026</v>
      </c>
      <c r="C157" s="3">
        <v>43633</v>
      </c>
      <c r="D157">
        <v>39.56</v>
      </c>
      <c r="E157">
        <v>68.209999999999994</v>
      </c>
      <c r="F157">
        <v>24.18</v>
      </c>
      <c r="G157">
        <v>10.74</v>
      </c>
      <c r="H157">
        <v>2.91</v>
      </c>
      <c r="I157">
        <v>0.32</v>
      </c>
      <c r="J157">
        <v>25.25</v>
      </c>
      <c r="K157">
        <f t="shared" si="20"/>
        <v>65.933333333333337</v>
      </c>
      <c r="L157">
        <f t="shared" si="21"/>
        <v>68.209999999999994</v>
      </c>
      <c r="M157">
        <f t="shared" si="22"/>
        <v>30.225000000000001</v>
      </c>
      <c r="N157">
        <f t="shared" si="23"/>
        <v>2.6850000000000001</v>
      </c>
      <c r="O157">
        <f t="shared" si="24"/>
        <v>3.6375000000000002</v>
      </c>
      <c r="P157">
        <f t="shared" si="25"/>
        <v>3.6363636363636362</v>
      </c>
      <c r="Q157">
        <f t="shared" si="26"/>
        <v>23.37962962962963</v>
      </c>
      <c r="R157">
        <f t="shared" si="27"/>
        <v>68.209999999999994</v>
      </c>
      <c r="S157" t="str">
        <f t="shared" si="28"/>
        <v>Satisfactory</v>
      </c>
      <c r="T157" t="str">
        <f t="shared" si="29"/>
        <v>PM10</v>
      </c>
      <c r="U157">
        <v>27.36</v>
      </c>
      <c r="V157">
        <v>60.31</v>
      </c>
    </row>
    <row r="158" spans="1:22" x14ac:dyDescent="0.3">
      <c r="A158" s="2" t="s">
        <v>15</v>
      </c>
      <c r="B158">
        <v>560026</v>
      </c>
      <c r="C158" s="3">
        <v>43634</v>
      </c>
      <c r="D158">
        <v>38.520000000000003</v>
      </c>
      <c r="E158">
        <v>63.35</v>
      </c>
      <c r="F158">
        <v>22.78</v>
      </c>
      <c r="G158">
        <v>12.48</v>
      </c>
      <c r="H158">
        <v>2.5499999999999998</v>
      </c>
      <c r="I158">
        <v>0.28999999999999998</v>
      </c>
      <c r="J158">
        <v>24.5</v>
      </c>
      <c r="K158">
        <f t="shared" si="20"/>
        <v>64.2</v>
      </c>
      <c r="L158">
        <f t="shared" si="21"/>
        <v>63.35</v>
      </c>
      <c r="M158">
        <f t="shared" si="22"/>
        <v>28.475000000000001</v>
      </c>
      <c r="N158">
        <f t="shared" si="23"/>
        <v>3.12</v>
      </c>
      <c r="O158">
        <f t="shared" si="24"/>
        <v>3.1874999999999996</v>
      </c>
      <c r="P158">
        <f t="shared" si="25"/>
        <v>3.295454545454545</v>
      </c>
      <c r="Q158">
        <f t="shared" si="26"/>
        <v>22.685185185185187</v>
      </c>
      <c r="R158">
        <f t="shared" si="27"/>
        <v>64.2</v>
      </c>
      <c r="S158" t="str">
        <f t="shared" si="28"/>
        <v>Satisfactory</v>
      </c>
      <c r="T158" t="str">
        <f t="shared" si="29"/>
        <v>PM2.5</v>
      </c>
      <c r="U158">
        <v>27.13</v>
      </c>
      <c r="V158">
        <v>62.04</v>
      </c>
    </row>
    <row r="159" spans="1:22" x14ac:dyDescent="0.3">
      <c r="A159" s="2" t="s">
        <v>15</v>
      </c>
      <c r="B159">
        <v>560026</v>
      </c>
      <c r="C159" s="3">
        <v>43635</v>
      </c>
      <c r="D159">
        <v>40.51</v>
      </c>
      <c r="E159">
        <v>68.319999999999993</v>
      </c>
      <c r="F159">
        <v>25.84</v>
      </c>
      <c r="G159">
        <v>11.98</v>
      </c>
      <c r="H159">
        <v>2.8</v>
      </c>
      <c r="I159">
        <v>0.35</v>
      </c>
      <c r="J159">
        <v>24.34</v>
      </c>
      <c r="K159">
        <f t="shared" si="20"/>
        <v>67.516666666666666</v>
      </c>
      <c r="L159">
        <f t="shared" si="21"/>
        <v>68.319999999999993</v>
      </c>
      <c r="M159">
        <f t="shared" si="22"/>
        <v>32.299999999999997</v>
      </c>
      <c r="N159">
        <f t="shared" si="23"/>
        <v>2.9950000000000001</v>
      </c>
      <c r="O159">
        <f t="shared" si="24"/>
        <v>3.5</v>
      </c>
      <c r="P159">
        <f t="shared" si="25"/>
        <v>3.9772727272727271</v>
      </c>
      <c r="Q159">
        <f t="shared" si="26"/>
        <v>22.537037037037038</v>
      </c>
      <c r="R159">
        <f t="shared" si="27"/>
        <v>68.319999999999993</v>
      </c>
      <c r="S159" t="str">
        <f t="shared" si="28"/>
        <v>Satisfactory</v>
      </c>
      <c r="T159" t="str">
        <f t="shared" si="29"/>
        <v>PM10</v>
      </c>
      <c r="U159">
        <v>27.4</v>
      </c>
      <c r="V159">
        <v>62.14</v>
      </c>
    </row>
    <row r="160" spans="1:22" x14ac:dyDescent="0.3">
      <c r="A160" s="2" t="s">
        <v>15</v>
      </c>
      <c r="B160">
        <v>560026</v>
      </c>
      <c r="C160" s="3">
        <v>43636</v>
      </c>
      <c r="D160">
        <v>28.31</v>
      </c>
      <c r="E160">
        <v>46.96</v>
      </c>
      <c r="F160">
        <v>25.14</v>
      </c>
      <c r="G160">
        <v>10.75</v>
      </c>
      <c r="H160">
        <v>2.84</v>
      </c>
      <c r="I160">
        <v>0.27</v>
      </c>
      <c r="J160">
        <v>32.08</v>
      </c>
      <c r="K160">
        <f t="shared" si="20"/>
        <v>47.18333333333333</v>
      </c>
      <c r="L160">
        <f t="shared" si="21"/>
        <v>46.96</v>
      </c>
      <c r="M160">
        <f t="shared" si="22"/>
        <v>31.425000000000001</v>
      </c>
      <c r="N160">
        <f t="shared" si="23"/>
        <v>2.6875</v>
      </c>
      <c r="O160">
        <f t="shared" si="24"/>
        <v>3.55</v>
      </c>
      <c r="P160">
        <f t="shared" si="25"/>
        <v>3.0681818181818183</v>
      </c>
      <c r="Q160">
        <f t="shared" si="26"/>
        <v>29.703703703703702</v>
      </c>
      <c r="R160">
        <f t="shared" si="27"/>
        <v>47.18333333333333</v>
      </c>
      <c r="S160" t="str">
        <f t="shared" si="28"/>
        <v>Good</v>
      </c>
      <c r="T160" t="str">
        <f t="shared" si="29"/>
        <v>PM2.5</v>
      </c>
      <c r="U160">
        <v>27.07</v>
      </c>
      <c r="V160">
        <v>62.38</v>
      </c>
    </row>
    <row r="161" spans="1:22" x14ac:dyDescent="0.3">
      <c r="A161" s="2" t="s">
        <v>15</v>
      </c>
      <c r="B161">
        <v>560026</v>
      </c>
      <c r="C161" s="3">
        <v>43637</v>
      </c>
      <c r="D161">
        <v>48.32</v>
      </c>
      <c r="E161">
        <v>75.510000000000005</v>
      </c>
      <c r="F161">
        <v>26.49</v>
      </c>
      <c r="G161">
        <v>11.91</v>
      </c>
      <c r="H161">
        <v>2.68</v>
      </c>
      <c r="I161">
        <v>0.41</v>
      </c>
      <c r="J161">
        <v>33</v>
      </c>
      <c r="K161">
        <f t="shared" si="20"/>
        <v>80.533333333333331</v>
      </c>
      <c r="L161">
        <f t="shared" si="21"/>
        <v>75.510000000000005</v>
      </c>
      <c r="M161">
        <f t="shared" si="22"/>
        <v>33.112499999999997</v>
      </c>
      <c r="N161">
        <f t="shared" si="23"/>
        <v>2.9775</v>
      </c>
      <c r="O161">
        <f t="shared" si="24"/>
        <v>3.35</v>
      </c>
      <c r="P161">
        <f t="shared" si="25"/>
        <v>4.6590909090909083</v>
      </c>
      <c r="Q161">
        <f t="shared" si="26"/>
        <v>30.555555555555557</v>
      </c>
      <c r="R161">
        <f t="shared" si="27"/>
        <v>80.533333333333331</v>
      </c>
      <c r="S161" t="str">
        <f t="shared" si="28"/>
        <v>Satisfactory</v>
      </c>
      <c r="T161" t="str">
        <f t="shared" si="29"/>
        <v>PM2.5</v>
      </c>
      <c r="U161">
        <v>25.85</v>
      </c>
      <c r="V161">
        <v>69.489999999999995</v>
      </c>
    </row>
    <row r="162" spans="1:22" x14ac:dyDescent="0.3">
      <c r="A162" s="2" t="s">
        <v>15</v>
      </c>
      <c r="B162">
        <v>560026</v>
      </c>
      <c r="C162" s="3">
        <v>43638</v>
      </c>
      <c r="D162">
        <v>39.83</v>
      </c>
      <c r="E162">
        <v>60.84</v>
      </c>
      <c r="F162">
        <v>23.79</v>
      </c>
      <c r="G162">
        <v>13.53</v>
      </c>
      <c r="H162">
        <v>2.79</v>
      </c>
      <c r="I162">
        <v>0.32</v>
      </c>
      <c r="J162">
        <v>29.81</v>
      </c>
      <c r="K162">
        <f t="shared" si="20"/>
        <v>66.383333333333326</v>
      </c>
      <c r="L162">
        <f t="shared" si="21"/>
        <v>60.84</v>
      </c>
      <c r="M162">
        <f t="shared" si="22"/>
        <v>29.737500000000001</v>
      </c>
      <c r="N162">
        <f t="shared" si="23"/>
        <v>3.3824999999999998</v>
      </c>
      <c r="O162">
        <f t="shared" si="24"/>
        <v>3.4874999999999998</v>
      </c>
      <c r="P162">
        <f t="shared" si="25"/>
        <v>3.6363636363636362</v>
      </c>
      <c r="Q162">
        <f t="shared" si="26"/>
        <v>27.601851851851851</v>
      </c>
      <c r="R162">
        <f t="shared" si="27"/>
        <v>66.383333333333326</v>
      </c>
      <c r="S162" t="str">
        <f t="shared" si="28"/>
        <v>Satisfactory</v>
      </c>
      <c r="T162" t="str">
        <f t="shared" si="29"/>
        <v>PM2.5</v>
      </c>
      <c r="U162">
        <v>26.13</v>
      </c>
      <c r="V162">
        <v>69.33</v>
      </c>
    </row>
    <row r="163" spans="1:22" x14ac:dyDescent="0.3">
      <c r="A163" s="2" t="s">
        <v>15</v>
      </c>
      <c r="B163">
        <v>560026</v>
      </c>
      <c r="C163" s="3">
        <v>43639</v>
      </c>
      <c r="D163">
        <v>25</v>
      </c>
      <c r="E163">
        <v>35.47</v>
      </c>
      <c r="F163">
        <v>23.5</v>
      </c>
      <c r="G163">
        <v>12.5</v>
      </c>
      <c r="H163">
        <v>2.63</v>
      </c>
      <c r="I163">
        <v>0.34</v>
      </c>
      <c r="J163">
        <v>28.79</v>
      </c>
      <c r="K163">
        <f t="shared" si="20"/>
        <v>41.666666666666664</v>
      </c>
      <c r="L163">
        <f t="shared" si="21"/>
        <v>35.47</v>
      </c>
      <c r="M163">
        <f t="shared" si="22"/>
        <v>29.375</v>
      </c>
      <c r="N163">
        <f t="shared" si="23"/>
        <v>3.125</v>
      </c>
      <c r="O163">
        <f t="shared" si="24"/>
        <v>3.2875000000000001</v>
      </c>
      <c r="P163">
        <f t="shared" si="25"/>
        <v>3.8636363636363638</v>
      </c>
      <c r="Q163">
        <f t="shared" si="26"/>
        <v>26.657407407407408</v>
      </c>
      <c r="R163">
        <f t="shared" si="27"/>
        <v>41.666666666666664</v>
      </c>
      <c r="S163" t="str">
        <f t="shared" si="28"/>
        <v>Good</v>
      </c>
      <c r="T163" t="str">
        <f t="shared" si="29"/>
        <v>PM2.5</v>
      </c>
      <c r="U163">
        <v>25.18</v>
      </c>
      <c r="V163">
        <v>77.73</v>
      </c>
    </row>
    <row r="164" spans="1:22" x14ac:dyDescent="0.3">
      <c r="A164" s="2" t="s">
        <v>15</v>
      </c>
      <c r="B164">
        <v>560026</v>
      </c>
      <c r="C164" s="3">
        <v>43640</v>
      </c>
      <c r="D164">
        <v>29.84</v>
      </c>
      <c r="E164">
        <v>48.09</v>
      </c>
      <c r="F164">
        <v>28.22</v>
      </c>
      <c r="G164">
        <v>11.76</v>
      </c>
      <c r="H164">
        <v>2.74</v>
      </c>
      <c r="I164">
        <v>0.35</v>
      </c>
      <c r="J164">
        <v>20.56</v>
      </c>
      <c r="K164">
        <f t="shared" si="20"/>
        <v>49.733333333333334</v>
      </c>
      <c r="L164">
        <f t="shared" si="21"/>
        <v>48.09</v>
      </c>
      <c r="M164">
        <f t="shared" si="22"/>
        <v>35.274999999999999</v>
      </c>
      <c r="N164">
        <f t="shared" si="23"/>
        <v>2.94</v>
      </c>
      <c r="O164">
        <f t="shared" si="24"/>
        <v>3.4249999999999998</v>
      </c>
      <c r="P164">
        <f t="shared" si="25"/>
        <v>3.9772727272727271</v>
      </c>
      <c r="Q164">
        <f t="shared" si="26"/>
        <v>19.037037037037035</v>
      </c>
      <c r="R164">
        <f t="shared" si="27"/>
        <v>49.733333333333334</v>
      </c>
      <c r="S164" t="str">
        <f t="shared" si="28"/>
        <v>Good</v>
      </c>
      <c r="T164" t="str">
        <f t="shared" si="29"/>
        <v>PM2.5</v>
      </c>
      <c r="U164">
        <v>26.14</v>
      </c>
      <c r="V164">
        <v>72.67</v>
      </c>
    </row>
    <row r="165" spans="1:22" x14ac:dyDescent="0.3">
      <c r="A165" s="2" t="s">
        <v>15</v>
      </c>
      <c r="B165">
        <v>560026</v>
      </c>
      <c r="C165" s="3">
        <v>43641</v>
      </c>
      <c r="D165">
        <v>44.54</v>
      </c>
      <c r="E165">
        <v>82.94</v>
      </c>
      <c r="F165">
        <v>25.85</v>
      </c>
      <c r="G165">
        <v>11.18</v>
      </c>
      <c r="H165">
        <v>3.02</v>
      </c>
      <c r="I165">
        <v>0.36</v>
      </c>
      <c r="J165">
        <v>18.02</v>
      </c>
      <c r="K165">
        <f t="shared" si="20"/>
        <v>74.233333333333334</v>
      </c>
      <c r="L165">
        <f t="shared" si="21"/>
        <v>82.94</v>
      </c>
      <c r="M165">
        <f t="shared" si="22"/>
        <v>32.3125</v>
      </c>
      <c r="N165">
        <f t="shared" si="23"/>
        <v>2.7949999999999999</v>
      </c>
      <c r="O165">
        <f t="shared" si="24"/>
        <v>3.7749999999999999</v>
      </c>
      <c r="P165">
        <f t="shared" si="25"/>
        <v>4.0909090909090908</v>
      </c>
      <c r="Q165">
        <f t="shared" si="26"/>
        <v>16.685185185185183</v>
      </c>
      <c r="R165">
        <f t="shared" si="27"/>
        <v>82.94</v>
      </c>
      <c r="S165" t="str">
        <f t="shared" si="28"/>
        <v>Satisfactory</v>
      </c>
      <c r="T165" t="str">
        <f t="shared" si="29"/>
        <v>PM10</v>
      </c>
      <c r="U165">
        <v>26.48</v>
      </c>
      <c r="V165">
        <v>67.84</v>
      </c>
    </row>
    <row r="166" spans="1:22" x14ac:dyDescent="0.3">
      <c r="A166" s="2" t="s">
        <v>15</v>
      </c>
      <c r="B166">
        <v>560026</v>
      </c>
      <c r="C166" s="3">
        <v>43642</v>
      </c>
      <c r="D166">
        <v>40.57</v>
      </c>
      <c r="E166">
        <v>67.73</v>
      </c>
      <c r="F166">
        <v>24.58</v>
      </c>
      <c r="G166">
        <v>13.25</v>
      </c>
      <c r="H166">
        <v>2.68</v>
      </c>
      <c r="I166">
        <v>0.41</v>
      </c>
      <c r="J166">
        <v>13.8</v>
      </c>
      <c r="K166">
        <f t="shared" si="20"/>
        <v>67.616666666666674</v>
      </c>
      <c r="L166">
        <f t="shared" si="21"/>
        <v>67.73</v>
      </c>
      <c r="M166">
        <f t="shared" si="22"/>
        <v>30.725000000000001</v>
      </c>
      <c r="N166">
        <f t="shared" si="23"/>
        <v>3.3125</v>
      </c>
      <c r="O166">
        <f t="shared" si="24"/>
        <v>3.35</v>
      </c>
      <c r="P166">
        <f t="shared" si="25"/>
        <v>4.6590909090909083</v>
      </c>
      <c r="Q166">
        <f t="shared" si="26"/>
        <v>12.777777777777779</v>
      </c>
      <c r="R166">
        <f t="shared" si="27"/>
        <v>67.73</v>
      </c>
      <c r="S166" t="str">
        <f t="shared" si="28"/>
        <v>Satisfactory</v>
      </c>
      <c r="T166" t="str">
        <f t="shared" si="29"/>
        <v>PM10</v>
      </c>
      <c r="U166">
        <v>26.05</v>
      </c>
      <c r="V166">
        <v>69.44</v>
      </c>
    </row>
    <row r="167" spans="1:22" x14ac:dyDescent="0.3">
      <c r="A167" s="2" t="s">
        <v>15</v>
      </c>
      <c r="B167">
        <v>560026</v>
      </c>
      <c r="C167" s="3">
        <v>43643</v>
      </c>
      <c r="D167">
        <v>39.36</v>
      </c>
      <c r="E167">
        <v>75.3</v>
      </c>
      <c r="F167">
        <v>21.36</v>
      </c>
      <c r="G167">
        <v>14.12</v>
      </c>
      <c r="H167">
        <v>2.9</v>
      </c>
      <c r="I167">
        <v>0.34</v>
      </c>
      <c r="J167">
        <v>18.760000000000002</v>
      </c>
      <c r="K167">
        <f t="shared" si="20"/>
        <v>65.599999999999994</v>
      </c>
      <c r="L167">
        <f t="shared" si="21"/>
        <v>75.3</v>
      </c>
      <c r="M167">
        <f t="shared" si="22"/>
        <v>26.7</v>
      </c>
      <c r="N167">
        <f t="shared" si="23"/>
        <v>3.53</v>
      </c>
      <c r="O167">
        <f t="shared" si="24"/>
        <v>3.625</v>
      </c>
      <c r="P167">
        <f t="shared" si="25"/>
        <v>3.8636363636363638</v>
      </c>
      <c r="Q167">
        <f t="shared" si="26"/>
        <v>17.37037037037037</v>
      </c>
      <c r="R167">
        <f t="shared" si="27"/>
        <v>75.3</v>
      </c>
      <c r="S167" t="str">
        <f t="shared" si="28"/>
        <v>Satisfactory</v>
      </c>
      <c r="T167" t="str">
        <f t="shared" si="29"/>
        <v>PM10</v>
      </c>
      <c r="U167">
        <v>26.35</v>
      </c>
      <c r="V167">
        <v>65.930000000000007</v>
      </c>
    </row>
    <row r="168" spans="1:22" x14ac:dyDescent="0.3">
      <c r="A168" s="2" t="s">
        <v>15</v>
      </c>
      <c r="B168">
        <v>560026</v>
      </c>
      <c r="C168" s="3">
        <v>43644</v>
      </c>
      <c r="D168">
        <v>38.76</v>
      </c>
      <c r="E168">
        <v>82.33</v>
      </c>
      <c r="F168">
        <v>21.95</v>
      </c>
      <c r="G168">
        <v>9.6999999999999993</v>
      </c>
      <c r="H168">
        <v>3.25</v>
      </c>
      <c r="I168">
        <v>0.32</v>
      </c>
      <c r="J168">
        <v>24.2</v>
      </c>
      <c r="K168">
        <f t="shared" si="20"/>
        <v>64.599999999999994</v>
      </c>
      <c r="L168">
        <f t="shared" si="21"/>
        <v>82.33</v>
      </c>
      <c r="M168">
        <f t="shared" si="22"/>
        <v>27.4375</v>
      </c>
      <c r="N168">
        <f t="shared" si="23"/>
        <v>2.4249999999999998</v>
      </c>
      <c r="O168">
        <f t="shared" si="24"/>
        <v>4.0625</v>
      </c>
      <c r="P168">
        <f t="shared" si="25"/>
        <v>3.6363636363636362</v>
      </c>
      <c r="Q168">
        <f t="shared" si="26"/>
        <v>22.407407407407408</v>
      </c>
      <c r="R168">
        <f t="shared" si="27"/>
        <v>82.33</v>
      </c>
      <c r="S168" t="str">
        <f t="shared" si="28"/>
        <v>Satisfactory</v>
      </c>
      <c r="T168" t="str">
        <f t="shared" si="29"/>
        <v>PM10</v>
      </c>
      <c r="U168">
        <v>26.61</v>
      </c>
      <c r="V168">
        <v>60.96</v>
      </c>
    </row>
    <row r="169" spans="1:22" x14ac:dyDescent="0.3">
      <c r="A169" s="2" t="s">
        <v>15</v>
      </c>
      <c r="B169">
        <v>560026</v>
      </c>
      <c r="C169" s="3">
        <v>43645</v>
      </c>
      <c r="D169">
        <v>29.49</v>
      </c>
      <c r="E169">
        <v>65.430000000000007</v>
      </c>
      <c r="F169">
        <v>20.13</v>
      </c>
      <c r="G169">
        <v>8.92</v>
      </c>
      <c r="H169">
        <v>2.96</v>
      </c>
      <c r="I169">
        <v>0.28999999999999998</v>
      </c>
      <c r="J169">
        <v>26.63</v>
      </c>
      <c r="K169">
        <f t="shared" si="20"/>
        <v>49.15</v>
      </c>
      <c r="L169">
        <f t="shared" si="21"/>
        <v>65.430000000000007</v>
      </c>
      <c r="M169">
        <f t="shared" si="22"/>
        <v>25.162500000000001</v>
      </c>
      <c r="N169">
        <f t="shared" si="23"/>
        <v>2.23</v>
      </c>
      <c r="O169">
        <f t="shared" si="24"/>
        <v>3.7</v>
      </c>
      <c r="P169">
        <f t="shared" si="25"/>
        <v>3.295454545454545</v>
      </c>
      <c r="Q169">
        <f t="shared" si="26"/>
        <v>24.657407407407408</v>
      </c>
      <c r="R169">
        <f t="shared" si="27"/>
        <v>65.430000000000007</v>
      </c>
      <c r="S169" t="str">
        <f t="shared" si="28"/>
        <v>Satisfactory</v>
      </c>
      <c r="T169" t="str">
        <f t="shared" si="29"/>
        <v>PM10</v>
      </c>
      <c r="U169">
        <v>26.27</v>
      </c>
      <c r="V169">
        <v>64.52</v>
      </c>
    </row>
    <row r="170" spans="1:22" x14ac:dyDescent="0.3">
      <c r="A170" s="2" t="s">
        <v>15</v>
      </c>
      <c r="B170">
        <v>560026</v>
      </c>
      <c r="C170" s="3">
        <v>43646</v>
      </c>
      <c r="D170">
        <v>22.41</v>
      </c>
      <c r="E170">
        <v>49.03</v>
      </c>
      <c r="F170">
        <v>17.25</v>
      </c>
      <c r="G170">
        <v>8.4700000000000006</v>
      </c>
      <c r="H170">
        <v>3.05</v>
      </c>
      <c r="I170">
        <v>0.28000000000000003</v>
      </c>
      <c r="J170">
        <v>24.31</v>
      </c>
      <c r="K170">
        <f t="shared" si="20"/>
        <v>37.35</v>
      </c>
      <c r="L170">
        <f t="shared" si="21"/>
        <v>49.03</v>
      </c>
      <c r="M170">
        <f t="shared" si="22"/>
        <v>21.5625</v>
      </c>
      <c r="N170">
        <f t="shared" si="23"/>
        <v>2.1175000000000002</v>
      </c>
      <c r="O170">
        <f t="shared" si="24"/>
        <v>3.8125</v>
      </c>
      <c r="P170">
        <f t="shared" si="25"/>
        <v>3.1818181818181821</v>
      </c>
      <c r="Q170">
        <f t="shared" si="26"/>
        <v>22.50925925925926</v>
      </c>
      <c r="R170">
        <f t="shared" si="27"/>
        <v>49.03</v>
      </c>
      <c r="S170" t="str">
        <f t="shared" si="28"/>
        <v>Good</v>
      </c>
      <c r="T170" t="str">
        <f t="shared" si="29"/>
        <v>PM10</v>
      </c>
      <c r="U170">
        <v>25.99</v>
      </c>
      <c r="V170">
        <v>67.03</v>
      </c>
    </row>
    <row r="171" spans="1:22" x14ac:dyDescent="0.3">
      <c r="A171" s="2" t="s">
        <v>15</v>
      </c>
      <c r="B171">
        <v>560026</v>
      </c>
      <c r="C171" s="3">
        <v>43647</v>
      </c>
      <c r="D171">
        <v>25.53</v>
      </c>
      <c r="E171">
        <v>71.22</v>
      </c>
      <c r="F171">
        <v>18.47</v>
      </c>
      <c r="G171">
        <v>8.4499999999999993</v>
      </c>
      <c r="H171">
        <v>2.91</v>
      </c>
      <c r="I171">
        <v>0.31</v>
      </c>
      <c r="J171">
        <v>23.36</v>
      </c>
      <c r="K171">
        <f t="shared" si="20"/>
        <v>42.55</v>
      </c>
      <c r="L171">
        <f t="shared" si="21"/>
        <v>71.22</v>
      </c>
      <c r="M171">
        <f t="shared" si="22"/>
        <v>23.087499999999999</v>
      </c>
      <c r="N171">
        <f t="shared" si="23"/>
        <v>2.1124999999999998</v>
      </c>
      <c r="O171">
        <f t="shared" si="24"/>
        <v>3.6375000000000002</v>
      </c>
      <c r="P171">
        <f t="shared" si="25"/>
        <v>3.5227272727272725</v>
      </c>
      <c r="Q171">
        <f t="shared" si="26"/>
        <v>21.62962962962963</v>
      </c>
      <c r="R171">
        <f t="shared" si="27"/>
        <v>71.22</v>
      </c>
      <c r="S171" t="str">
        <f t="shared" si="28"/>
        <v>Satisfactory</v>
      </c>
      <c r="T171" t="str">
        <f t="shared" si="29"/>
        <v>PM10</v>
      </c>
      <c r="U171">
        <v>26.57</v>
      </c>
      <c r="V171">
        <v>63.06</v>
      </c>
    </row>
    <row r="172" spans="1:22" x14ac:dyDescent="0.3">
      <c r="A172" s="2" t="s">
        <v>15</v>
      </c>
      <c r="B172">
        <v>560026</v>
      </c>
      <c r="C172" s="3">
        <v>43648</v>
      </c>
      <c r="D172">
        <v>24.97</v>
      </c>
      <c r="E172">
        <v>49.49</v>
      </c>
      <c r="F172">
        <v>17.600000000000001</v>
      </c>
      <c r="G172">
        <v>8.81</v>
      </c>
      <c r="H172">
        <v>3</v>
      </c>
      <c r="I172">
        <v>0.28000000000000003</v>
      </c>
      <c r="J172">
        <v>27.48</v>
      </c>
      <c r="K172">
        <f t="shared" si="20"/>
        <v>41.616666666666667</v>
      </c>
      <c r="L172">
        <f t="shared" si="21"/>
        <v>49.49</v>
      </c>
      <c r="M172">
        <f t="shared" si="22"/>
        <v>22.000000000000004</v>
      </c>
      <c r="N172">
        <f t="shared" si="23"/>
        <v>2.2025000000000001</v>
      </c>
      <c r="O172">
        <f t="shared" si="24"/>
        <v>3.75</v>
      </c>
      <c r="P172">
        <f t="shared" si="25"/>
        <v>3.1818181818181821</v>
      </c>
      <c r="Q172">
        <f t="shared" si="26"/>
        <v>25.444444444444446</v>
      </c>
      <c r="R172">
        <f t="shared" si="27"/>
        <v>49.49</v>
      </c>
      <c r="S172" t="str">
        <f t="shared" si="28"/>
        <v>Good</v>
      </c>
      <c r="T172" t="str">
        <f t="shared" si="29"/>
        <v>PM10</v>
      </c>
      <c r="U172">
        <v>26.6</v>
      </c>
      <c r="V172">
        <v>64.33</v>
      </c>
    </row>
    <row r="173" spans="1:22" x14ac:dyDescent="0.3">
      <c r="A173" s="2" t="s">
        <v>15</v>
      </c>
      <c r="B173">
        <v>560026</v>
      </c>
      <c r="C173" s="3">
        <v>43649</v>
      </c>
      <c r="D173">
        <v>22.58</v>
      </c>
      <c r="E173">
        <v>49.15</v>
      </c>
      <c r="F173">
        <v>18.47</v>
      </c>
      <c r="G173">
        <v>9.49</v>
      </c>
      <c r="H173">
        <v>2.44</v>
      </c>
      <c r="I173">
        <v>0.3</v>
      </c>
      <c r="J173">
        <v>20.71</v>
      </c>
      <c r="K173">
        <f t="shared" si="20"/>
        <v>37.633333333333333</v>
      </c>
      <c r="L173">
        <f t="shared" si="21"/>
        <v>49.15</v>
      </c>
      <c r="M173">
        <f t="shared" si="22"/>
        <v>23.087499999999999</v>
      </c>
      <c r="N173">
        <f t="shared" si="23"/>
        <v>2.3725000000000001</v>
      </c>
      <c r="O173">
        <f t="shared" si="24"/>
        <v>3.05</v>
      </c>
      <c r="P173">
        <f t="shared" si="25"/>
        <v>3.4090909090909087</v>
      </c>
      <c r="Q173">
        <f t="shared" si="26"/>
        <v>19.175925925925927</v>
      </c>
      <c r="R173">
        <f t="shared" si="27"/>
        <v>49.15</v>
      </c>
      <c r="S173" t="str">
        <f t="shared" si="28"/>
        <v>Good</v>
      </c>
      <c r="T173" t="str">
        <f t="shared" si="29"/>
        <v>PM10</v>
      </c>
      <c r="U173">
        <v>26.51</v>
      </c>
      <c r="V173">
        <v>65.56</v>
      </c>
    </row>
    <row r="174" spans="1:22" x14ac:dyDescent="0.3">
      <c r="A174" s="2" t="s">
        <v>15</v>
      </c>
      <c r="B174">
        <v>560026</v>
      </c>
      <c r="C174" s="3">
        <v>43650</v>
      </c>
      <c r="D174">
        <v>40.06</v>
      </c>
      <c r="E174">
        <v>72.66</v>
      </c>
      <c r="F174">
        <v>20.71</v>
      </c>
      <c r="G174">
        <v>11.27</v>
      </c>
      <c r="H174">
        <v>3.24</v>
      </c>
      <c r="I174">
        <v>0.41</v>
      </c>
      <c r="J174">
        <v>12.83</v>
      </c>
      <c r="K174">
        <f t="shared" si="20"/>
        <v>66.766666666666666</v>
      </c>
      <c r="L174">
        <f t="shared" si="21"/>
        <v>72.66</v>
      </c>
      <c r="M174">
        <f t="shared" si="22"/>
        <v>25.887499999999999</v>
      </c>
      <c r="N174">
        <f t="shared" si="23"/>
        <v>2.8174999999999999</v>
      </c>
      <c r="O174">
        <f t="shared" si="24"/>
        <v>4.05</v>
      </c>
      <c r="P174">
        <f t="shared" si="25"/>
        <v>4.6590909090909083</v>
      </c>
      <c r="Q174">
        <f t="shared" si="26"/>
        <v>11.87962962962963</v>
      </c>
      <c r="R174">
        <f t="shared" si="27"/>
        <v>72.66</v>
      </c>
      <c r="S174" t="str">
        <f t="shared" si="28"/>
        <v>Satisfactory</v>
      </c>
      <c r="T174" t="str">
        <f t="shared" si="29"/>
        <v>PM10</v>
      </c>
      <c r="U174">
        <v>25.72</v>
      </c>
      <c r="V174">
        <v>72.989999999999995</v>
      </c>
    </row>
    <row r="175" spans="1:22" x14ac:dyDescent="0.3">
      <c r="A175" s="2" t="s">
        <v>15</v>
      </c>
      <c r="B175">
        <v>560026</v>
      </c>
      <c r="C175" s="3">
        <v>43651</v>
      </c>
      <c r="D175">
        <v>33.119999999999997</v>
      </c>
      <c r="E175">
        <v>57.08</v>
      </c>
      <c r="F175">
        <v>17.23</v>
      </c>
      <c r="G175">
        <v>10.76</v>
      </c>
      <c r="H175">
        <v>3.02</v>
      </c>
      <c r="I175">
        <v>0.32</v>
      </c>
      <c r="J175">
        <v>13.87</v>
      </c>
      <c r="K175">
        <f t="shared" si="20"/>
        <v>55.199999999999996</v>
      </c>
      <c r="L175">
        <f t="shared" si="21"/>
        <v>57.08</v>
      </c>
      <c r="M175">
        <f t="shared" si="22"/>
        <v>21.537500000000001</v>
      </c>
      <c r="N175">
        <f t="shared" si="23"/>
        <v>2.69</v>
      </c>
      <c r="O175">
        <f t="shared" si="24"/>
        <v>3.7749999999999999</v>
      </c>
      <c r="P175">
        <f t="shared" si="25"/>
        <v>3.6363636363636362</v>
      </c>
      <c r="Q175">
        <f t="shared" si="26"/>
        <v>12.842592592592592</v>
      </c>
      <c r="R175">
        <f t="shared" si="27"/>
        <v>57.08</v>
      </c>
      <c r="S175" t="str">
        <f t="shared" si="28"/>
        <v>Satisfactory</v>
      </c>
      <c r="T175" t="str">
        <f t="shared" si="29"/>
        <v>PM10</v>
      </c>
      <c r="U175">
        <v>25.22</v>
      </c>
      <c r="V175">
        <v>75.680000000000007</v>
      </c>
    </row>
    <row r="176" spans="1:22" x14ac:dyDescent="0.3">
      <c r="A176" s="2" t="s">
        <v>15</v>
      </c>
      <c r="B176">
        <v>560026</v>
      </c>
      <c r="C176" s="3">
        <v>43652</v>
      </c>
      <c r="D176">
        <v>26.2</v>
      </c>
      <c r="E176">
        <v>45.25</v>
      </c>
      <c r="F176">
        <v>18.670000000000002</v>
      </c>
      <c r="G176">
        <v>9.99</v>
      </c>
      <c r="H176">
        <v>3</v>
      </c>
      <c r="I176">
        <v>0.3</v>
      </c>
      <c r="J176">
        <v>11.66</v>
      </c>
      <c r="K176">
        <f t="shared" si="20"/>
        <v>43.666666666666664</v>
      </c>
      <c r="L176">
        <f t="shared" si="21"/>
        <v>45.25</v>
      </c>
      <c r="M176">
        <f t="shared" si="22"/>
        <v>23.337500000000002</v>
      </c>
      <c r="N176">
        <f t="shared" si="23"/>
        <v>2.4975000000000001</v>
      </c>
      <c r="O176">
        <f t="shared" si="24"/>
        <v>3.75</v>
      </c>
      <c r="P176">
        <f t="shared" si="25"/>
        <v>3.4090909090909087</v>
      </c>
      <c r="Q176">
        <f t="shared" si="26"/>
        <v>10.796296296296296</v>
      </c>
      <c r="R176">
        <f t="shared" si="27"/>
        <v>45.25</v>
      </c>
      <c r="S176" t="str">
        <f t="shared" si="28"/>
        <v>Good</v>
      </c>
      <c r="T176" t="str">
        <f t="shared" si="29"/>
        <v>PM10</v>
      </c>
      <c r="U176">
        <v>25.47</v>
      </c>
      <c r="V176">
        <v>73.819999999999993</v>
      </c>
    </row>
    <row r="177" spans="1:22" x14ac:dyDescent="0.3">
      <c r="A177" s="2" t="s">
        <v>15</v>
      </c>
      <c r="B177">
        <v>560026</v>
      </c>
      <c r="C177" s="3">
        <v>43653</v>
      </c>
      <c r="D177">
        <v>35.840000000000003</v>
      </c>
      <c r="E177">
        <v>59.73</v>
      </c>
      <c r="F177">
        <v>16.510000000000002</v>
      </c>
      <c r="G177">
        <v>9.5299999999999994</v>
      </c>
      <c r="H177">
        <v>2.91</v>
      </c>
      <c r="I177">
        <v>0.27</v>
      </c>
      <c r="J177">
        <v>15.84</v>
      </c>
      <c r="K177">
        <f t="shared" si="20"/>
        <v>59.733333333333341</v>
      </c>
      <c r="L177">
        <f t="shared" si="21"/>
        <v>59.73</v>
      </c>
      <c r="M177">
        <f t="shared" si="22"/>
        <v>20.637500000000003</v>
      </c>
      <c r="N177">
        <f t="shared" si="23"/>
        <v>2.3824999999999998</v>
      </c>
      <c r="O177">
        <f t="shared" si="24"/>
        <v>3.6375000000000002</v>
      </c>
      <c r="P177">
        <f t="shared" si="25"/>
        <v>3.0681818181818183</v>
      </c>
      <c r="Q177">
        <f t="shared" si="26"/>
        <v>14.666666666666666</v>
      </c>
      <c r="R177">
        <f t="shared" si="27"/>
        <v>59.733333333333341</v>
      </c>
      <c r="S177" t="str">
        <f t="shared" si="28"/>
        <v>Satisfactory</v>
      </c>
      <c r="T177" t="str">
        <f t="shared" si="29"/>
        <v>PM2.5</v>
      </c>
      <c r="U177">
        <v>25.99</v>
      </c>
      <c r="V177">
        <v>68.14</v>
      </c>
    </row>
    <row r="178" spans="1:22" x14ac:dyDescent="0.3">
      <c r="A178" s="2" t="s">
        <v>15</v>
      </c>
      <c r="B178">
        <v>560026</v>
      </c>
      <c r="C178" s="3">
        <v>43654</v>
      </c>
      <c r="D178">
        <v>25.99</v>
      </c>
      <c r="E178">
        <v>45.6</v>
      </c>
      <c r="F178">
        <v>16.8</v>
      </c>
      <c r="G178">
        <v>8.86</v>
      </c>
      <c r="H178">
        <v>3.11</v>
      </c>
      <c r="I178">
        <v>0.28999999999999998</v>
      </c>
      <c r="J178">
        <v>13.33</v>
      </c>
      <c r="K178">
        <f t="shared" si="20"/>
        <v>43.31666666666667</v>
      </c>
      <c r="L178">
        <f t="shared" si="21"/>
        <v>45.6</v>
      </c>
      <c r="M178">
        <f t="shared" si="22"/>
        <v>21</v>
      </c>
      <c r="N178">
        <f t="shared" si="23"/>
        <v>2.2149999999999999</v>
      </c>
      <c r="O178">
        <f t="shared" si="24"/>
        <v>3.8875000000000002</v>
      </c>
      <c r="P178">
        <f t="shared" si="25"/>
        <v>3.295454545454545</v>
      </c>
      <c r="Q178">
        <f t="shared" si="26"/>
        <v>12.342592592592593</v>
      </c>
      <c r="R178">
        <f t="shared" si="27"/>
        <v>45.6</v>
      </c>
      <c r="S178" t="str">
        <f t="shared" si="28"/>
        <v>Good</v>
      </c>
      <c r="T178" t="str">
        <f t="shared" si="29"/>
        <v>PM10</v>
      </c>
      <c r="U178">
        <v>26.03</v>
      </c>
      <c r="V178">
        <v>66.239999999999995</v>
      </c>
    </row>
    <row r="179" spans="1:22" x14ac:dyDescent="0.3">
      <c r="A179" s="2" t="s">
        <v>15</v>
      </c>
      <c r="B179">
        <v>560026</v>
      </c>
      <c r="C179" s="3">
        <v>43655</v>
      </c>
      <c r="D179">
        <v>30.93</v>
      </c>
      <c r="E179">
        <v>49.54</v>
      </c>
      <c r="F179">
        <v>17.71</v>
      </c>
      <c r="G179">
        <v>9.35</v>
      </c>
      <c r="H179">
        <v>3.18</v>
      </c>
      <c r="I179">
        <v>0.34</v>
      </c>
      <c r="J179">
        <v>10.16</v>
      </c>
      <c r="K179">
        <f t="shared" si="20"/>
        <v>51.55</v>
      </c>
      <c r="L179">
        <f t="shared" si="21"/>
        <v>49.54</v>
      </c>
      <c r="M179">
        <f t="shared" si="22"/>
        <v>22.137499999999999</v>
      </c>
      <c r="N179">
        <f t="shared" si="23"/>
        <v>2.3374999999999999</v>
      </c>
      <c r="O179">
        <f t="shared" si="24"/>
        <v>3.9750000000000001</v>
      </c>
      <c r="P179">
        <f t="shared" si="25"/>
        <v>3.8636363636363638</v>
      </c>
      <c r="Q179">
        <f t="shared" si="26"/>
        <v>9.4074074074074083</v>
      </c>
      <c r="R179">
        <f t="shared" si="27"/>
        <v>51.55</v>
      </c>
      <c r="S179" t="str">
        <f t="shared" si="28"/>
        <v>Satisfactory</v>
      </c>
      <c r="T179" t="str">
        <f t="shared" si="29"/>
        <v>PM2.5</v>
      </c>
      <c r="U179">
        <v>25.38</v>
      </c>
      <c r="V179">
        <v>72.48</v>
      </c>
    </row>
    <row r="180" spans="1:22" x14ac:dyDescent="0.3">
      <c r="A180" s="2" t="s">
        <v>15</v>
      </c>
      <c r="B180">
        <v>560026</v>
      </c>
      <c r="C180" s="3">
        <v>43656</v>
      </c>
      <c r="D180">
        <v>37.25</v>
      </c>
      <c r="E180">
        <v>58.45</v>
      </c>
      <c r="F180">
        <v>19.64</v>
      </c>
      <c r="G180">
        <v>9.0399999999999991</v>
      </c>
      <c r="H180">
        <v>2.97</v>
      </c>
      <c r="I180">
        <v>0.31</v>
      </c>
      <c r="J180">
        <v>18.48</v>
      </c>
      <c r="K180">
        <f t="shared" si="20"/>
        <v>62.083333333333336</v>
      </c>
      <c r="L180">
        <f t="shared" si="21"/>
        <v>58.45</v>
      </c>
      <c r="M180">
        <f t="shared" si="22"/>
        <v>24.55</v>
      </c>
      <c r="N180">
        <f t="shared" si="23"/>
        <v>2.2599999999999998</v>
      </c>
      <c r="O180">
        <f t="shared" si="24"/>
        <v>3.7124999999999999</v>
      </c>
      <c r="P180">
        <f t="shared" si="25"/>
        <v>3.5227272727272725</v>
      </c>
      <c r="Q180">
        <f t="shared" si="26"/>
        <v>17.111111111111111</v>
      </c>
      <c r="R180">
        <f t="shared" si="27"/>
        <v>62.083333333333336</v>
      </c>
      <c r="S180" t="str">
        <f t="shared" si="28"/>
        <v>Satisfactory</v>
      </c>
      <c r="T180" t="str">
        <f t="shared" si="29"/>
        <v>PM2.5</v>
      </c>
      <c r="U180">
        <v>25.21</v>
      </c>
      <c r="V180">
        <v>70.739999999999995</v>
      </c>
    </row>
    <row r="181" spans="1:22" x14ac:dyDescent="0.3">
      <c r="A181" s="2" t="s">
        <v>15</v>
      </c>
      <c r="B181">
        <v>560026</v>
      </c>
      <c r="C181" s="3">
        <v>43657</v>
      </c>
      <c r="D181">
        <v>29.76</v>
      </c>
      <c r="E181">
        <v>50.09</v>
      </c>
      <c r="F181">
        <v>25.57</v>
      </c>
      <c r="G181">
        <v>8.82</v>
      </c>
      <c r="H181">
        <v>2.66</v>
      </c>
      <c r="I181">
        <v>0.38</v>
      </c>
      <c r="J181">
        <v>17.47</v>
      </c>
      <c r="K181">
        <f t="shared" si="20"/>
        <v>49.6</v>
      </c>
      <c r="L181">
        <f t="shared" si="21"/>
        <v>50.09</v>
      </c>
      <c r="M181">
        <f t="shared" si="22"/>
        <v>31.962499999999999</v>
      </c>
      <c r="N181">
        <f t="shared" si="23"/>
        <v>2.2050000000000001</v>
      </c>
      <c r="O181">
        <f t="shared" si="24"/>
        <v>3.3250000000000002</v>
      </c>
      <c r="P181">
        <f t="shared" si="25"/>
        <v>4.3181818181818183</v>
      </c>
      <c r="Q181">
        <f t="shared" si="26"/>
        <v>16.175925925925924</v>
      </c>
      <c r="R181">
        <f t="shared" si="27"/>
        <v>50.09</v>
      </c>
      <c r="S181" t="str">
        <f t="shared" si="28"/>
        <v>Satisfactory</v>
      </c>
      <c r="T181" t="str">
        <f t="shared" si="29"/>
        <v>PM10</v>
      </c>
      <c r="U181">
        <v>25.5</v>
      </c>
      <c r="V181">
        <v>68.92</v>
      </c>
    </row>
    <row r="182" spans="1:22" x14ac:dyDescent="0.3">
      <c r="A182" s="2" t="s">
        <v>15</v>
      </c>
      <c r="B182">
        <v>560026</v>
      </c>
      <c r="C182" s="3">
        <v>43658</v>
      </c>
      <c r="D182">
        <v>25.55</v>
      </c>
      <c r="E182">
        <v>47.3</v>
      </c>
      <c r="F182">
        <v>21.27</v>
      </c>
      <c r="G182">
        <v>8.73</v>
      </c>
      <c r="H182">
        <v>2.88</v>
      </c>
      <c r="I182">
        <v>0.34</v>
      </c>
      <c r="J182">
        <v>17.59</v>
      </c>
      <c r="K182">
        <f t="shared" ref="K182:K245" si="30">IF(ISTEXT(D182),0,IF(D182&lt;=30,D182*50/30,IF(AND(D182&gt;30,D182&lt;=60),50+(D182-30)*50/30,IF(AND(D182&gt;60,D182&lt;=90),100+(D182-60)*100/30,IF(AND(D182&gt;90,D182&lt;=120),200+(D182-90)*(100/30),IF(AND(D182&gt;120,D182&lt;=250),300+(D182-120)*(100/130),IF(D182&gt;250,400+(D182-250)*(100/130))))))))</f>
        <v>42.583333333333336</v>
      </c>
      <c r="L182">
        <f t="shared" ref="L182:L245" si="31">IF(ISTEXT(E182),0,IF(E182&lt;=50,E182,IF(AND(E182&gt;50,E182&lt;=100),E182,IF(AND(E182&gt;100,E182&lt;=250),100+(E182-100)*100/150,IF(AND(E182&gt;250,E182&lt;=350),200+(E182-250),IF(AND(E182&gt;350,E182&lt;=430),300+(E182-350)*(100/80),IF(E182&gt;430,400+(E182-430)*(100/80))))))))</f>
        <v>47.3</v>
      </c>
      <c r="M182">
        <f t="shared" ref="M182:M245" si="32">IF(ISTEXT(F182),0,IF(F182&lt;=40,F182*50/40,IF(AND(F182&gt;40,F182&lt;=80),50+(F182-40)*50/40,IF(AND(F182&gt;80,F182&lt;=180),100+(F182-80)*100/100,IF(AND(F182&gt;180,F182&lt;=280),200+(F182-180)*(100/100),IF(AND(F182&gt;280,F182&lt;=400),300+(F182-280)*(100/120),IF(F182&gt;400,400+(F182-400)*(100/120))))))))</f>
        <v>26.587499999999999</v>
      </c>
      <c r="N182">
        <f t="shared" ref="N182:N245" si="33">IF(ISTEXT(G182),0,IF(G182&lt;=200,G182*50/200,IF(AND(G182&gt;200,G182&lt;=400),50+(G182-200)*50/200,IF(AND(G182&gt;400,G182&lt;=800),100+(G182-400)*100/400,IF(AND(G182&gt;800,G182&lt;=1200),200+(G182-800)*(100/400),IF(AND(G182&gt;1200,G182&lt;=1800),300+(G182-1200)*(100/600),IF(G182&gt;1800,400+(G182-1800)*(100/600))))))))</f>
        <v>2.1825000000000001</v>
      </c>
      <c r="O182">
        <f t="shared" ref="O182:O245" si="34">IF(ISTEXT(H182),0,IF(H182&lt;=40,H182*50/40,IF(AND(H182&gt;40,H182&lt;=80),50+(H182-40)*50/40,IF(AND(H182&gt;80,H182&lt;=380),100+(H182-80)*100/300,IF(AND(H182&gt;380,H182&lt;=800),200+(H182-380)*(100/420),IF(AND(H182&gt;800,H182&lt;=1600),300+(H182-800)*(100/800),IF(H182&gt;1600,400+(H182-1600)*(100/800))))))))</f>
        <v>3.6</v>
      </c>
      <c r="P182">
        <f t="shared" ref="P182:P245" si="35">IF(I182&lt;=4.4,(50-0)/(4.4-0)*(I182-0)+0,
IF(I182&lt;=9.4,(100-51)/(9.4-4.5)*(I182-4.5)+51,
IF(I182&lt;=12.4,(150-101)/(12.4-9.5)*(I182-9.5)+101,
IF(I182&lt;=15.4,(200-151)/(15.4-12.5)*(I182-12.5)+151,
IF(I182&lt;=30.4,(300-201)/(30.4-15.5)*(I182-15.5)+201,
(500-301)/(50.4-30.5)*(I182-30.5)+301)))))</f>
        <v>3.8636363636363638</v>
      </c>
      <c r="Q182">
        <f t="shared" ref="Q182:Q245" si="36">IF(J182&lt;=54,(50-0)/(54-0)*(J182-0)+0,
IF(J182&lt;=70,(100-51)/(70-55)*(J182-55)+51,
IF(J182&lt;=85,(150-101)/(85-71)*(J182-71)+101,
IF(J182&lt;=105,(200-151)/(105-86)*(J182-86)+151,
IF(J182&lt;=200,(300-201)/(200-106)*(J182-106)+201,
(500-301)/(300-201)*(J182-201)+301)))))</f>
        <v>16.287037037037038</v>
      </c>
      <c r="R182">
        <f t="shared" ref="R182:R245" si="37">MAX(K182:Q182)</f>
        <v>47.3</v>
      </c>
      <c r="S182" t="str">
        <f t="shared" ref="S182:S245" si="38">IF(R182&lt;=50,"Good",
IF(R182&lt;=100,"Satisfactory",
IF(R182&lt;=200,"Moderate",
IF(R182&lt;=300,"Poor",
IF(R182&lt;=400,"Very Poor",
"Severe")))))</f>
        <v>Good</v>
      </c>
      <c r="T182" t="str">
        <f t="shared" ref="T182:T245" si="39">IF(MAX(K182:Q182)=K182,"PM2.5",
IF(MAX(K182:Q182)=L182,"PM10",
IF(MAX(K182:Q182)=M182,"NO2",
IF(MAX(K182:Q182)=N182,"NH3",
IF(MAX(K182:Q182)=O182,"SO2",
IF(MAX(K182:Q182)=P182,"CO",
IF(MAX(K182:Q182)=Q182,"OZONE","")))))))</f>
        <v>PM10</v>
      </c>
      <c r="U182">
        <v>26.55</v>
      </c>
      <c r="V182">
        <v>64.28</v>
      </c>
    </row>
    <row r="183" spans="1:22" x14ac:dyDescent="0.3">
      <c r="A183" s="2" t="s">
        <v>15</v>
      </c>
      <c r="B183">
        <v>560026</v>
      </c>
      <c r="C183" s="3">
        <v>43659</v>
      </c>
      <c r="D183">
        <v>25.06</v>
      </c>
      <c r="E183">
        <v>45.53</v>
      </c>
      <c r="F183">
        <v>20.34</v>
      </c>
      <c r="G183">
        <v>8.86</v>
      </c>
      <c r="H183">
        <v>2.52</v>
      </c>
      <c r="I183">
        <v>0.34</v>
      </c>
      <c r="J183">
        <v>16.82</v>
      </c>
      <c r="K183">
        <f t="shared" si="30"/>
        <v>41.766666666666666</v>
      </c>
      <c r="L183">
        <f t="shared" si="31"/>
        <v>45.53</v>
      </c>
      <c r="M183">
        <f t="shared" si="32"/>
        <v>25.425000000000001</v>
      </c>
      <c r="N183">
        <f t="shared" si="33"/>
        <v>2.2149999999999999</v>
      </c>
      <c r="O183">
        <f t="shared" si="34"/>
        <v>3.15</v>
      </c>
      <c r="P183">
        <f t="shared" si="35"/>
        <v>3.8636363636363638</v>
      </c>
      <c r="Q183">
        <f t="shared" si="36"/>
        <v>15.574074074074074</v>
      </c>
      <c r="R183">
        <f t="shared" si="37"/>
        <v>45.53</v>
      </c>
      <c r="S183" t="str">
        <f t="shared" si="38"/>
        <v>Good</v>
      </c>
      <c r="T183" t="str">
        <f t="shared" si="39"/>
        <v>PM10</v>
      </c>
      <c r="U183">
        <v>26.33</v>
      </c>
      <c r="V183">
        <v>68.72</v>
      </c>
    </row>
    <row r="184" spans="1:22" x14ac:dyDescent="0.3">
      <c r="A184" s="2" t="s">
        <v>15</v>
      </c>
      <c r="B184">
        <v>560026</v>
      </c>
      <c r="C184" s="3">
        <v>43660</v>
      </c>
      <c r="D184">
        <v>29.28</v>
      </c>
      <c r="E184">
        <v>44.89</v>
      </c>
      <c r="F184">
        <v>19.350000000000001</v>
      </c>
      <c r="G184">
        <v>9.36</v>
      </c>
      <c r="H184">
        <v>2.89</v>
      </c>
      <c r="I184">
        <v>0.32</v>
      </c>
      <c r="J184">
        <v>15.71</v>
      </c>
      <c r="K184">
        <f t="shared" si="30"/>
        <v>48.8</v>
      </c>
      <c r="L184">
        <f t="shared" si="31"/>
        <v>44.89</v>
      </c>
      <c r="M184">
        <f t="shared" si="32"/>
        <v>24.187500000000004</v>
      </c>
      <c r="N184">
        <f t="shared" si="33"/>
        <v>2.34</v>
      </c>
      <c r="O184">
        <f t="shared" si="34"/>
        <v>3.6124999999999998</v>
      </c>
      <c r="P184">
        <f t="shared" si="35"/>
        <v>3.6363636363636362</v>
      </c>
      <c r="Q184">
        <f t="shared" si="36"/>
        <v>14.546296296296298</v>
      </c>
      <c r="R184">
        <f t="shared" si="37"/>
        <v>48.8</v>
      </c>
      <c r="S184" t="str">
        <f t="shared" si="38"/>
        <v>Good</v>
      </c>
      <c r="T184" t="str">
        <f t="shared" si="39"/>
        <v>PM2.5</v>
      </c>
      <c r="U184">
        <v>26.27</v>
      </c>
      <c r="V184">
        <v>69.12</v>
      </c>
    </row>
    <row r="185" spans="1:22" x14ac:dyDescent="0.3">
      <c r="A185" s="2" t="s">
        <v>15</v>
      </c>
      <c r="B185">
        <v>560026</v>
      </c>
      <c r="C185" s="3">
        <v>43661</v>
      </c>
      <c r="D185">
        <v>25.88</v>
      </c>
      <c r="E185">
        <v>44.28</v>
      </c>
      <c r="F185">
        <v>23.45</v>
      </c>
      <c r="G185">
        <v>9.5</v>
      </c>
      <c r="H185">
        <v>2.99</v>
      </c>
      <c r="I185">
        <v>0.39</v>
      </c>
      <c r="J185">
        <v>15.77</v>
      </c>
      <c r="K185">
        <f t="shared" si="30"/>
        <v>43.133333333333333</v>
      </c>
      <c r="L185">
        <f t="shared" si="31"/>
        <v>44.28</v>
      </c>
      <c r="M185">
        <f t="shared" si="32"/>
        <v>29.3125</v>
      </c>
      <c r="N185">
        <f t="shared" si="33"/>
        <v>2.375</v>
      </c>
      <c r="O185">
        <f t="shared" si="34"/>
        <v>3.7374999999999998</v>
      </c>
      <c r="P185">
        <f t="shared" si="35"/>
        <v>4.4318181818181817</v>
      </c>
      <c r="Q185">
        <f t="shared" si="36"/>
        <v>14.601851851851851</v>
      </c>
      <c r="R185">
        <f t="shared" si="37"/>
        <v>44.28</v>
      </c>
      <c r="S185" t="str">
        <f t="shared" si="38"/>
        <v>Good</v>
      </c>
      <c r="T185" t="str">
        <f t="shared" si="39"/>
        <v>PM10</v>
      </c>
      <c r="U185">
        <v>26.2</v>
      </c>
      <c r="V185">
        <v>70.03</v>
      </c>
    </row>
    <row r="186" spans="1:22" x14ac:dyDescent="0.3">
      <c r="A186" s="2" t="s">
        <v>15</v>
      </c>
      <c r="B186">
        <v>560026</v>
      </c>
      <c r="C186" s="3">
        <v>43662</v>
      </c>
      <c r="D186">
        <v>31.16</v>
      </c>
      <c r="E186">
        <v>53.41</v>
      </c>
      <c r="F186">
        <v>23.8</v>
      </c>
      <c r="G186">
        <v>9.83</v>
      </c>
      <c r="H186">
        <v>2.96</v>
      </c>
      <c r="I186">
        <v>0.38</v>
      </c>
      <c r="J186">
        <v>12.93</v>
      </c>
      <c r="K186">
        <f t="shared" si="30"/>
        <v>51.933333333333337</v>
      </c>
      <c r="L186">
        <f t="shared" si="31"/>
        <v>53.41</v>
      </c>
      <c r="M186">
        <f t="shared" si="32"/>
        <v>29.75</v>
      </c>
      <c r="N186">
        <f t="shared" si="33"/>
        <v>2.4575</v>
      </c>
      <c r="O186">
        <f t="shared" si="34"/>
        <v>3.7</v>
      </c>
      <c r="P186">
        <f t="shared" si="35"/>
        <v>4.3181818181818183</v>
      </c>
      <c r="Q186">
        <f t="shared" si="36"/>
        <v>11.972222222222221</v>
      </c>
      <c r="R186">
        <f t="shared" si="37"/>
        <v>53.41</v>
      </c>
      <c r="S186" t="str">
        <f t="shared" si="38"/>
        <v>Satisfactory</v>
      </c>
      <c r="T186" t="str">
        <f t="shared" si="39"/>
        <v>PM10</v>
      </c>
      <c r="U186">
        <v>25.99</v>
      </c>
      <c r="V186">
        <v>70.760000000000005</v>
      </c>
    </row>
    <row r="187" spans="1:22" x14ac:dyDescent="0.3">
      <c r="A187" s="2" t="s">
        <v>15</v>
      </c>
      <c r="B187">
        <v>560026</v>
      </c>
      <c r="C187" s="3">
        <v>43663</v>
      </c>
      <c r="D187">
        <v>32.950000000000003</v>
      </c>
      <c r="E187">
        <v>70.650000000000006</v>
      </c>
      <c r="F187">
        <v>27.06</v>
      </c>
      <c r="G187">
        <v>10.45</v>
      </c>
      <c r="H187">
        <v>3.01</v>
      </c>
      <c r="I187">
        <v>0.56000000000000005</v>
      </c>
      <c r="J187">
        <v>10.68</v>
      </c>
      <c r="K187">
        <f t="shared" si="30"/>
        <v>54.916666666666671</v>
      </c>
      <c r="L187">
        <f t="shared" si="31"/>
        <v>70.650000000000006</v>
      </c>
      <c r="M187">
        <f t="shared" si="32"/>
        <v>33.825000000000003</v>
      </c>
      <c r="N187">
        <f t="shared" si="33"/>
        <v>2.6124999999999998</v>
      </c>
      <c r="O187">
        <f t="shared" si="34"/>
        <v>3.7625000000000002</v>
      </c>
      <c r="P187">
        <f t="shared" si="35"/>
        <v>6.3636363636363642</v>
      </c>
      <c r="Q187">
        <f t="shared" si="36"/>
        <v>9.8888888888888893</v>
      </c>
      <c r="R187">
        <f t="shared" si="37"/>
        <v>70.650000000000006</v>
      </c>
      <c r="S187" t="str">
        <f t="shared" si="38"/>
        <v>Satisfactory</v>
      </c>
      <c r="T187" t="str">
        <f t="shared" si="39"/>
        <v>PM10</v>
      </c>
      <c r="U187">
        <v>26.5</v>
      </c>
      <c r="V187">
        <v>68.040000000000006</v>
      </c>
    </row>
    <row r="188" spans="1:22" x14ac:dyDescent="0.3">
      <c r="A188" s="2" t="s">
        <v>15</v>
      </c>
      <c r="B188">
        <v>560026</v>
      </c>
      <c r="C188" s="3">
        <v>43664</v>
      </c>
      <c r="D188">
        <v>36.520000000000003</v>
      </c>
      <c r="E188">
        <v>82.33</v>
      </c>
      <c r="F188">
        <v>28.57</v>
      </c>
      <c r="G188">
        <v>11.1</v>
      </c>
      <c r="H188">
        <v>2.91</v>
      </c>
      <c r="I188">
        <v>0.6</v>
      </c>
      <c r="J188">
        <v>12.83</v>
      </c>
      <c r="K188">
        <f t="shared" si="30"/>
        <v>60.866666666666674</v>
      </c>
      <c r="L188">
        <f t="shared" si="31"/>
        <v>82.33</v>
      </c>
      <c r="M188">
        <f t="shared" si="32"/>
        <v>35.712499999999999</v>
      </c>
      <c r="N188">
        <f t="shared" si="33"/>
        <v>2.7749999999999999</v>
      </c>
      <c r="O188">
        <f t="shared" si="34"/>
        <v>3.6375000000000002</v>
      </c>
      <c r="P188">
        <f t="shared" si="35"/>
        <v>6.8181818181818175</v>
      </c>
      <c r="Q188">
        <f t="shared" si="36"/>
        <v>11.87962962962963</v>
      </c>
      <c r="R188">
        <f t="shared" si="37"/>
        <v>82.33</v>
      </c>
      <c r="S188" t="str">
        <f t="shared" si="38"/>
        <v>Satisfactory</v>
      </c>
      <c r="T188" t="str">
        <f t="shared" si="39"/>
        <v>PM10</v>
      </c>
      <c r="U188">
        <v>26.32</v>
      </c>
      <c r="V188">
        <v>71.28</v>
      </c>
    </row>
    <row r="189" spans="1:22" x14ac:dyDescent="0.3">
      <c r="A189" s="2" t="s">
        <v>15</v>
      </c>
      <c r="B189">
        <v>560026</v>
      </c>
      <c r="C189" s="3">
        <v>43665</v>
      </c>
      <c r="D189">
        <v>25.16</v>
      </c>
      <c r="E189">
        <v>42.6</v>
      </c>
      <c r="F189">
        <v>22.88</v>
      </c>
      <c r="G189">
        <v>10.039999999999999</v>
      </c>
      <c r="H189">
        <v>2.75</v>
      </c>
      <c r="I189">
        <v>0.41</v>
      </c>
      <c r="J189">
        <v>12.14</v>
      </c>
      <c r="K189">
        <f t="shared" si="30"/>
        <v>41.93333333333333</v>
      </c>
      <c r="L189">
        <f t="shared" si="31"/>
        <v>42.6</v>
      </c>
      <c r="M189">
        <f t="shared" si="32"/>
        <v>28.6</v>
      </c>
      <c r="N189">
        <f t="shared" si="33"/>
        <v>2.5099999999999998</v>
      </c>
      <c r="O189">
        <f t="shared" si="34"/>
        <v>3.4375</v>
      </c>
      <c r="P189">
        <f t="shared" si="35"/>
        <v>4.6590909090909083</v>
      </c>
      <c r="Q189">
        <f t="shared" si="36"/>
        <v>11.24074074074074</v>
      </c>
      <c r="R189">
        <f t="shared" si="37"/>
        <v>42.6</v>
      </c>
      <c r="S189" t="str">
        <f t="shared" si="38"/>
        <v>Good</v>
      </c>
      <c r="T189" t="str">
        <f t="shared" si="39"/>
        <v>PM10</v>
      </c>
      <c r="U189">
        <v>25.37</v>
      </c>
      <c r="V189">
        <v>77.25</v>
      </c>
    </row>
    <row r="190" spans="1:22" x14ac:dyDescent="0.3">
      <c r="A190" s="2" t="s">
        <v>15</v>
      </c>
      <c r="B190">
        <v>560026</v>
      </c>
      <c r="C190" s="3">
        <v>43666</v>
      </c>
      <c r="D190">
        <v>31.52</v>
      </c>
      <c r="E190">
        <v>53.42</v>
      </c>
      <c r="F190">
        <v>20.67</v>
      </c>
      <c r="G190">
        <v>8.99</v>
      </c>
      <c r="H190">
        <v>2.94</v>
      </c>
      <c r="I190">
        <v>0.32</v>
      </c>
      <c r="J190">
        <v>17.170000000000002</v>
      </c>
      <c r="K190">
        <f t="shared" si="30"/>
        <v>52.533333333333331</v>
      </c>
      <c r="L190">
        <f t="shared" si="31"/>
        <v>53.42</v>
      </c>
      <c r="M190">
        <f t="shared" si="32"/>
        <v>25.837499999999999</v>
      </c>
      <c r="N190">
        <f t="shared" si="33"/>
        <v>2.2475000000000001</v>
      </c>
      <c r="O190">
        <f t="shared" si="34"/>
        <v>3.6749999999999998</v>
      </c>
      <c r="P190">
        <f t="shared" si="35"/>
        <v>3.6363636363636362</v>
      </c>
      <c r="Q190">
        <f t="shared" si="36"/>
        <v>15.898148148148151</v>
      </c>
      <c r="R190">
        <f t="shared" si="37"/>
        <v>53.42</v>
      </c>
      <c r="S190" t="str">
        <f t="shared" si="38"/>
        <v>Satisfactory</v>
      </c>
      <c r="T190" t="str">
        <f t="shared" si="39"/>
        <v>PM10</v>
      </c>
      <c r="U190">
        <v>25.09</v>
      </c>
      <c r="V190">
        <v>74.89</v>
      </c>
    </row>
    <row r="191" spans="1:22" x14ac:dyDescent="0.3">
      <c r="A191" s="2" t="s">
        <v>15</v>
      </c>
      <c r="B191">
        <v>560026</v>
      </c>
      <c r="C191" s="3">
        <v>43667</v>
      </c>
      <c r="D191">
        <v>18</v>
      </c>
      <c r="E191">
        <v>29.57</v>
      </c>
      <c r="F191">
        <v>18.809999999999999</v>
      </c>
      <c r="G191">
        <v>8.43</v>
      </c>
      <c r="H191">
        <v>2.58</v>
      </c>
      <c r="I191">
        <v>0.31</v>
      </c>
      <c r="J191">
        <v>17.57</v>
      </c>
      <c r="K191">
        <f t="shared" si="30"/>
        <v>30</v>
      </c>
      <c r="L191">
        <f t="shared" si="31"/>
        <v>29.57</v>
      </c>
      <c r="M191">
        <f t="shared" si="32"/>
        <v>23.512499999999996</v>
      </c>
      <c r="N191">
        <f t="shared" si="33"/>
        <v>2.1074999999999999</v>
      </c>
      <c r="O191">
        <f t="shared" si="34"/>
        <v>3.2250000000000001</v>
      </c>
      <c r="P191">
        <f t="shared" si="35"/>
        <v>3.5227272727272725</v>
      </c>
      <c r="Q191">
        <f t="shared" si="36"/>
        <v>16.268518518518519</v>
      </c>
      <c r="R191">
        <f t="shared" si="37"/>
        <v>30</v>
      </c>
      <c r="S191" t="str">
        <f t="shared" si="38"/>
        <v>Good</v>
      </c>
      <c r="T191" t="str">
        <f t="shared" si="39"/>
        <v>PM2.5</v>
      </c>
      <c r="U191">
        <v>24.79</v>
      </c>
      <c r="V191">
        <v>78.66</v>
      </c>
    </row>
    <row r="192" spans="1:22" x14ac:dyDescent="0.3">
      <c r="A192" s="2" t="s">
        <v>15</v>
      </c>
      <c r="B192">
        <v>560026</v>
      </c>
      <c r="C192" s="3">
        <v>43668</v>
      </c>
      <c r="D192">
        <v>20.350000000000001</v>
      </c>
      <c r="E192">
        <v>34.409999999999997</v>
      </c>
      <c r="F192">
        <v>21.98</v>
      </c>
      <c r="G192">
        <v>8.48</v>
      </c>
      <c r="H192">
        <v>2.78</v>
      </c>
      <c r="I192">
        <v>0.31</v>
      </c>
      <c r="J192">
        <v>19.11</v>
      </c>
      <c r="K192">
        <f t="shared" si="30"/>
        <v>33.916666666666671</v>
      </c>
      <c r="L192">
        <f t="shared" si="31"/>
        <v>34.409999999999997</v>
      </c>
      <c r="M192">
        <f t="shared" si="32"/>
        <v>27.475000000000001</v>
      </c>
      <c r="N192">
        <f t="shared" si="33"/>
        <v>2.12</v>
      </c>
      <c r="O192">
        <f t="shared" si="34"/>
        <v>3.4750000000000001</v>
      </c>
      <c r="P192">
        <f t="shared" si="35"/>
        <v>3.5227272727272725</v>
      </c>
      <c r="Q192">
        <f t="shared" si="36"/>
        <v>17.694444444444443</v>
      </c>
      <c r="R192">
        <f t="shared" si="37"/>
        <v>34.409999999999997</v>
      </c>
      <c r="S192" t="str">
        <f t="shared" si="38"/>
        <v>Good</v>
      </c>
      <c r="T192" t="str">
        <f t="shared" si="39"/>
        <v>PM10</v>
      </c>
      <c r="U192">
        <v>24.39</v>
      </c>
      <c r="V192">
        <v>78.900000000000006</v>
      </c>
    </row>
    <row r="193" spans="1:22" x14ac:dyDescent="0.3">
      <c r="A193" s="2" t="s">
        <v>15</v>
      </c>
      <c r="B193">
        <v>560026</v>
      </c>
      <c r="C193" s="3">
        <v>43669</v>
      </c>
      <c r="D193">
        <v>23.58</v>
      </c>
      <c r="E193">
        <v>42.76</v>
      </c>
      <c r="F193">
        <v>23.63</v>
      </c>
      <c r="G193">
        <v>8.6199999999999992</v>
      </c>
      <c r="H193">
        <v>2.88</v>
      </c>
      <c r="I193">
        <v>0.34</v>
      </c>
      <c r="J193">
        <v>15.22</v>
      </c>
      <c r="K193">
        <f t="shared" si="30"/>
        <v>39.299999999999997</v>
      </c>
      <c r="L193">
        <f t="shared" si="31"/>
        <v>42.76</v>
      </c>
      <c r="M193">
        <f t="shared" si="32"/>
        <v>29.537500000000001</v>
      </c>
      <c r="N193">
        <f t="shared" si="33"/>
        <v>2.1549999999999998</v>
      </c>
      <c r="O193">
        <f t="shared" si="34"/>
        <v>3.6</v>
      </c>
      <c r="P193">
        <f t="shared" si="35"/>
        <v>3.8636363636363638</v>
      </c>
      <c r="Q193">
        <f t="shared" si="36"/>
        <v>14.092592592592593</v>
      </c>
      <c r="R193">
        <f t="shared" si="37"/>
        <v>42.76</v>
      </c>
      <c r="S193" t="str">
        <f t="shared" si="38"/>
        <v>Good</v>
      </c>
      <c r="T193" t="str">
        <f t="shared" si="39"/>
        <v>PM10</v>
      </c>
      <c r="U193">
        <v>24.16</v>
      </c>
      <c r="V193">
        <v>79.31</v>
      </c>
    </row>
    <row r="194" spans="1:22" x14ac:dyDescent="0.3">
      <c r="A194" s="2" t="s">
        <v>15</v>
      </c>
      <c r="B194">
        <v>560026</v>
      </c>
      <c r="C194" s="3">
        <v>43670</v>
      </c>
      <c r="D194">
        <v>33.200000000000003</v>
      </c>
      <c r="E194">
        <v>56.92</v>
      </c>
      <c r="F194">
        <v>22.31</v>
      </c>
      <c r="G194">
        <v>8.9499999999999993</v>
      </c>
      <c r="H194">
        <v>2.77</v>
      </c>
      <c r="I194">
        <v>0.3</v>
      </c>
      <c r="J194">
        <v>17.02</v>
      </c>
      <c r="K194">
        <f t="shared" si="30"/>
        <v>55.333333333333336</v>
      </c>
      <c r="L194">
        <f t="shared" si="31"/>
        <v>56.92</v>
      </c>
      <c r="M194">
        <f t="shared" si="32"/>
        <v>27.887499999999999</v>
      </c>
      <c r="N194">
        <f t="shared" si="33"/>
        <v>2.2374999999999998</v>
      </c>
      <c r="O194">
        <f t="shared" si="34"/>
        <v>3.4624999999999999</v>
      </c>
      <c r="P194">
        <f t="shared" si="35"/>
        <v>3.4090909090909087</v>
      </c>
      <c r="Q194">
        <f t="shared" si="36"/>
        <v>15.75925925925926</v>
      </c>
      <c r="R194">
        <f t="shared" si="37"/>
        <v>56.92</v>
      </c>
      <c r="S194" t="str">
        <f t="shared" si="38"/>
        <v>Satisfactory</v>
      </c>
      <c r="T194" t="str">
        <f t="shared" si="39"/>
        <v>PM10</v>
      </c>
      <c r="U194">
        <v>25.58</v>
      </c>
      <c r="V194">
        <v>72.7</v>
      </c>
    </row>
    <row r="195" spans="1:22" x14ac:dyDescent="0.3">
      <c r="A195" s="2" t="s">
        <v>15</v>
      </c>
      <c r="B195">
        <v>560026</v>
      </c>
      <c r="C195" s="3">
        <v>43671</v>
      </c>
      <c r="D195">
        <v>27.05</v>
      </c>
      <c r="E195">
        <v>42.84</v>
      </c>
      <c r="F195">
        <v>22.92</v>
      </c>
      <c r="G195">
        <v>9.2100000000000009</v>
      </c>
      <c r="H195">
        <v>2.63</v>
      </c>
      <c r="I195">
        <v>0.41</v>
      </c>
      <c r="J195">
        <v>15.24</v>
      </c>
      <c r="K195">
        <f t="shared" si="30"/>
        <v>45.083333333333336</v>
      </c>
      <c r="L195">
        <f t="shared" si="31"/>
        <v>42.84</v>
      </c>
      <c r="M195">
        <f t="shared" si="32"/>
        <v>28.65</v>
      </c>
      <c r="N195">
        <f t="shared" si="33"/>
        <v>2.3025000000000002</v>
      </c>
      <c r="O195">
        <f t="shared" si="34"/>
        <v>3.2875000000000001</v>
      </c>
      <c r="P195">
        <f t="shared" si="35"/>
        <v>4.6590909090909083</v>
      </c>
      <c r="Q195">
        <f t="shared" si="36"/>
        <v>14.111111111111111</v>
      </c>
      <c r="R195">
        <f t="shared" si="37"/>
        <v>45.083333333333336</v>
      </c>
      <c r="S195" t="str">
        <f t="shared" si="38"/>
        <v>Good</v>
      </c>
      <c r="T195" t="str">
        <f t="shared" si="39"/>
        <v>PM2.5</v>
      </c>
      <c r="U195">
        <v>25.47</v>
      </c>
      <c r="V195">
        <v>76.42</v>
      </c>
    </row>
    <row r="196" spans="1:22" x14ac:dyDescent="0.3">
      <c r="A196" s="2" t="s">
        <v>15</v>
      </c>
      <c r="B196">
        <v>560026</v>
      </c>
      <c r="C196" s="3">
        <v>43672</v>
      </c>
      <c r="D196">
        <v>24.46</v>
      </c>
      <c r="E196">
        <v>41.05</v>
      </c>
      <c r="F196">
        <v>20.239999999999998</v>
      </c>
      <c r="G196">
        <v>9.99</v>
      </c>
      <c r="H196">
        <v>3.09</v>
      </c>
      <c r="I196">
        <v>0.32</v>
      </c>
      <c r="J196">
        <v>12.17</v>
      </c>
      <c r="K196">
        <f t="shared" si="30"/>
        <v>40.766666666666666</v>
      </c>
      <c r="L196">
        <f t="shared" si="31"/>
        <v>41.05</v>
      </c>
      <c r="M196">
        <f t="shared" si="32"/>
        <v>25.299999999999997</v>
      </c>
      <c r="N196">
        <f t="shared" si="33"/>
        <v>2.4975000000000001</v>
      </c>
      <c r="O196">
        <f t="shared" si="34"/>
        <v>3.8624999999999998</v>
      </c>
      <c r="P196">
        <f t="shared" si="35"/>
        <v>3.6363636363636362</v>
      </c>
      <c r="Q196">
        <f t="shared" si="36"/>
        <v>11.268518518518519</v>
      </c>
      <c r="R196">
        <f t="shared" si="37"/>
        <v>41.05</v>
      </c>
      <c r="S196" t="str">
        <f t="shared" si="38"/>
        <v>Good</v>
      </c>
      <c r="T196" t="str">
        <f t="shared" si="39"/>
        <v>PM10</v>
      </c>
      <c r="U196">
        <v>24.77</v>
      </c>
      <c r="V196">
        <v>75.38</v>
      </c>
    </row>
    <row r="197" spans="1:22" x14ac:dyDescent="0.3">
      <c r="A197" s="2" t="s">
        <v>15</v>
      </c>
      <c r="B197">
        <v>560026</v>
      </c>
      <c r="C197" s="3">
        <v>43673</v>
      </c>
      <c r="D197">
        <v>25.44</v>
      </c>
      <c r="E197">
        <v>53.07</v>
      </c>
      <c r="F197">
        <v>19.16</v>
      </c>
      <c r="G197">
        <v>11.06</v>
      </c>
      <c r="H197">
        <v>2.82</v>
      </c>
      <c r="I197">
        <v>0.36</v>
      </c>
      <c r="J197">
        <v>14.8</v>
      </c>
      <c r="K197">
        <f t="shared" si="30"/>
        <v>42.4</v>
      </c>
      <c r="L197">
        <f t="shared" si="31"/>
        <v>53.07</v>
      </c>
      <c r="M197">
        <f t="shared" si="32"/>
        <v>23.95</v>
      </c>
      <c r="N197">
        <f t="shared" si="33"/>
        <v>2.7650000000000001</v>
      </c>
      <c r="O197">
        <f t="shared" si="34"/>
        <v>3.5249999999999999</v>
      </c>
      <c r="P197">
        <f t="shared" si="35"/>
        <v>4.0909090909090908</v>
      </c>
      <c r="Q197">
        <f t="shared" si="36"/>
        <v>13.703703703703704</v>
      </c>
      <c r="R197">
        <f t="shared" si="37"/>
        <v>53.07</v>
      </c>
      <c r="S197" t="str">
        <f t="shared" si="38"/>
        <v>Satisfactory</v>
      </c>
      <c r="T197" t="str">
        <f t="shared" si="39"/>
        <v>PM10</v>
      </c>
      <c r="U197">
        <v>25.73</v>
      </c>
      <c r="V197">
        <v>68.53</v>
      </c>
    </row>
    <row r="198" spans="1:22" x14ac:dyDescent="0.3">
      <c r="A198" s="2" t="s">
        <v>15</v>
      </c>
      <c r="B198">
        <v>560026</v>
      </c>
      <c r="C198" s="3">
        <v>43674</v>
      </c>
      <c r="D198">
        <v>20.77</v>
      </c>
      <c r="E198">
        <v>39.229999999999997</v>
      </c>
      <c r="F198">
        <v>13.8</v>
      </c>
      <c r="G198">
        <v>10.99</v>
      </c>
      <c r="H198">
        <v>2.86</v>
      </c>
      <c r="I198">
        <v>0.17</v>
      </c>
      <c r="J198">
        <v>9.18</v>
      </c>
      <c r="K198">
        <f t="shared" si="30"/>
        <v>34.616666666666667</v>
      </c>
      <c r="L198">
        <f t="shared" si="31"/>
        <v>39.229999999999997</v>
      </c>
      <c r="M198">
        <f t="shared" si="32"/>
        <v>17.25</v>
      </c>
      <c r="N198">
        <f t="shared" si="33"/>
        <v>2.7475000000000001</v>
      </c>
      <c r="O198">
        <f t="shared" si="34"/>
        <v>3.5750000000000002</v>
      </c>
      <c r="P198">
        <f t="shared" si="35"/>
        <v>1.9318181818181819</v>
      </c>
      <c r="Q198">
        <f t="shared" si="36"/>
        <v>8.5</v>
      </c>
      <c r="R198">
        <f t="shared" si="37"/>
        <v>39.229999999999997</v>
      </c>
      <c r="S198" t="str">
        <f t="shared" si="38"/>
        <v>Good</v>
      </c>
      <c r="T198" t="str">
        <f t="shared" si="39"/>
        <v>PM10</v>
      </c>
      <c r="U198">
        <v>23.67</v>
      </c>
      <c r="V198">
        <v>80.2</v>
      </c>
    </row>
    <row r="199" spans="1:22" x14ac:dyDescent="0.3">
      <c r="A199" s="2" t="s">
        <v>15</v>
      </c>
      <c r="B199">
        <v>560026</v>
      </c>
      <c r="C199" s="3">
        <v>43675</v>
      </c>
      <c r="D199">
        <v>16.899999999999999</v>
      </c>
      <c r="E199">
        <v>44.86</v>
      </c>
      <c r="F199">
        <v>23.33</v>
      </c>
      <c r="G199">
        <v>13.94</v>
      </c>
      <c r="H199" t="s">
        <v>16</v>
      </c>
      <c r="I199">
        <v>0.25</v>
      </c>
      <c r="J199">
        <v>15.99</v>
      </c>
      <c r="K199">
        <f t="shared" si="30"/>
        <v>28.166666666666664</v>
      </c>
      <c r="L199">
        <f t="shared" si="31"/>
        <v>44.86</v>
      </c>
      <c r="M199">
        <f t="shared" si="32"/>
        <v>29.162500000000001</v>
      </c>
      <c r="N199">
        <f t="shared" si="33"/>
        <v>3.4849999999999999</v>
      </c>
      <c r="O199">
        <f t="shared" si="34"/>
        <v>0</v>
      </c>
      <c r="P199">
        <f t="shared" si="35"/>
        <v>2.8409090909090908</v>
      </c>
      <c r="Q199">
        <f t="shared" si="36"/>
        <v>14.805555555555555</v>
      </c>
      <c r="R199">
        <f t="shared" si="37"/>
        <v>44.86</v>
      </c>
      <c r="S199" t="str">
        <f t="shared" si="38"/>
        <v>Good</v>
      </c>
      <c r="T199" t="str">
        <f t="shared" si="39"/>
        <v>PM10</v>
      </c>
      <c r="U199">
        <v>26.15</v>
      </c>
      <c r="V199">
        <v>65.31</v>
      </c>
    </row>
    <row r="200" spans="1:22" x14ac:dyDescent="0.3">
      <c r="A200" s="2" t="s">
        <v>15</v>
      </c>
      <c r="B200">
        <v>560026</v>
      </c>
      <c r="C200" s="3">
        <v>43676</v>
      </c>
      <c r="D200">
        <v>31.11</v>
      </c>
      <c r="E200">
        <v>61.78</v>
      </c>
      <c r="F200">
        <v>22.04</v>
      </c>
      <c r="G200">
        <v>12.86</v>
      </c>
      <c r="H200">
        <v>3.18</v>
      </c>
      <c r="I200">
        <v>0.35</v>
      </c>
      <c r="J200">
        <v>12.07</v>
      </c>
      <c r="K200">
        <f t="shared" si="30"/>
        <v>51.85</v>
      </c>
      <c r="L200">
        <f t="shared" si="31"/>
        <v>61.78</v>
      </c>
      <c r="M200">
        <f t="shared" si="32"/>
        <v>27.55</v>
      </c>
      <c r="N200">
        <f t="shared" si="33"/>
        <v>3.2149999999999999</v>
      </c>
      <c r="O200">
        <f t="shared" si="34"/>
        <v>3.9750000000000001</v>
      </c>
      <c r="P200">
        <f t="shared" si="35"/>
        <v>3.9772727272727271</v>
      </c>
      <c r="Q200">
        <f t="shared" si="36"/>
        <v>11.175925925925926</v>
      </c>
      <c r="R200">
        <f t="shared" si="37"/>
        <v>61.78</v>
      </c>
      <c r="S200" t="str">
        <f t="shared" si="38"/>
        <v>Satisfactory</v>
      </c>
      <c r="T200" t="str">
        <f t="shared" si="39"/>
        <v>PM10</v>
      </c>
      <c r="U200">
        <v>24.87</v>
      </c>
      <c r="V200">
        <v>71.39</v>
      </c>
    </row>
    <row r="201" spans="1:22" x14ac:dyDescent="0.3">
      <c r="A201" s="2" t="s">
        <v>15</v>
      </c>
      <c r="B201">
        <v>560026</v>
      </c>
      <c r="C201" s="3">
        <v>43677</v>
      </c>
      <c r="D201">
        <v>35.94</v>
      </c>
      <c r="E201">
        <v>68.599999999999994</v>
      </c>
      <c r="F201">
        <v>24.56</v>
      </c>
      <c r="G201">
        <v>13.94</v>
      </c>
      <c r="H201">
        <v>3.07</v>
      </c>
      <c r="I201">
        <v>0.41</v>
      </c>
      <c r="J201">
        <v>11.13</v>
      </c>
      <c r="K201">
        <f t="shared" si="30"/>
        <v>59.9</v>
      </c>
      <c r="L201">
        <f t="shared" si="31"/>
        <v>68.599999999999994</v>
      </c>
      <c r="M201">
        <f t="shared" si="32"/>
        <v>30.7</v>
      </c>
      <c r="N201">
        <f t="shared" si="33"/>
        <v>3.4849999999999999</v>
      </c>
      <c r="O201">
        <f t="shared" si="34"/>
        <v>3.8374999999999999</v>
      </c>
      <c r="P201">
        <f t="shared" si="35"/>
        <v>4.6590909090909083</v>
      </c>
      <c r="Q201">
        <f t="shared" si="36"/>
        <v>10.305555555555557</v>
      </c>
      <c r="R201">
        <f t="shared" si="37"/>
        <v>68.599999999999994</v>
      </c>
      <c r="S201" t="str">
        <f t="shared" si="38"/>
        <v>Satisfactory</v>
      </c>
      <c r="T201" t="str">
        <f t="shared" si="39"/>
        <v>PM10</v>
      </c>
      <c r="U201">
        <v>25.75</v>
      </c>
      <c r="V201">
        <v>67.37</v>
      </c>
    </row>
    <row r="202" spans="1:22" x14ac:dyDescent="0.3">
      <c r="A202" s="2" t="s">
        <v>15</v>
      </c>
      <c r="B202">
        <v>560026</v>
      </c>
      <c r="C202" s="3">
        <v>43678</v>
      </c>
      <c r="D202">
        <v>26.88</v>
      </c>
      <c r="E202">
        <v>51.43</v>
      </c>
      <c r="F202">
        <v>20.16</v>
      </c>
      <c r="G202">
        <v>12.97</v>
      </c>
      <c r="H202">
        <v>3.2</v>
      </c>
      <c r="I202">
        <v>0.35</v>
      </c>
      <c r="J202">
        <v>13.63</v>
      </c>
      <c r="K202">
        <f t="shared" si="30"/>
        <v>44.8</v>
      </c>
      <c r="L202">
        <f t="shared" si="31"/>
        <v>51.43</v>
      </c>
      <c r="M202">
        <f t="shared" si="32"/>
        <v>25.2</v>
      </c>
      <c r="N202">
        <f t="shared" si="33"/>
        <v>3.2425000000000002</v>
      </c>
      <c r="O202">
        <f t="shared" si="34"/>
        <v>4</v>
      </c>
      <c r="P202">
        <f t="shared" si="35"/>
        <v>3.9772727272727271</v>
      </c>
      <c r="Q202">
        <f t="shared" si="36"/>
        <v>12.620370370370372</v>
      </c>
      <c r="R202">
        <f t="shared" si="37"/>
        <v>51.43</v>
      </c>
      <c r="S202" t="str">
        <f t="shared" si="38"/>
        <v>Satisfactory</v>
      </c>
      <c r="T202" t="str">
        <f t="shared" si="39"/>
        <v>PM10</v>
      </c>
      <c r="U202">
        <v>26.12</v>
      </c>
      <c r="V202">
        <v>65.64</v>
      </c>
    </row>
    <row r="203" spans="1:22" x14ac:dyDescent="0.3">
      <c r="A203" s="2" t="s">
        <v>15</v>
      </c>
      <c r="B203">
        <v>560026</v>
      </c>
      <c r="C203" s="3">
        <v>43679</v>
      </c>
      <c r="D203">
        <v>22.42</v>
      </c>
      <c r="E203">
        <v>43.1</v>
      </c>
      <c r="F203">
        <v>20.190000000000001</v>
      </c>
      <c r="G203">
        <v>11.25</v>
      </c>
      <c r="H203">
        <v>3.13</v>
      </c>
      <c r="I203">
        <v>0.4</v>
      </c>
      <c r="J203">
        <v>12.55</v>
      </c>
      <c r="K203">
        <f t="shared" si="30"/>
        <v>37.366666666666667</v>
      </c>
      <c r="L203">
        <f t="shared" si="31"/>
        <v>43.1</v>
      </c>
      <c r="M203">
        <f t="shared" si="32"/>
        <v>25.237500000000004</v>
      </c>
      <c r="N203">
        <f t="shared" si="33"/>
        <v>2.8125</v>
      </c>
      <c r="O203">
        <f t="shared" si="34"/>
        <v>3.9125000000000001</v>
      </c>
      <c r="P203">
        <f t="shared" si="35"/>
        <v>4.5454545454545459</v>
      </c>
      <c r="Q203">
        <f t="shared" si="36"/>
        <v>11.62037037037037</v>
      </c>
      <c r="R203">
        <f t="shared" si="37"/>
        <v>43.1</v>
      </c>
      <c r="S203" t="str">
        <f t="shared" si="38"/>
        <v>Good</v>
      </c>
      <c r="T203" t="str">
        <f t="shared" si="39"/>
        <v>PM10</v>
      </c>
      <c r="U203">
        <v>25.16</v>
      </c>
      <c r="V203">
        <v>69.66</v>
      </c>
    </row>
    <row r="204" spans="1:22" x14ac:dyDescent="0.3">
      <c r="A204" s="2" t="s">
        <v>15</v>
      </c>
      <c r="B204">
        <v>560026</v>
      </c>
      <c r="C204" s="3">
        <v>43680</v>
      </c>
      <c r="D204">
        <v>20.91</v>
      </c>
      <c r="E204">
        <v>44.42</v>
      </c>
      <c r="F204">
        <v>18.52</v>
      </c>
      <c r="G204">
        <v>11.11</v>
      </c>
      <c r="H204">
        <v>2.96</v>
      </c>
      <c r="I204">
        <v>0.31</v>
      </c>
      <c r="J204">
        <v>16.25</v>
      </c>
      <c r="K204">
        <f t="shared" si="30"/>
        <v>34.85</v>
      </c>
      <c r="L204">
        <f t="shared" si="31"/>
        <v>44.42</v>
      </c>
      <c r="M204">
        <f t="shared" si="32"/>
        <v>23.15</v>
      </c>
      <c r="N204">
        <f t="shared" si="33"/>
        <v>2.7774999999999999</v>
      </c>
      <c r="O204">
        <f t="shared" si="34"/>
        <v>3.7</v>
      </c>
      <c r="P204">
        <f t="shared" si="35"/>
        <v>3.5227272727272725</v>
      </c>
      <c r="Q204">
        <f t="shared" si="36"/>
        <v>15.046296296296296</v>
      </c>
      <c r="R204">
        <f t="shared" si="37"/>
        <v>44.42</v>
      </c>
      <c r="S204" t="str">
        <f t="shared" si="38"/>
        <v>Good</v>
      </c>
      <c r="T204" t="str">
        <f t="shared" si="39"/>
        <v>PM10</v>
      </c>
      <c r="U204">
        <v>25.61</v>
      </c>
      <c r="V204">
        <v>67.78</v>
      </c>
    </row>
    <row r="205" spans="1:22" x14ac:dyDescent="0.3">
      <c r="A205" s="2" t="s">
        <v>15</v>
      </c>
      <c r="B205">
        <v>560026</v>
      </c>
      <c r="C205" s="3">
        <v>43681</v>
      </c>
      <c r="D205">
        <v>23.65</v>
      </c>
      <c r="E205">
        <v>41.7</v>
      </c>
      <c r="F205">
        <v>14.02</v>
      </c>
      <c r="G205">
        <v>10.99</v>
      </c>
      <c r="H205">
        <v>3.17</v>
      </c>
      <c r="I205">
        <v>0.3</v>
      </c>
      <c r="J205">
        <v>15.69</v>
      </c>
      <c r="K205">
        <f t="shared" si="30"/>
        <v>39.416666666666664</v>
      </c>
      <c r="L205">
        <f t="shared" si="31"/>
        <v>41.7</v>
      </c>
      <c r="M205">
        <f t="shared" si="32"/>
        <v>17.524999999999999</v>
      </c>
      <c r="N205">
        <f t="shared" si="33"/>
        <v>2.7475000000000001</v>
      </c>
      <c r="O205">
        <f t="shared" si="34"/>
        <v>3.9624999999999999</v>
      </c>
      <c r="P205">
        <f t="shared" si="35"/>
        <v>3.4090909090909087</v>
      </c>
      <c r="Q205">
        <f t="shared" si="36"/>
        <v>14.527777777777777</v>
      </c>
      <c r="R205">
        <f t="shared" si="37"/>
        <v>41.7</v>
      </c>
      <c r="S205" t="str">
        <f t="shared" si="38"/>
        <v>Good</v>
      </c>
      <c r="T205" t="str">
        <f t="shared" si="39"/>
        <v>PM10</v>
      </c>
      <c r="U205">
        <v>25.42</v>
      </c>
      <c r="V205">
        <v>71.12</v>
      </c>
    </row>
    <row r="206" spans="1:22" x14ac:dyDescent="0.3">
      <c r="A206" s="2" t="s">
        <v>15</v>
      </c>
      <c r="B206">
        <v>560026</v>
      </c>
      <c r="C206" s="3">
        <v>43682</v>
      </c>
      <c r="D206">
        <v>19.96</v>
      </c>
      <c r="E206">
        <v>32.35</v>
      </c>
      <c r="F206">
        <v>15.81</v>
      </c>
      <c r="G206">
        <v>10.87</v>
      </c>
      <c r="H206">
        <v>2.9</v>
      </c>
      <c r="I206">
        <v>0.32</v>
      </c>
      <c r="J206">
        <v>9.2100000000000009</v>
      </c>
      <c r="K206">
        <f t="shared" si="30"/>
        <v>33.266666666666666</v>
      </c>
      <c r="L206">
        <f t="shared" si="31"/>
        <v>32.35</v>
      </c>
      <c r="M206">
        <f t="shared" si="32"/>
        <v>19.762499999999999</v>
      </c>
      <c r="N206">
        <f t="shared" si="33"/>
        <v>2.7174999999999998</v>
      </c>
      <c r="O206">
        <f t="shared" si="34"/>
        <v>3.625</v>
      </c>
      <c r="P206">
        <f t="shared" si="35"/>
        <v>3.6363636363636362</v>
      </c>
      <c r="Q206">
        <f t="shared" si="36"/>
        <v>8.5277777777777786</v>
      </c>
      <c r="R206">
        <f t="shared" si="37"/>
        <v>33.266666666666666</v>
      </c>
      <c r="S206" t="str">
        <f t="shared" si="38"/>
        <v>Good</v>
      </c>
      <c r="T206" t="str">
        <f t="shared" si="39"/>
        <v>PM2.5</v>
      </c>
      <c r="U206">
        <v>24.36</v>
      </c>
      <c r="V206">
        <v>78.38</v>
      </c>
    </row>
    <row r="207" spans="1:22" x14ac:dyDescent="0.3">
      <c r="A207" s="2" t="s">
        <v>15</v>
      </c>
      <c r="B207">
        <v>560026</v>
      </c>
      <c r="C207" s="3">
        <v>43683</v>
      </c>
      <c r="D207">
        <v>20.25</v>
      </c>
      <c r="E207">
        <v>32.880000000000003</v>
      </c>
      <c r="F207">
        <v>18.13</v>
      </c>
      <c r="G207">
        <v>10.68</v>
      </c>
      <c r="H207">
        <v>3.09</v>
      </c>
      <c r="I207">
        <v>0.34</v>
      </c>
      <c r="J207">
        <v>10.15</v>
      </c>
      <c r="K207">
        <f t="shared" si="30"/>
        <v>33.75</v>
      </c>
      <c r="L207">
        <f t="shared" si="31"/>
        <v>32.880000000000003</v>
      </c>
      <c r="M207">
        <f t="shared" si="32"/>
        <v>22.662500000000001</v>
      </c>
      <c r="N207">
        <f t="shared" si="33"/>
        <v>2.67</v>
      </c>
      <c r="O207">
        <f t="shared" si="34"/>
        <v>3.8624999999999998</v>
      </c>
      <c r="P207">
        <f t="shared" si="35"/>
        <v>3.8636363636363638</v>
      </c>
      <c r="Q207">
        <f t="shared" si="36"/>
        <v>9.3981481481481488</v>
      </c>
      <c r="R207">
        <f t="shared" si="37"/>
        <v>33.75</v>
      </c>
      <c r="S207" t="str">
        <f t="shared" si="38"/>
        <v>Good</v>
      </c>
      <c r="T207" t="str">
        <f t="shared" si="39"/>
        <v>PM2.5</v>
      </c>
      <c r="U207">
        <v>23.97</v>
      </c>
      <c r="V207">
        <v>79.599999999999994</v>
      </c>
    </row>
    <row r="208" spans="1:22" x14ac:dyDescent="0.3">
      <c r="A208" s="2" t="s">
        <v>15</v>
      </c>
      <c r="B208">
        <v>560026</v>
      </c>
      <c r="C208" s="3">
        <v>43684</v>
      </c>
      <c r="D208">
        <v>18.510000000000002</v>
      </c>
      <c r="E208">
        <v>35.78</v>
      </c>
      <c r="F208">
        <v>15.38</v>
      </c>
      <c r="G208">
        <v>10.34</v>
      </c>
      <c r="H208">
        <v>3.22</v>
      </c>
      <c r="I208">
        <v>0.4</v>
      </c>
      <c r="J208">
        <v>6.82</v>
      </c>
      <c r="K208">
        <f t="shared" si="30"/>
        <v>30.850000000000005</v>
      </c>
      <c r="L208">
        <f t="shared" si="31"/>
        <v>35.78</v>
      </c>
      <c r="M208">
        <f t="shared" si="32"/>
        <v>19.225000000000001</v>
      </c>
      <c r="N208">
        <f t="shared" si="33"/>
        <v>2.585</v>
      </c>
      <c r="O208">
        <f t="shared" si="34"/>
        <v>4.0250000000000004</v>
      </c>
      <c r="P208">
        <f t="shared" si="35"/>
        <v>4.5454545454545459</v>
      </c>
      <c r="Q208">
        <f t="shared" si="36"/>
        <v>6.3148148148148149</v>
      </c>
      <c r="R208">
        <f t="shared" si="37"/>
        <v>35.78</v>
      </c>
      <c r="S208" t="str">
        <f t="shared" si="38"/>
        <v>Good</v>
      </c>
      <c r="T208" t="str">
        <f t="shared" si="39"/>
        <v>PM10</v>
      </c>
      <c r="U208">
        <v>24.13</v>
      </c>
      <c r="V208">
        <v>81.55</v>
      </c>
    </row>
    <row r="209" spans="1:22" x14ac:dyDescent="0.3">
      <c r="A209" s="2" t="s">
        <v>15</v>
      </c>
      <c r="B209">
        <v>560026</v>
      </c>
      <c r="C209" s="3">
        <v>43685</v>
      </c>
      <c r="D209">
        <v>21.12</v>
      </c>
      <c r="E209">
        <v>29.86</v>
      </c>
      <c r="F209">
        <v>16.88</v>
      </c>
      <c r="G209">
        <v>10.63</v>
      </c>
      <c r="H209">
        <v>3.11</v>
      </c>
      <c r="I209">
        <v>0.38</v>
      </c>
      <c r="J209">
        <v>7.47</v>
      </c>
      <c r="K209">
        <f t="shared" si="30"/>
        <v>35.200000000000003</v>
      </c>
      <c r="L209">
        <f t="shared" si="31"/>
        <v>29.86</v>
      </c>
      <c r="M209">
        <f t="shared" si="32"/>
        <v>21.1</v>
      </c>
      <c r="N209">
        <f t="shared" si="33"/>
        <v>2.6575000000000002</v>
      </c>
      <c r="O209">
        <f t="shared" si="34"/>
        <v>3.8875000000000002</v>
      </c>
      <c r="P209">
        <f t="shared" si="35"/>
        <v>4.3181818181818183</v>
      </c>
      <c r="Q209">
        <f t="shared" si="36"/>
        <v>6.9166666666666661</v>
      </c>
      <c r="R209">
        <f t="shared" si="37"/>
        <v>35.200000000000003</v>
      </c>
      <c r="S209" t="str">
        <f t="shared" si="38"/>
        <v>Good</v>
      </c>
      <c r="T209" t="str">
        <f t="shared" si="39"/>
        <v>PM2.5</v>
      </c>
      <c r="U209">
        <v>24.06</v>
      </c>
      <c r="V209">
        <v>83.62</v>
      </c>
    </row>
    <row r="210" spans="1:22" x14ac:dyDescent="0.3">
      <c r="A210" s="2" t="s">
        <v>15</v>
      </c>
      <c r="B210">
        <v>560026</v>
      </c>
      <c r="C210" s="3">
        <v>43686</v>
      </c>
      <c r="D210">
        <v>20.51</v>
      </c>
      <c r="E210">
        <v>28.71</v>
      </c>
      <c r="F210">
        <v>18.16</v>
      </c>
      <c r="G210">
        <v>10.19</v>
      </c>
      <c r="H210">
        <v>3.07</v>
      </c>
      <c r="I210">
        <v>0.32</v>
      </c>
      <c r="J210">
        <v>9.48</v>
      </c>
      <c r="K210">
        <f t="shared" si="30"/>
        <v>34.18333333333333</v>
      </c>
      <c r="L210">
        <f t="shared" si="31"/>
        <v>28.71</v>
      </c>
      <c r="M210">
        <f t="shared" si="32"/>
        <v>22.7</v>
      </c>
      <c r="N210">
        <f t="shared" si="33"/>
        <v>2.5474999999999999</v>
      </c>
      <c r="O210">
        <f t="shared" si="34"/>
        <v>3.8374999999999999</v>
      </c>
      <c r="P210">
        <f t="shared" si="35"/>
        <v>3.6363636363636362</v>
      </c>
      <c r="Q210">
        <f t="shared" si="36"/>
        <v>8.7777777777777786</v>
      </c>
      <c r="R210">
        <f t="shared" si="37"/>
        <v>34.18333333333333</v>
      </c>
      <c r="S210" t="str">
        <f t="shared" si="38"/>
        <v>Good</v>
      </c>
      <c r="T210" t="str">
        <f t="shared" si="39"/>
        <v>PM2.5</v>
      </c>
      <c r="U210">
        <v>23.97</v>
      </c>
      <c r="V210">
        <v>83.54</v>
      </c>
    </row>
    <row r="211" spans="1:22" x14ac:dyDescent="0.3">
      <c r="A211" s="2" t="s">
        <v>15</v>
      </c>
      <c r="B211">
        <v>560026</v>
      </c>
      <c r="C211" s="3">
        <v>43687</v>
      </c>
      <c r="D211">
        <v>20.28</v>
      </c>
      <c r="E211">
        <v>31.35</v>
      </c>
      <c r="F211">
        <v>18.559999999999999</v>
      </c>
      <c r="G211">
        <v>9.6</v>
      </c>
      <c r="H211">
        <v>2.81</v>
      </c>
      <c r="I211">
        <v>0.3</v>
      </c>
      <c r="J211">
        <v>13.25</v>
      </c>
      <c r="K211">
        <f t="shared" si="30"/>
        <v>33.799999999999997</v>
      </c>
      <c r="L211">
        <f t="shared" si="31"/>
        <v>31.35</v>
      </c>
      <c r="M211">
        <f t="shared" si="32"/>
        <v>23.199999999999996</v>
      </c>
      <c r="N211">
        <f t="shared" si="33"/>
        <v>2.4</v>
      </c>
      <c r="O211">
        <f t="shared" si="34"/>
        <v>3.5125000000000002</v>
      </c>
      <c r="P211">
        <f t="shared" si="35"/>
        <v>3.4090909090909087</v>
      </c>
      <c r="Q211">
        <f t="shared" si="36"/>
        <v>12.268518518518519</v>
      </c>
      <c r="R211">
        <f t="shared" si="37"/>
        <v>33.799999999999997</v>
      </c>
      <c r="S211" t="str">
        <f t="shared" si="38"/>
        <v>Good</v>
      </c>
      <c r="T211" t="str">
        <f t="shared" si="39"/>
        <v>PM2.5</v>
      </c>
      <c r="U211">
        <v>24.33</v>
      </c>
      <c r="V211">
        <v>77.78</v>
      </c>
    </row>
    <row r="212" spans="1:22" x14ac:dyDescent="0.3">
      <c r="A212" s="2" t="s">
        <v>15</v>
      </c>
      <c r="B212">
        <v>560026</v>
      </c>
      <c r="C212" s="3">
        <v>43688</v>
      </c>
      <c r="D212">
        <v>21.35</v>
      </c>
      <c r="E212">
        <v>40.42</v>
      </c>
      <c r="F212">
        <v>15.37</v>
      </c>
      <c r="G212">
        <v>10.199999999999999</v>
      </c>
      <c r="H212">
        <v>2.99</v>
      </c>
      <c r="I212">
        <v>0.28999999999999998</v>
      </c>
      <c r="J212">
        <v>11</v>
      </c>
      <c r="K212">
        <f t="shared" si="30"/>
        <v>35.583333333333336</v>
      </c>
      <c r="L212">
        <f t="shared" si="31"/>
        <v>40.42</v>
      </c>
      <c r="M212">
        <f t="shared" si="32"/>
        <v>19.212499999999999</v>
      </c>
      <c r="N212">
        <f t="shared" si="33"/>
        <v>2.5499999999999998</v>
      </c>
      <c r="O212">
        <f t="shared" si="34"/>
        <v>3.7374999999999998</v>
      </c>
      <c r="P212">
        <f t="shared" si="35"/>
        <v>3.295454545454545</v>
      </c>
      <c r="Q212">
        <f t="shared" si="36"/>
        <v>10.185185185185185</v>
      </c>
      <c r="R212">
        <f t="shared" si="37"/>
        <v>40.42</v>
      </c>
      <c r="S212" t="str">
        <f t="shared" si="38"/>
        <v>Good</v>
      </c>
      <c r="T212" t="str">
        <f t="shared" si="39"/>
        <v>PM10</v>
      </c>
      <c r="U212">
        <v>24.82</v>
      </c>
      <c r="V212">
        <v>75.099999999999994</v>
      </c>
    </row>
    <row r="213" spans="1:22" x14ac:dyDescent="0.3">
      <c r="A213" s="2" t="s">
        <v>15</v>
      </c>
      <c r="B213">
        <v>560026</v>
      </c>
      <c r="C213" s="3">
        <v>43689</v>
      </c>
      <c r="D213">
        <v>26.56</v>
      </c>
      <c r="E213">
        <v>52.13</v>
      </c>
      <c r="F213">
        <v>19.260000000000002</v>
      </c>
      <c r="G213">
        <v>12.37</v>
      </c>
      <c r="H213">
        <v>3.19</v>
      </c>
      <c r="I213">
        <v>0.49</v>
      </c>
      <c r="J213">
        <v>8.42</v>
      </c>
      <c r="K213">
        <f t="shared" si="30"/>
        <v>44.266666666666666</v>
      </c>
      <c r="L213">
        <f t="shared" si="31"/>
        <v>52.13</v>
      </c>
      <c r="M213">
        <f t="shared" si="32"/>
        <v>24.075000000000003</v>
      </c>
      <c r="N213">
        <f t="shared" si="33"/>
        <v>3.0924999999999998</v>
      </c>
      <c r="O213">
        <f t="shared" si="34"/>
        <v>3.9874999999999998</v>
      </c>
      <c r="P213">
        <f t="shared" si="35"/>
        <v>5.5681818181818183</v>
      </c>
      <c r="Q213">
        <f t="shared" si="36"/>
        <v>7.7962962962962958</v>
      </c>
      <c r="R213">
        <f t="shared" si="37"/>
        <v>52.13</v>
      </c>
      <c r="S213" t="str">
        <f t="shared" si="38"/>
        <v>Satisfactory</v>
      </c>
      <c r="T213" t="str">
        <f t="shared" si="39"/>
        <v>PM10</v>
      </c>
      <c r="U213">
        <v>25.04</v>
      </c>
      <c r="V213">
        <v>77.22</v>
      </c>
    </row>
    <row r="214" spans="1:22" x14ac:dyDescent="0.3">
      <c r="A214" s="2" t="s">
        <v>15</v>
      </c>
      <c r="B214">
        <v>560026</v>
      </c>
      <c r="C214" s="3">
        <v>43690</v>
      </c>
      <c r="D214">
        <v>24.31</v>
      </c>
      <c r="E214">
        <v>47.59</v>
      </c>
      <c r="F214">
        <v>20.56</v>
      </c>
      <c r="G214">
        <v>12.3</v>
      </c>
      <c r="H214">
        <v>3.01</v>
      </c>
      <c r="I214">
        <v>0.51</v>
      </c>
      <c r="J214">
        <v>10.78</v>
      </c>
      <c r="K214">
        <f t="shared" si="30"/>
        <v>40.516666666666666</v>
      </c>
      <c r="L214">
        <f t="shared" si="31"/>
        <v>47.59</v>
      </c>
      <c r="M214">
        <f t="shared" si="32"/>
        <v>25.7</v>
      </c>
      <c r="N214">
        <f t="shared" si="33"/>
        <v>3.0750000000000002</v>
      </c>
      <c r="O214">
        <f t="shared" si="34"/>
        <v>3.7625000000000002</v>
      </c>
      <c r="P214">
        <f t="shared" si="35"/>
        <v>5.795454545454545</v>
      </c>
      <c r="Q214">
        <f t="shared" si="36"/>
        <v>9.981481481481481</v>
      </c>
      <c r="R214">
        <f t="shared" si="37"/>
        <v>47.59</v>
      </c>
      <c r="S214" t="str">
        <f t="shared" si="38"/>
        <v>Good</v>
      </c>
      <c r="T214" t="str">
        <f t="shared" si="39"/>
        <v>PM10</v>
      </c>
      <c r="U214">
        <v>25.21</v>
      </c>
      <c r="V214">
        <v>75.72</v>
      </c>
    </row>
    <row r="215" spans="1:22" x14ac:dyDescent="0.3">
      <c r="A215" s="2" t="s">
        <v>15</v>
      </c>
      <c r="B215">
        <v>560026</v>
      </c>
      <c r="C215" s="3">
        <v>43691</v>
      </c>
      <c r="D215">
        <v>22.11</v>
      </c>
      <c r="E215">
        <v>38.33</v>
      </c>
      <c r="F215">
        <v>20.309999999999999</v>
      </c>
      <c r="G215">
        <v>11.6</v>
      </c>
      <c r="H215">
        <v>2.79</v>
      </c>
      <c r="I215">
        <v>0.37</v>
      </c>
      <c r="J215">
        <v>15.85</v>
      </c>
      <c r="K215">
        <f t="shared" si="30"/>
        <v>36.85</v>
      </c>
      <c r="L215">
        <f t="shared" si="31"/>
        <v>38.33</v>
      </c>
      <c r="M215">
        <f t="shared" si="32"/>
        <v>25.387499999999996</v>
      </c>
      <c r="N215">
        <f t="shared" si="33"/>
        <v>2.9</v>
      </c>
      <c r="O215">
        <f t="shared" si="34"/>
        <v>3.4874999999999998</v>
      </c>
      <c r="P215">
        <f t="shared" si="35"/>
        <v>4.2045454545454541</v>
      </c>
      <c r="Q215">
        <f t="shared" si="36"/>
        <v>14.675925925925926</v>
      </c>
      <c r="R215">
        <f t="shared" si="37"/>
        <v>38.33</v>
      </c>
      <c r="S215" t="str">
        <f t="shared" si="38"/>
        <v>Good</v>
      </c>
      <c r="T215" t="str">
        <f t="shared" si="39"/>
        <v>PM10</v>
      </c>
      <c r="U215">
        <v>24.68</v>
      </c>
      <c r="V215">
        <v>78.22</v>
      </c>
    </row>
    <row r="216" spans="1:22" x14ac:dyDescent="0.3">
      <c r="A216" s="2" t="s">
        <v>15</v>
      </c>
      <c r="B216">
        <v>560026</v>
      </c>
      <c r="C216" s="3">
        <v>43692</v>
      </c>
      <c r="D216">
        <v>20.21</v>
      </c>
      <c r="E216">
        <v>40.42</v>
      </c>
      <c r="F216">
        <v>19.059999999999999</v>
      </c>
      <c r="G216">
        <v>10.54</v>
      </c>
      <c r="H216">
        <v>3.02</v>
      </c>
      <c r="I216">
        <v>0.41</v>
      </c>
      <c r="J216">
        <v>19.07</v>
      </c>
      <c r="K216">
        <f t="shared" si="30"/>
        <v>33.68333333333333</v>
      </c>
      <c r="L216">
        <f t="shared" si="31"/>
        <v>40.42</v>
      </c>
      <c r="M216">
        <f t="shared" si="32"/>
        <v>23.824999999999996</v>
      </c>
      <c r="N216">
        <f t="shared" si="33"/>
        <v>2.6349999999999998</v>
      </c>
      <c r="O216">
        <f t="shared" si="34"/>
        <v>3.7749999999999999</v>
      </c>
      <c r="P216">
        <f t="shared" si="35"/>
        <v>4.6590909090909083</v>
      </c>
      <c r="Q216">
        <f t="shared" si="36"/>
        <v>17.657407407407408</v>
      </c>
      <c r="R216">
        <f t="shared" si="37"/>
        <v>40.42</v>
      </c>
      <c r="S216" t="str">
        <f t="shared" si="38"/>
        <v>Good</v>
      </c>
      <c r="T216" t="str">
        <f t="shared" si="39"/>
        <v>PM10</v>
      </c>
      <c r="U216">
        <v>24.95</v>
      </c>
      <c r="V216">
        <v>76.31</v>
      </c>
    </row>
    <row r="217" spans="1:22" x14ac:dyDescent="0.3">
      <c r="A217" s="2" t="s">
        <v>15</v>
      </c>
      <c r="B217">
        <v>560026</v>
      </c>
      <c r="C217" s="3">
        <v>43693</v>
      </c>
      <c r="D217">
        <v>17.36</v>
      </c>
      <c r="E217">
        <v>42.63</v>
      </c>
      <c r="F217">
        <v>19.87</v>
      </c>
      <c r="G217">
        <v>11.85</v>
      </c>
      <c r="H217">
        <v>2.91</v>
      </c>
      <c r="I217">
        <v>0.41</v>
      </c>
      <c r="J217">
        <v>8.8800000000000008</v>
      </c>
      <c r="K217">
        <f t="shared" si="30"/>
        <v>28.933333333333334</v>
      </c>
      <c r="L217">
        <f t="shared" si="31"/>
        <v>42.63</v>
      </c>
      <c r="M217">
        <f t="shared" si="32"/>
        <v>24.837499999999999</v>
      </c>
      <c r="N217">
        <f t="shared" si="33"/>
        <v>2.9624999999999999</v>
      </c>
      <c r="O217">
        <f t="shared" si="34"/>
        <v>3.6375000000000002</v>
      </c>
      <c r="P217">
        <f t="shared" si="35"/>
        <v>4.6590909090909083</v>
      </c>
      <c r="Q217">
        <f t="shared" si="36"/>
        <v>8.2222222222222232</v>
      </c>
      <c r="R217">
        <f t="shared" si="37"/>
        <v>42.63</v>
      </c>
      <c r="S217" t="str">
        <f t="shared" si="38"/>
        <v>Good</v>
      </c>
      <c r="T217" t="str">
        <f t="shared" si="39"/>
        <v>PM10</v>
      </c>
      <c r="U217">
        <v>24.77</v>
      </c>
      <c r="V217">
        <v>79.61</v>
      </c>
    </row>
    <row r="218" spans="1:22" x14ac:dyDescent="0.3">
      <c r="A218" s="2" t="s">
        <v>15</v>
      </c>
      <c r="B218">
        <v>560026</v>
      </c>
      <c r="C218" s="3">
        <v>43694</v>
      </c>
      <c r="D218">
        <v>28.23</v>
      </c>
      <c r="E218">
        <v>64.45</v>
      </c>
      <c r="F218">
        <v>21.77</v>
      </c>
      <c r="G218">
        <v>12.61</v>
      </c>
      <c r="H218">
        <v>2.88</v>
      </c>
      <c r="I218">
        <v>0.53</v>
      </c>
      <c r="J218">
        <v>8.4700000000000006</v>
      </c>
      <c r="K218">
        <f t="shared" si="30"/>
        <v>47.05</v>
      </c>
      <c r="L218">
        <f t="shared" si="31"/>
        <v>64.45</v>
      </c>
      <c r="M218">
        <f t="shared" si="32"/>
        <v>27.212499999999999</v>
      </c>
      <c r="N218">
        <f t="shared" si="33"/>
        <v>3.1524999999999999</v>
      </c>
      <c r="O218">
        <f t="shared" si="34"/>
        <v>3.6</v>
      </c>
      <c r="P218">
        <f t="shared" si="35"/>
        <v>6.0227272727272725</v>
      </c>
      <c r="Q218">
        <f t="shared" si="36"/>
        <v>7.8425925925925934</v>
      </c>
      <c r="R218">
        <f t="shared" si="37"/>
        <v>64.45</v>
      </c>
      <c r="S218" t="str">
        <f t="shared" si="38"/>
        <v>Satisfactory</v>
      </c>
      <c r="T218" t="str">
        <f t="shared" si="39"/>
        <v>PM10</v>
      </c>
      <c r="U218">
        <v>24.17</v>
      </c>
      <c r="V218">
        <v>81.260000000000005</v>
      </c>
    </row>
    <row r="219" spans="1:22" x14ac:dyDescent="0.3">
      <c r="A219" s="2" t="s">
        <v>15</v>
      </c>
      <c r="B219">
        <v>560026</v>
      </c>
      <c r="C219" s="3">
        <v>43695</v>
      </c>
      <c r="D219">
        <v>29</v>
      </c>
      <c r="E219">
        <v>52.75</v>
      </c>
      <c r="F219">
        <v>19.27</v>
      </c>
      <c r="G219">
        <v>13.11</v>
      </c>
      <c r="H219">
        <v>3.14</v>
      </c>
      <c r="I219">
        <v>0.47</v>
      </c>
      <c r="J219">
        <v>7.33</v>
      </c>
      <c r="K219">
        <f t="shared" si="30"/>
        <v>48.333333333333336</v>
      </c>
      <c r="L219">
        <f t="shared" si="31"/>
        <v>52.75</v>
      </c>
      <c r="M219">
        <f t="shared" si="32"/>
        <v>24.087499999999999</v>
      </c>
      <c r="N219">
        <f t="shared" si="33"/>
        <v>3.2774999999999999</v>
      </c>
      <c r="O219">
        <f t="shared" si="34"/>
        <v>3.9249999999999998</v>
      </c>
      <c r="P219">
        <f t="shared" si="35"/>
        <v>5.3409090909090908</v>
      </c>
      <c r="Q219">
        <f t="shared" si="36"/>
        <v>6.7870370370370372</v>
      </c>
      <c r="R219">
        <f t="shared" si="37"/>
        <v>52.75</v>
      </c>
      <c r="S219" t="str">
        <f t="shared" si="38"/>
        <v>Satisfactory</v>
      </c>
      <c r="T219" t="str">
        <f t="shared" si="39"/>
        <v>PM10</v>
      </c>
      <c r="U219">
        <v>23.95</v>
      </c>
      <c r="V219">
        <v>86.11</v>
      </c>
    </row>
    <row r="220" spans="1:22" x14ac:dyDescent="0.3">
      <c r="A220" s="2" t="s">
        <v>15</v>
      </c>
      <c r="B220">
        <v>560026</v>
      </c>
      <c r="C220" s="3">
        <v>43696</v>
      </c>
      <c r="D220">
        <v>25.99</v>
      </c>
      <c r="E220">
        <v>57.11</v>
      </c>
      <c r="F220">
        <v>23.19</v>
      </c>
      <c r="G220">
        <v>12.77</v>
      </c>
      <c r="H220">
        <v>2.81</v>
      </c>
      <c r="I220">
        <v>0.52</v>
      </c>
      <c r="J220">
        <v>9.4</v>
      </c>
      <c r="K220">
        <f t="shared" si="30"/>
        <v>43.31666666666667</v>
      </c>
      <c r="L220">
        <f t="shared" si="31"/>
        <v>57.11</v>
      </c>
      <c r="M220">
        <f t="shared" si="32"/>
        <v>28.987500000000001</v>
      </c>
      <c r="N220">
        <f t="shared" si="33"/>
        <v>3.1924999999999999</v>
      </c>
      <c r="O220">
        <f t="shared" si="34"/>
        <v>3.5125000000000002</v>
      </c>
      <c r="P220">
        <f t="shared" si="35"/>
        <v>5.9090909090909092</v>
      </c>
      <c r="Q220">
        <f t="shared" si="36"/>
        <v>8.7037037037037042</v>
      </c>
      <c r="R220">
        <f t="shared" si="37"/>
        <v>57.11</v>
      </c>
      <c r="S220" t="str">
        <f t="shared" si="38"/>
        <v>Satisfactory</v>
      </c>
      <c r="T220" t="str">
        <f t="shared" si="39"/>
        <v>PM10</v>
      </c>
      <c r="U220">
        <v>25.35</v>
      </c>
      <c r="V220">
        <v>76.81</v>
      </c>
    </row>
    <row r="221" spans="1:22" x14ac:dyDescent="0.3">
      <c r="A221" s="2" t="s">
        <v>15</v>
      </c>
      <c r="B221">
        <v>560026</v>
      </c>
      <c r="C221" s="3">
        <v>43697</v>
      </c>
      <c r="D221">
        <v>28.09</v>
      </c>
      <c r="E221">
        <v>74.540000000000006</v>
      </c>
      <c r="F221">
        <v>23.02</v>
      </c>
      <c r="G221">
        <v>12.99</v>
      </c>
      <c r="H221">
        <v>2.72</v>
      </c>
      <c r="I221">
        <v>0.56999999999999995</v>
      </c>
      <c r="J221">
        <v>5.31</v>
      </c>
      <c r="K221">
        <f t="shared" si="30"/>
        <v>46.81666666666667</v>
      </c>
      <c r="L221">
        <f t="shared" si="31"/>
        <v>74.540000000000006</v>
      </c>
      <c r="M221">
        <f t="shared" si="32"/>
        <v>28.774999999999999</v>
      </c>
      <c r="N221">
        <f t="shared" si="33"/>
        <v>3.2475000000000001</v>
      </c>
      <c r="O221">
        <f t="shared" si="34"/>
        <v>3.4</v>
      </c>
      <c r="P221">
        <f t="shared" si="35"/>
        <v>6.4772727272727266</v>
      </c>
      <c r="Q221">
        <f t="shared" si="36"/>
        <v>4.9166666666666661</v>
      </c>
      <c r="R221">
        <f t="shared" si="37"/>
        <v>74.540000000000006</v>
      </c>
      <c r="S221" t="str">
        <f t="shared" si="38"/>
        <v>Satisfactory</v>
      </c>
      <c r="T221" t="str">
        <f t="shared" si="39"/>
        <v>PM10</v>
      </c>
      <c r="U221">
        <v>24.74</v>
      </c>
      <c r="V221">
        <v>80.959999999999994</v>
      </c>
    </row>
    <row r="222" spans="1:22" x14ac:dyDescent="0.3">
      <c r="A222" s="2" t="s">
        <v>15</v>
      </c>
      <c r="B222">
        <v>560026</v>
      </c>
      <c r="C222" s="3">
        <v>43698</v>
      </c>
      <c r="D222">
        <v>22.35</v>
      </c>
      <c r="E222">
        <v>64.489999999999995</v>
      </c>
      <c r="F222">
        <v>19.399999999999999</v>
      </c>
      <c r="G222">
        <v>11.47</v>
      </c>
      <c r="H222">
        <v>3.09</v>
      </c>
      <c r="I222">
        <v>0.45</v>
      </c>
      <c r="J222">
        <v>5.31</v>
      </c>
      <c r="K222">
        <f t="shared" si="30"/>
        <v>37.25</v>
      </c>
      <c r="L222">
        <f t="shared" si="31"/>
        <v>64.489999999999995</v>
      </c>
      <c r="M222">
        <f t="shared" si="32"/>
        <v>24.249999999999996</v>
      </c>
      <c r="N222">
        <f t="shared" si="33"/>
        <v>2.8675000000000002</v>
      </c>
      <c r="O222">
        <f t="shared" si="34"/>
        <v>3.8624999999999998</v>
      </c>
      <c r="P222">
        <f t="shared" si="35"/>
        <v>5.1136363636363633</v>
      </c>
      <c r="Q222">
        <f t="shared" si="36"/>
        <v>4.9166666666666661</v>
      </c>
      <c r="R222">
        <f t="shared" si="37"/>
        <v>64.489999999999995</v>
      </c>
      <c r="S222" t="str">
        <f t="shared" si="38"/>
        <v>Satisfactory</v>
      </c>
      <c r="T222" t="str">
        <f t="shared" si="39"/>
        <v>PM10</v>
      </c>
      <c r="U222">
        <v>24.88</v>
      </c>
      <c r="V222">
        <v>78.67</v>
      </c>
    </row>
    <row r="223" spans="1:22" x14ac:dyDescent="0.3">
      <c r="A223" s="2" t="s">
        <v>15</v>
      </c>
      <c r="B223">
        <v>560026</v>
      </c>
      <c r="C223" s="3">
        <v>43699</v>
      </c>
      <c r="D223">
        <v>19.88</v>
      </c>
      <c r="E223">
        <v>49.89</v>
      </c>
      <c r="F223">
        <v>19.32</v>
      </c>
      <c r="G223">
        <v>12.14</v>
      </c>
      <c r="H223">
        <v>3.01</v>
      </c>
      <c r="I223">
        <v>0.49</v>
      </c>
      <c r="J223">
        <v>4.46</v>
      </c>
      <c r="K223">
        <f t="shared" si="30"/>
        <v>33.133333333333333</v>
      </c>
      <c r="L223">
        <f t="shared" si="31"/>
        <v>49.89</v>
      </c>
      <c r="M223">
        <f t="shared" si="32"/>
        <v>24.15</v>
      </c>
      <c r="N223">
        <f t="shared" si="33"/>
        <v>3.0350000000000001</v>
      </c>
      <c r="O223">
        <f t="shared" si="34"/>
        <v>3.7625000000000002</v>
      </c>
      <c r="P223">
        <f t="shared" si="35"/>
        <v>5.5681818181818183</v>
      </c>
      <c r="Q223">
        <f t="shared" si="36"/>
        <v>4.1296296296296298</v>
      </c>
      <c r="R223">
        <f t="shared" si="37"/>
        <v>49.89</v>
      </c>
      <c r="S223" t="str">
        <f t="shared" si="38"/>
        <v>Good</v>
      </c>
      <c r="T223" t="str">
        <f t="shared" si="39"/>
        <v>PM10</v>
      </c>
      <c r="U223">
        <v>24.39</v>
      </c>
      <c r="V223">
        <v>79</v>
      </c>
    </row>
    <row r="224" spans="1:22" x14ac:dyDescent="0.3">
      <c r="A224" s="2" t="s">
        <v>15</v>
      </c>
      <c r="B224">
        <v>560026</v>
      </c>
      <c r="C224" s="3">
        <v>43700</v>
      </c>
      <c r="D224">
        <v>19.82</v>
      </c>
      <c r="E224">
        <v>33.25</v>
      </c>
      <c r="F224">
        <v>17.739999999999998</v>
      </c>
      <c r="G224">
        <v>12.89</v>
      </c>
      <c r="H224">
        <v>2.87</v>
      </c>
      <c r="I224">
        <v>0.41</v>
      </c>
      <c r="J224">
        <v>5.12</v>
      </c>
      <c r="K224">
        <f t="shared" si="30"/>
        <v>33.033333333333331</v>
      </c>
      <c r="L224">
        <f t="shared" si="31"/>
        <v>33.25</v>
      </c>
      <c r="M224">
        <f t="shared" si="32"/>
        <v>22.174999999999997</v>
      </c>
      <c r="N224">
        <f t="shared" si="33"/>
        <v>3.2225000000000001</v>
      </c>
      <c r="O224">
        <f t="shared" si="34"/>
        <v>3.5874999999999999</v>
      </c>
      <c r="P224">
        <f t="shared" si="35"/>
        <v>4.6590909090909083</v>
      </c>
      <c r="Q224">
        <f t="shared" si="36"/>
        <v>4.7407407407407405</v>
      </c>
      <c r="R224">
        <f t="shared" si="37"/>
        <v>33.25</v>
      </c>
      <c r="S224" t="str">
        <f t="shared" si="38"/>
        <v>Good</v>
      </c>
      <c r="T224" t="str">
        <f t="shared" si="39"/>
        <v>PM10</v>
      </c>
      <c r="U224">
        <v>24.29</v>
      </c>
      <c r="V224">
        <v>78.66</v>
      </c>
    </row>
    <row r="225" spans="1:22" x14ac:dyDescent="0.3">
      <c r="A225" s="2" t="s">
        <v>15</v>
      </c>
      <c r="B225">
        <v>560026</v>
      </c>
      <c r="C225" s="3">
        <v>43701</v>
      </c>
      <c r="D225">
        <v>22.28</v>
      </c>
      <c r="E225">
        <v>90.8</v>
      </c>
      <c r="F225">
        <v>16.96</v>
      </c>
      <c r="G225">
        <v>10.84</v>
      </c>
      <c r="H225">
        <v>3.16</v>
      </c>
      <c r="I225">
        <v>0.35</v>
      </c>
      <c r="J225">
        <v>5.89</v>
      </c>
      <c r="K225">
        <f t="shared" si="30"/>
        <v>37.133333333333333</v>
      </c>
      <c r="L225">
        <f t="shared" si="31"/>
        <v>90.8</v>
      </c>
      <c r="M225">
        <f t="shared" si="32"/>
        <v>21.2</v>
      </c>
      <c r="N225">
        <f t="shared" si="33"/>
        <v>2.71</v>
      </c>
      <c r="O225">
        <f t="shared" si="34"/>
        <v>3.95</v>
      </c>
      <c r="P225">
        <f t="shared" si="35"/>
        <v>3.9772727272727271</v>
      </c>
      <c r="Q225">
        <f t="shared" si="36"/>
        <v>5.4537037037037033</v>
      </c>
      <c r="R225">
        <f t="shared" si="37"/>
        <v>90.8</v>
      </c>
      <c r="S225" t="str">
        <f t="shared" si="38"/>
        <v>Satisfactory</v>
      </c>
      <c r="T225" t="str">
        <f t="shared" si="39"/>
        <v>PM10</v>
      </c>
      <c r="U225">
        <v>24.57</v>
      </c>
      <c r="V225">
        <v>76</v>
      </c>
    </row>
    <row r="226" spans="1:22" x14ac:dyDescent="0.3">
      <c r="A226" s="2" t="s">
        <v>15</v>
      </c>
      <c r="B226">
        <v>560026</v>
      </c>
      <c r="C226" s="3">
        <v>43702</v>
      </c>
      <c r="D226">
        <v>18.55</v>
      </c>
      <c r="E226">
        <v>61.88</v>
      </c>
      <c r="F226">
        <v>16.5</v>
      </c>
      <c r="G226">
        <v>9.64</v>
      </c>
      <c r="H226">
        <v>2.87</v>
      </c>
      <c r="I226">
        <v>0.32</v>
      </c>
      <c r="J226">
        <v>8.09</v>
      </c>
      <c r="K226">
        <f t="shared" si="30"/>
        <v>30.916666666666668</v>
      </c>
      <c r="L226">
        <f t="shared" si="31"/>
        <v>61.88</v>
      </c>
      <c r="M226">
        <f t="shared" si="32"/>
        <v>20.625</v>
      </c>
      <c r="N226">
        <f t="shared" si="33"/>
        <v>2.41</v>
      </c>
      <c r="O226">
        <f t="shared" si="34"/>
        <v>3.5874999999999999</v>
      </c>
      <c r="P226">
        <f t="shared" si="35"/>
        <v>3.6363636363636362</v>
      </c>
      <c r="Q226">
        <f t="shared" si="36"/>
        <v>7.4907407407407405</v>
      </c>
      <c r="R226">
        <f t="shared" si="37"/>
        <v>61.88</v>
      </c>
      <c r="S226" t="str">
        <f t="shared" si="38"/>
        <v>Satisfactory</v>
      </c>
      <c r="T226" t="str">
        <f t="shared" si="39"/>
        <v>PM10</v>
      </c>
      <c r="U226">
        <v>24.79</v>
      </c>
      <c r="V226">
        <v>73.55</v>
      </c>
    </row>
    <row r="227" spans="1:22" x14ac:dyDescent="0.3">
      <c r="A227" s="2" t="s">
        <v>15</v>
      </c>
      <c r="B227">
        <v>560026</v>
      </c>
      <c r="C227" s="3">
        <v>43703</v>
      </c>
      <c r="D227">
        <v>17.3</v>
      </c>
      <c r="E227">
        <v>52.14</v>
      </c>
      <c r="F227">
        <v>19.739999999999998</v>
      </c>
      <c r="G227">
        <v>10.11</v>
      </c>
      <c r="H227">
        <v>3.3</v>
      </c>
      <c r="I227">
        <v>0.44</v>
      </c>
      <c r="J227">
        <v>11.1</v>
      </c>
      <c r="K227">
        <f t="shared" si="30"/>
        <v>28.833333333333332</v>
      </c>
      <c r="L227">
        <f t="shared" si="31"/>
        <v>52.14</v>
      </c>
      <c r="M227">
        <f t="shared" si="32"/>
        <v>24.674999999999997</v>
      </c>
      <c r="N227">
        <f t="shared" si="33"/>
        <v>2.5274999999999999</v>
      </c>
      <c r="O227">
        <f t="shared" si="34"/>
        <v>4.125</v>
      </c>
      <c r="P227">
        <f t="shared" si="35"/>
        <v>5</v>
      </c>
      <c r="Q227">
        <f t="shared" si="36"/>
        <v>10.277777777777777</v>
      </c>
      <c r="R227">
        <f t="shared" si="37"/>
        <v>52.14</v>
      </c>
      <c r="S227" t="str">
        <f t="shared" si="38"/>
        <v>Satisfactory</v>
      </c>
      <c r="T227" t="str">
        <f t="shared" si="39"/>
        <v>PM10</v>
      </c>
      <c r="U227">
        <v>24.58</v>
      </c>
      <c r="V227">
        <v>74.52</v>
      </c>
    </row>
    <row r="228" spans="1:22" x14ac:dyDescent="0.3">
      <c r="A228" s="2" t="s">
        <v>15</v>
      </c>
      <c r="B228">
        <v>560026</v>
      </c>
      <c r="C228" s="3">
        <v>43704</v>
      </c>
      <c r="D228">
        <v>13.22</v>
      </c>
      <c r="E228">
        <v>40.51</v>
      </c>
      <c r="F228">
        <v>21.75</v>
      </c>
      <c r="G228">
        <v>9.82</v>
      </c>
      <c r="H228">
        <v>3.41</v>
      </c>
      <c r="I228">
        <v>0.34</v>
      </c>
      <c r="J228">
        <v>10.58</v>
      </c>
      <c r="K228">
        <f t="shared" si="30"/>
        <v>22.033333333333335</v>
      </c>
      <c r="L228">
        <f t="shared" si="31"/>
        <v>40.51</v>
      </c>
      <c r="M228">
        <f t="shared" si="32"/>
        <v>27.1875</v>
      </c>
      <c r="N228">
        <f t="shared" si="33"/>
        <v>2.4550000000000001</v>
      </c>
      <c r="O228">
        <f t="shared" si="34"/>
        <v>4.2625000000000002</v>
      </c>
      <c r="P228">
        <f t="shared" si="35"/>
        <v>3.8636363636363638</v>
      </c>
      <c r="Q228">
        <f t="shared" si="36"/>
        <v>9.7962962962962958</v>
      </c>
      <c r="R228">
        <f t="shared" si="37"/>
        <v>40.51</v>
      </c>
      <c r="S228" t="str">
        <f t="shared" si="38"/>
        <v>Good</v>
      </c>
      <c r="T228" t="str">
        <f t="shared" si="39"/>
        <v>PM10</v>
      </c>
      <c r="U228">
        <v>25.4</v>
      </c>
      <c r="V228">
        <v>70.48</v>
      </c>
    </row>
    <row r="229" spans="1:22" x14ac:dyDescent="0.3">
      <c r="A229" s="2" t="s">
        <v>15</v>
      </c>
      <c r="B229">
        <v>560026</v>
      </c>
      <c r="C229" s="3">
        <v>43705</v>
      </c>
      <c r="D229">
        <v>12.78</v>
      </c>
      <c r="E229">
        <v>44.94</v>
      </c>
      <c r="F229">
        <v>21.59</v>
      </c>
      <c r="G229">
        <v>9.4600000000000009</v>
      </c>
      <c r="H229">
        <v>3.51</v>
      </c>
      <c r="I229">
        <v>0.38</v>
      </c>
      <c r="J229">
        <v>8.9700000000000006</v>
      </c>
      <c r="K229">
        <f t="shared" si="30"/>
        <v>21.3</v>
      </c>
      <c r="L229">
        <f t="shared" si="31"/>
        <v>44.94</v>
      </c>
      <c r="M229">
        <f t="shared" si="32"/>
        <v>26.987500000000001</v>
      </c>
      <c r="N229">
        <f t="shared" si="33"/>
        <v>2.3650000000000002</v>
      </c>
      <c r="O229">
        <f t="shared" si="34"/>
        <v>4.3875000000000002</v>
      </c>
      <c r="P229">
        <f t="shared" si="35"/>
        <v>4.3181818181818183</v>
      </c>
      <c r="Q229">
        <f t="shared" si="36"/>
        <v>8.3055555555555554</v>
      </c>
      <c r="R229">
        <f t="shared" si="37"/>
        <v>44.94</v>
      </c>
      <c r="S229" t="str">
        <f t="shared" si="38"/>
        <v>Good</v>
      </c>
      <c r="T229" t="str">
        <f t="shared" si="39"/>
        <v>PM10</v>
      </c>
      <c r="U229">
        <v>24.84</v>
      </c>
      <c r="V229">
        <v>74.2</v>
      </c>
    </row>
    <row r="230" spans="1:22" x14ac:dyDescent="0.3">
      <c r="A230" s="2" t="s">
        <v>15</v>
      </c>
      <c r="B230">
        <v>560026</v>
      </c>
      <c r="C230" s="3">
        <v>43706</v>
      </c>
      <c r="D230">
        <v>15.79</v>
      </c>
      <c r="E230">
        <v>54.06</v>
      </c>
      <c r="F230">
        <v>21.35</v>
      </c>
      <c r="G230">
        <v>9.9600000000000009</v>
      </c>
      <c r="H230">
        <v>3.41</v>
      </c>
      <c r="I230">
        <v>0.39</v>
      </c>
      <c r="J230">
        <v>7.05</v>
      </c>
      <c r="K230">
        <f t="shared" si="30"/>
        <v>26.316666666666666</v>
      </c>
      <c r="L230">
        <f t="shared" si="31"/>
        <v>54.06</v>
      </c>
      <c r="M230">
        <f t="shared" si="32"/>
        <v>26.6875</v>
      </c>
      <c r="N230">
        <f t="shared" si="33"/>
        <v>2.4900000000000002</v>
      </c>
      <c r="O230">
        <f t="shared" si="34"/>
        <v>4.2625000000000002</v>
      </c>
      <c r="P230">
        <f t="shared" si="35"/>
        <v>4.4318181818181817</v>
      </c>
      <c r="Q230">
        <f t="shared" si="36"/>
        <v>6.5277777777777777</v>
      </c>
      <c r="R230">
        <f t="shared" si="37"/>
        <v>54.06</v>
      </c>
      <c r="S230" t="str">
        <f t="shared" si="38"/>
        <v>Satisfactory</v>
      </c>
      <c r="T230" t="str">
        <f t="shared" si="39"/>
        <v>PM10</v>
      </c>
      <c r="U230">
        <v>25.34</v>
      </c>
      <c r="V230">
        <v>73.150000000000006</v>
      </c>
    </row>
    <row r="231" spans="1:22" x14ac:dyDescent="0.3">
      <c r="A231" s="2" t="s">
        <v>15</v>
      </c>
      <c r="B231">
        <v>560026</v>
      </c>
      <c r="C231" s="3">
        <v>43707</v>
      </c>
      <c r="D231">
        <v>18.12</v>
      </c>
      <c r="E231">
        <v>49.16</v>
      </c>
      <c r="F231">
        <v>19.149999999999999</v>
      </c>
      <c r="G231">
        <v>10.44</v>
      </c>
      <c r="H231">
        <v>3.78</v>
      </c>
      <c r="I231">
        <v>0.35</v>
      </c>
      <c r="J231">
        <v>10.47</v>
      </c>
      <c r="K231">
        <f t="shared" si="30"/>
        <v>30.2</v>
      </c>
      <c r="L231">
        <f t="shared" si="31"/>
        <v>49.16</v>
      </c>
      <c r="M231">
        <f t="shared" si="32"/>
        <v>23.937499999999996</v>
      </c>
      <c r="N231">
        <f t="shared" si="33"/>
        <v>2.61</v>
      </c>
      <c r="O231">
        <f t="shared" si="34"/>
        <v>4.7249999999999996</v>
      </c>
      <c r="P231">
        <f t="shared" si="35"/>
        <v>3.9772727272727271</v>
      </c>
      <c r="Q231">
        <f t="shared" si="36"/>
        <v>9.6944444444444446</v>
      </c>
      <c r="R231">
        <f t="shared" si="37"/>
        <v>49.16</v>
      </c>
      <c r="S231" t="str">
        <f t="shared" si="38"/>
        <v>Good</v>
      </c>
      <c r="T231" t="str">
        <f t="shared" si="39"/>
        <v>PM10</v>
      </c>
      <c r="U231">
        <v>25.41</v>
      </c>
      <c r="V231">
        <v>69.73</v>
      </c>
    </row>
    <row r="232" spans="1:22" x14ac:dyDescent="0.3">
      <c r="A232" s="2" t="s">
        <v>15</v>
      </c>
      <c r="B232">
        <v>560026</v>
      </c>
      <c r="C232" s="3">
        <v>43708</v>
      </c>
      <c r="D232">
        <v>22.03</v>
      </c>
      <c r="E232">
        <v>55.29</v>
      </c>
      <c r="F232">
        <v>19.489999999999998</v>
      </c>
      <c r="G232">
        <v>10.23</v>
      </c>
      <c r="H232">
        <v>3.29</v>
      </c>
      <c r="I232">
        <v>0.39</v>
      </c>
      <c r="J232">
        <v>7.82</v>
      </c>
      <c r="K232">
        <f t="shared" si="30"/>
        <v>36.716666666666669</v>
      </c>
      <c r="L232">
        <f t="shared" si="31"/>
        <v>55.29</v>
      </c>
      <c r="M232">
        <f t="shared" si="32"/>
        <v>24.362499999999997</v>
      </c>
      <c r="N232">
        <f t="shared" si="33"/>
        <v>2.5575000000000001</v>
      </c>
      <c r="O232">
        <f t="shared" si="34"/>
        <v>4.1124999999999998</v>
      </c>
      <c r="P232">
        <f t="shared" si="35"/>
        <v>4.4318181818181817</v>
      </c>
      <c r="Q232">
        <f t="shared" si="36"/>
        <v>7.2407407407407414</v>
      </c>
      <c r="R232">
        <f t="shared" si="37"/>
        <v>55.29</v>
      </c>
      <c r="S232" t="str">
        <f t="shared" si="38"/>
        <v>Satisfactory</v>
      </c>
      <c r="T232" t="str">
        <f t="shared" si="39"/>
        <v>PM10</v>
      </c>
      <c r="U232">
        <v>24.21</v>
      </c>
      <c r="V232">
        <v>74.400000000000006</v>
      </c>
    </row>
    <row r="233" spans="1:22" x14ac:dyDescent="0.3">
      <c r="A233" s="2" t="s">
        <v>15</v>
      </c>
      <c r="B233">
        <v>560026</v>
      </c>
      <c r="C233" s="3">
        <v>43709</v>
      </c>
      <c r="D233">
        <v>14.91</v>
      </c>
      <c r="E233">
        <v>36.93</v>
      </c>
      <c r="F233">
        <v>15.84</v>
      </c>
      <c r="G233">
        <v>9.08</v>
      </c>
      <c r="H233">
        <v>3.4</v>
      </c>
      <c r="I233">
        <v>0.31</v>
      </c>
      <c r="J233">
        <v>9.82</v>
      </c>
      <c r="K233">
        <f t="shared" si="30"/>
        <v>24.85</v>
      </c>
      <c r="L233">
        <f t="shared" si="31"/>
        <v>36.93</v>
      </c>
      <c r="M233">
        <f t="shared" si="32"/>
        <v>19.8</v>
      </c>
      <c r="N233">
        <f t="shared" si="33"/>
        <v>2.27</v>
      </c>
      <c r="O233">
        <f t="shared" si="34"/>
        <v>4.25</v>
      </c>
      <c r="P233">
        <f t="shared" si="35"/>
        <v>3.5227272727272725</v>
      </c>
      <c r="Q233">
        <f t="shared" si="36"/>
        <v>9.0925925925925934</v>
      </c>
      <c r="R233">
        <f t="shared" si="37"/>
        <v>36.93</v>
      </c>
      <c r="S233" t="str">
        <f t="shared" si="38"/>
        <v>Good</v>
      </c>
      <c r="T233" t="str">
        <f t="shared" si="39"/>
        <v>PM10</v>
      </c>
      <c r="U233">
        <v>22.42</v>
      </c>
      <c r="V233">
        <v>75.459999999999994</v>
      </c>
    </row>
    <row r="234" spans="1:22" x14ac:dyDescent="0.3">
      <c r="A234" s="2" t="s">
        <v>15</v>
      </c>
      <c r="B234">
        <v>560026</v>
      </c>
      <c r="C234" s="3">
        <v>43710</v>
      </c>
      <c r="D234">
        <v>11.66</v>
      </c>
      <c r="E234">
        <v>20.93</v>
      </c>
      <c r="F234">
        <v>13.58</v>
      </c>
      <c r="G234">
        <v>8.27</v>
      </c>
      <c r="H234">
        <v>3.49</v>
      </c>
      <c r="I234">
        <v>0.28000000000000003</v>
      </c>
      <c r="J234">
        <v>9.83</v>
      </c>
      <c r="K234">
        <f t="shared" si="30"/>
        <v>19.433333333333334</v>
      </c>
      <c r="L234">
        <f t="shared" si="31"/>
        <v>20.93</v>
      </c>
      <c r="M234">
        <f t="shared" si="32"/>
        <v>16.975000000000001</v>
      </c>
      <c r="N234">
        <f t="shared" si="33"/>
        <v>2.0674999999999999</v>
      </c>
      <c r="O234">
        <f t="shared" si="34"/>
        <v>4.3624999999999998</v>
      </c>
      <c r="P234">
        <f t="shared" si="35"/>
        <v>3.1818181818181821</v>
      </c>
      <c r="Q234">
        <f t="shared" si="36"/>
        <v>9.1018518518518512</v>
      </c>
      <c r="R234">
        <f t="shared" si="37"/>
        <v>20.93</v>
      </c>
      <c r="S234" t="str">
        <f t="shared" si="38"/>
        <v>Good</v>
      </c>
      <c r="T234" t="str">
        <f t="shared" si="39"/>
        <v>PM10</v>
      </c>
      <c r="U234">
        <v>24.29</v>
      </c>
      <c r="V234">
        <v>79.03</v>
      </c>
    </row>
    <row r="235" spans="1:22" x14ac:dyDescent="0.3">
      <c r="A235" s="2" t="s">
        <v>15</v>
      </c>
      <c r="B235">
        <v>560026</v>
      </c>
      <c r="C235" s="3">
        <v>43711</v>
      </c>
      <c r="D235">
        <v>12.18</v>
      </c>
      <c r="E235">
        <v>24.62</v>
      </c>
      <c r="F235">
        <v>16.84</v>
      </c>
      <c r="G235">
        <v>8.7899999999999991</v>
      </c>
      <c r="H235">
        <v>3.31</v>
      </c>
      <c r="I235">
        <v>0.32</v>
      </c>
      <c r="J235">
        <v>8.93</v>
      </c>
      <c r="K235">
        <f t="shared" si="30"/>
        <v>20.3</v>
      </c>
      <c r="L235">
        <f t="shared" si="31"/>
        <v>24.62</v>
      </c>
      <c r="M235">
        <f t="shared" si="32"/>
        <v>21.05</v>
      </c>
      <c r="N235">
        <f t="shared" si="33"/>
        <v>2.1974999999999998</v>
      </c>
      <c r="O235">
        <f t="shared" si="34"/>
        <v>4.1375000000000002</v>
      </c>
      <c r="P235">
        <f t="shared" si="35"/>
        <v>3.6363636363636362</v>
      </c>
      <c r="Q235">
        <f t="shared" si="36"/>
        <v>8.268518518518519</v>
      </c>
      <c r="R235">
        <f t="shared" si="37"/>
        <v>24.62</v>
      </c>
      <c r="S235" t="str">
        <f t="shared" si="38"/>
        <v>Good</v>
      </c>
      <c r="T235" t="str">
        <f t="shared" si="39"/>
        <v>PM10</v>
      </c>
      <c r="U235">
        <v>22.53</v>
      </c>
      <c r="V235">
        <v>79.260000000000005</v>
      </c>
    </row>
    <row r="236" spans="1:22" x14ac:dyDescent="0.3">
      <c r="A236" s="2" t="s">
        <v>15</v>
      </c>
      <c r="B236">
        <v>560026</v>
      </c>
      <c r="C236" s="3">
        <v>43712</v>
      </c>
      <c r="D236">
        <v>14.83</v>
      </c>
      <c r="E236">
        <v>30.18</v>
      </c>
      <c r="F236">
        <v>19.71</v>
      </c>
      <c r="G236">
        <v>9.3699999999999992</v>
      </c>
      <c r="H236">
        <v>3.36</v>
      </c>
      <c r="I236">
        <v>0.39</v>
      </c>
      <c r="J236">
        <v>7.12</v>
      </c>
      <c r="K236">
        <f t="shared" si="30"/>
        <v>24.716666666666665</v>
      </c>
      <c r="L236">
        <f t="shared" si="31"/>
        <v>30.18</v>
      </c>
      <c r="M236">
        <f t="shared" si="32"/>
        <v>24.637499999999999</v>
      </c>
      <c r="N236">
        <f t="shared" si="33"/>
        <v>2.3424999999999998</v>
      </c>
      <c r="O236">
        <f t="shared" si="34"/>
        <v>4.2</v>
      </c>
      <c r="P236">
        <f t="shared" si="35"/>
        <v>4.4318181818181817</v>
      </c>
      <c r="Q236">
        <f t="shared" si="36"/>
        <v>6.5925925925925926</v>
      </c>
      <c r="R236">
        <f t="shared" si="37"/>
        <v>30.18</v>
      </c>
      <c r="S236" t="str">
        <f t="shared" si="38"/>
        <v>Good</v>
      </c>
      <c r="T236" t="str">
        <f t="shared" si="39"/>
        <v>PM10</v>
      </c>
      <c r="U236">
        <v>20.53</v>
      </c>
      <c r="V236">
        <v>81.040000000000006</v>
      </c>
    </row>
    <row r="237" spans="1:22" x14ac:dyDescent="0.3">
      <c r="A237" s="2" t="s">
        <v>15</v>
      </c>
      <c r="B237">
        <v>560026</v>
      </c>
      <c r="C237" s="3">
        <v>43713</v>
      </c>
      <c r="D237">
        <v>16.86</v>
      </c>
      <c r="E237">
        <v>31.44</v>
      </c>
      <c r="F237">
        <v>16.72</v>
      </c>
      <c r="G237">
        <v>10.41</v>
      </c>
      <c r="H237">
        <v>3.65</v>
      </c>
      <c r="I237">
        <v>0.36</v>
      </c>
      <c r="J237">
        <v>5.55</v>
      </c>
      <c r="K237">
        <f t="shared" si="30"/>
        <v>28.1</v>
      </c>
      <c r="L237">
        <f t="shared" si="31"/>
        <v>31.44</v>
      </c>
      <c r="M237">
        <f t="shared" si="32"/>
        <v>20.9</v>
      </c>
      <c r="N237">
        <f t="shared" si="33"/>
        <v>2.6025</v>
      </c>
      <c r="O237">
        <f t="shared" si="34"/>
        <v>4.5625</v>
      </c>
      <c r="P237">
        <f t="shared" si="35"/>
        <v>4.0909090909090908</v>
      </c>
      <c r="Q237">
        <f t="shared" si="36"/>
        <v>5.1388888888888884</v>
      </c>
      <c r="R237">
        <f t="shared" si="37"/>
        <v>31.44</v>
      </c>
      <c r="S237" t="str">
        <f t="shared" si="38"/>
        <v>Good</v>
      </c>
      <c r="T237" t="str">
        <f t="shared" si="39"/>
        <v>PM10</v>
      </c>
      <c r="U237">
        <v>22.56</v>
      </c>
      <c r="V237">
        <v>78.56</v>
      </c>
    </row>
    <row r="238" spans="1:22" x14ac:dyDescent="0.3">
      <c r="A238" s="2" t="s">
        <v>15</v>
      </c>
      <c r="B238">
        <v>560026</v>
      </c>
      <c r="C238" s="3">
        <v>43714</v>
      </c>
      <c r="D238">
        <v>18.14</v>
      </c>
      <c r="E238">
        <v>33.909999999999997</v>
      </c>
      <c r="F238">
        <v>17.39</v>
      </c>
      <c r="G238">
        <v>11.11</v>
      </c>
      <c r="H238">
        <v>3.46</v>
      </c>
      <c r="I238">
        <v>0.38</v>
      </c>
      <c r="J238">
        <v>6.45</v>
      </c>
      <c r="K238">
        <f t="shared" si="30"/>
        <v>30.233333333333334</v>
      </c>
      <c r="L238">
        <f t="shared" si="31"/>
        <v>33.909999999999997</v>
      </c>
      <c r="M238">
        <f t="shared" si="32"/>
        <v>21.737500000000001</v>
      </c>
      <c r="N238">
        <f t="shared" si="33"/>
        <v>2.7774999999999999</v>
      </c>
      <c r="O238">
        <f t="shared" si="34"/>
        <v>4.3250000000000002</v>
      </c>
      <c r="P238">
        <f t="shared" si="35"/>
        <v>4.3181818181818183</v>
      </c>
      <c r="Q238">
        <f t="shared" si="36"/>
        <v>5.9722222222222223</v>
      </c>
      <c r="R238">
        <f t="shared" si="37"/>
        <v>33.909999999999997</v>
      </c>
      <c r="S238" t="str">
        <f t="shared" si="38"/>
        <v>Good</v>
      </c>
      <c r="T238" t="str">
        <f t="shared" si="39"/>
        <v>PM10</v>
      </c>
      <c r="U238">
        <v>24.58</v>
      </c>
      <c r="V238">
        <v>77.900000000000006</v>
      </c>
    </row>
    <row r="239" spans="1:22" x14ac:dyDescent="0.3">
      <c r="A239" s="2" t="s">
        <v>15</v>
      </c>
      <c r="B239">
        <v>560026</v>
      </c>
      <c r="C239" s="3">
        <v>43715</v>
      </c>
      <c r="D239">
        <v>15.83</v>
      </c>
      <c r="E239">
        <v>30.84</v>
      </c>
      <c r="F239">
        <v>15.87</v>
      </c>
      <c r="G239">
        <v>10.07</v>
      </c>
      <c r="H239">
        <v>2.81</v>
      </c>
      <c r="I239">
        <v>0.26</v>
      </c>
      <c r="J239">
        <v>7.01</v>
      </c>
      <c r="K239">
        <f t="shared" si="30"/>
        <v>26.383333333333333</v>
      </c>
      <c r="L239">
        <f t="shared" si="31"/>
        <v>30.84</v>
      </c>
      <c r="M239">
        <f t="shared" si="32"/>
        <v>19.837499999999999</v>
      </c>
      <c r="N239">
        <f t="shared" si="33"/>
        <v>2.5175000000000001</v>
      </c>
      <c r="O239">
        <f t="shared" si="34"/>
        <v>3.5125000000000002</v>
      </c>
      <c r="P239">
        <f t="shared" si="35"/>
        <v>2.9545454545454546</v>
      </c>
      <c r="Q239">
        <f t="shared" si="36"/>
        <v>6.4907407407407405</v>
      </c>
      <c r="R239">
        <f t="shared" si="37"/>
        <v>30.84</v>
      </c>
      <c r="S239" t="str">
        <f t="shared" si="38"/>
        <v>Good</v>
      </c>
      <c r="T239" t="str">
        <f t="shared" si="39"/>
        <v>PM10</v>
      </c>
      <c r="U239">
        <v>24.81</v>
      </c>
      <c r="V239">
        <v>74.680000000000007</v>
      </c>
    </row>
    <row r="240" spans="1:22" x14ac:dyDescent="0.3">
      <c r="A240" s="2" t="s">
        <v>15</v>
      </c>
      <c r="B240">
        <v>560026</v>
      </c>
      <c r="C240" s="3">
        <v>43716</v>
      </c>
      <c r="D240">
        <v>19.03</v>
      </c>
      <c r="E240">
        <v>34.49</v>
      </c>
      <c r="F240">
        <v>13.64</v>
      </c>
      <c r="G240">
        <v>10.81</v>
      </c>
      <c r="H240">
        <v>2.66</v>
      </c>
      <c r="I240">
        <v>0.34</v>
      </c>
      <c r="J240">
        <v>8.27</v>
      </c>
      <c r="K240">
        <f t="shared" si="30"/>
        <v>31.716666666666665</v>
      </c>
      <c r="L240">
        <f t="shared" si="31"/>
        <v>34.49</v>
      </c>
      <c r="M240">
        <f t="shared" si="32"/>
        <v>17.05</v>
      </c>
      <c r="N240">
        <f t="shared" si="33"/>
        <v>2.7025000000000001</v>
      </c>
      <c r="O240">
        <f t="shared" si="34"/>
        <v>3.3250000000000002</v>
      </c>
      <c r="P240">
        <f t="shared" si="35"/>
        <v>3.8636363636363638</v>
      </c>
      <c r="Q240">
        <f t="shared" si="36"/>
        <v>7.6574074074074074</v>
      </c>
      <c r="R240">
        <f t="shared" si="37"/>
        <v>34.49</v>
      </c>
      <c r="S240" t="str">
        <f t="shared" si="38"/>
        <v>Good</v>
      </c>
      <c r="T240" t="str">
        <f t="shared" si="39"/>
        <v>PM10</v>
      </c>
      <c r="U240">
        <v>24.95</v>
      </c>
      <c r="V240">
        <v>73.19</v>
      </c>
    </row>
    <row r="241" spans="1:22" x14ac:dyDescent="0.3">
      <c r="A241" s="2" t="s">
        <v>15</v>
      </c>
      <c r="B241">
        <v>560026</v>
      </c>
      <c r="C241" s="3">
        <v>43717</v>
      </c>
      <c r="D241">
        <v>28.62</v>
      </c>
      <c r="E241">
        <v>62.3</v>
      </c>
      <c r="F241">
        <v>17.47</v>
      </c>
      <c r="G241">
        <v>13.39</v>
      </c>
      <c r="H241">
        <v>2.71</v>
      </c>
      <c r="I241">
        <v>0.42</v>
      </c>
      <c r="J241">
        <v>8.85</v>
      </c>
      <c r="K241">
        <f t="shared" si="30"/>
        <v>47.7</v>
      </c>
      <c r="L241">
        <f t="shared" si="31"/>
        <v>62.3</v>
      </c>
      <c r="M241">
        <f t="shared" si="32"/>
        <v>21.837499999999999</v>
      </c>
      <c r="N241">
        <f t="shared" si="33"/>
        <v>3.3475000000000001</v>
      </c>
      <c r="O241">
        <f t="shared" si="34"/>
        <v>3.3875000000000002</v>
      </c>
      <c r="P241">
        <f t="shared" si="35"/>
        <v>4.7727272727272725</v>
      </c>
      <c r="Q241">
        <f t="shared" si="36"/>
        <v>8.1944444444444446</v>
      </c>
      <c r="R241">
        <f t="shared" si="37"/>
        <v>62.3</v>
      </c>
      <c r="S241" t="str">
        <f t="shared" si="38"/>
        <v>Satisfactory</v>
      </c>
      <c r="T241" t="str">
        <f t="shared" si="39"/>
        <v>PM10</v>
      </c>
      <c r="U241">
        <v>23.15</v>
      </c>
      <c r="V241">
        <v>71.739999999999995</v>
      </c>
    </row>
    <row r="242" spans="1:22" x14ac:dyDescent="0.3">
      <c r="A242" s="2" t="s">
        <v>15</v>
      </c>
      <c r="B242">
        <v>560026</v>
      </c>
      <c r="C242" s="3">
        <v>43718</v>
      </c>
      <c r="D242">
        <v>26.06</v>
      </c>
      <c r="E242">
        <v>48.93</v>
      </c>
      <c r="F242">
        <v>17.57</v>
      </c>
      <c r="G242">
        <v>15.85</v>
      </c>
      <c r="H242">
        <v>2.81</v>
      </c>
      <c r="I242">
        <v>0.39</v>
      </c>
      <c r="J242">
        <v>8.52</v>
      </c>
      <c r="K242">
        <f t="shared" si="30"/>
        <v>43.43333333333333</v>
      </c>
      <c r="L242">
        <f t="shared" si="31"/>
        <v>48.93</v>
      </c>
      <c r="M242">
        <f t="shared" si="32"/>
        <v>21.962499999999999</v>
      </c>
      <c r="N242">
        <f t="shared" si="33"/>
        <v>3.9624999999999999</v>
      </c>
      <c r="O242">
        <f t="shared" si="34"/>
        <v>3.5125000000000002</v>
      </c>
      <c r="P242">
        <f t="shared" si="35"/>
        <v>4.4318181818181817</v>
      </c>
      <c r="Q242">
        <f t="shared" si="36"/>
        <v>7.8888888888888884</v>
      </c>
      <c r="R242">
        <f t="shared" si="37"/>
        <v>48.93</v>
      </c>
      <c r="S242" t="str">
        <f t="shared" si="38"/>
        <v>Good</v>
      </c>
      <c r="T242" t="str">
        <f t="shared" si="39"/>
        <v>PM10</v>
      </c>
      <c r="U242">
        <v>21.83</v>
      </c>
      <c r="V242">
        <v>73.05</v>
      </c>
    </row>
    <row r="243" spans="1:22" x14ac:dyDescent="0.3">
      <c r="A243" s="2" t="s">
        <v>15</v>
      </c>
      <c r="B243">
        <v>560026</v>
      </c>
      <c r="C243" s="3">
        <v>43719</v>
      </c>
      <c r="D243">
        <v>21.79</v>
      </c>
      <c r="E243">
        <v>42.94</v>
      </c>
      <c r="F243">
        <v>16.12</v>
      </c>
      <c r="G243">
        <v>16.739999999999998</v>
      </c>
      <c r="H243">
        <v>2.8</v>
      </c>
      <c r="I243">
        <v>0.36</v>
      </c>
      <c r="J243">
        <v>7.58</v>
      </c>
      <c r="K243">
        <f t="shared" si="30"/>
        <v>36.31666666666667</v>
      </c>
      <c r="L243">
        <f t="shared" si="31"/>
        <v>42.94</v>
      </c>
      <c r="M243">
        <f t="shared" si="32"/>
        <v>20.149999999999999</v>
      </c>
      <c r="N243">
        <f t="shared" si="33"/>
        <v>4.1849999999999996</v>
      </c>
      <c r="O243">
        <f t="shared" si="34"/>
        <v>3.5</v>
      </c>
      <c r="P243">
        <f t="shared" si="35"/>
        <v>4.0909090909090908</v>
      </c>
      <c r="Q243">
        <f t="shared" si="36"/>
        <v>7.018518518518519</v>
      </c>
      <c r="R243">
        <f t="shared" si="37"/>
        <v>42.94</v>
      </c>
      <c r="S243" t="str">
        <f t="shared" si="38"/>
        <v>Good</v>
      </c>
      <c r="T243" t="str">
        <f t="shared" si="39"/>
        <v>PM10</v>
      </c>
      <c r="U243">
        <v>23.96</v>
      </c>
      <c r="V243">
        <v>73.78</v>
      </c>
    </row>
    <row r="244" spans="1:22" x14ac:dyDescent="0.3">
      <c r="A244" s="2" t="s">
        <v>15</v>
      </c>
      <c r="B244">
        <v>560026</v>
      </c>
      <c r="C244" s="3">
        <v>43720</v>
      </c>
      <c r="D244">
        <v>17.38</v>
      </c>
      <c r="E244">
        <v>35.950000000000003</v>
      </c>
      <c r="F244">
        <v>20.91</v>
      </c>
      <c r="G244">
        <v>25.09</v>
      </c>
      <c r="H244">
        <v>3.36</v>
      </c>
      <c r="I244">
        <v>0.42</v>
      </c>
      <c r="J244">
        <v>7.47</v>
      </c>
      <c r="K244">
        <f t="shared" si="30"/>
        <v>28.966666666666665</v>
      </c>
      <c r="L244">
        <f t="shared" si="31"/>
        <v>35.950000000000003</v>
      </c>
      <c r="M244">
        <f t="shared" si="32"/>
        <v>26.137499999999999</v>
      </c>
      <c r="N244">
        <f t="shared" si="33"/>
        <v>6.2725</v>
      </c>
      <c r="O244">
        <f t="shared" si="34"/>
        <v>4.2</v>
      </c>
      <c r="P244">
        <f t="shared" si="35"/>
        <v>4.7727272727272725</v>
      </c>
      <c r="Q244">
        <f t="shared" si="36"/>
        <v>6.9166666666666661</v>
      </c>
      <c r="R244">
        <f t="shared" si="37"/>
        <v>35.950000000000003</v>
      </c>
      <c r="S244" t="str">
        <f t="shared" si="38"/>
        <v>Good</v>
      </c>
      <c r="T244" t="str">
        <f t="shared" si="39"/>
        <v>PM10</v>
      </c>
      <c r="U244">
        <v>26.08</v>
      </c>
      <c r="V244">
        <v>70.02</v>
      </c>
    </row>
    <row r="245" spans="1:22" x14ac:dyDescent="0.3">
      <c r="A245" s="2" t="s">
        <v>15</v>
      </c>
      <c r="B245">
        <v>560026</v>
      </c>
      <c r="C245" s="3">
        <v>43721</v>
      </c>
      <c r="D245">
        <v>40.32</v>
      </c>
      <c r="E245">
        <v>78.430000000000007</v>
      </c>
      <c r="F245">
        <v>21.19</v>
      </c>
      <c r="G245">
        <v>18.309999999999999</v>
      </c>
      <c r="H245">
        <v>2.4700000000000002</v>
      </c>
      <c r="I245">
        <v>0.43</v>
      </c>
      <c r="J245">
        <v>3.17</v>
      </c>
      <c r="K245">
        <f t="shared" si="30"/>
        <v>67.2</v>
      </c>
      <c r="L245">
        <f t="shared" si="31"/>
        <v>78.430000000000007</v>
      </c>
      <c r="M245">
        <f t="shared" si="32"/>
        <v>26.487500000000001</v>
      </c>
      <c r="N245">
        <f t="shared" si="33"/>
        <v>4.5774999999999997</v>
      </c>
      <c r="O245">
        <f t="shared" si="34"/>
        <v>3.0875000000000004</v>
      </c>
      <c r="P245">
        <f t="shared" si="35"/>
        <v>4.8863636363636358</v>
      </c>
      <c r="Q245">
        <f t="shared" si="36"/>
        <v>2.9351851851851851</v>
      </c>
      <c r="R245">
        <f t="shared" si="37"/>
        <v>78.430000000000007</v>
      </c>
      <c r="S245" t="str">
        <f t="shared" si="38"/>
        <v>Satisfactory</v>
      </c>
      <c r="T245" t="str">
        <f t="shared" si="39"/>
        <v>PM10</v>
      </c>
      <c r="U245">
        <v>24.91</v>
      </c>
      <c r="V245">
        <v>76.44</v>
      </c>
    </row>
    <row r="246" spans="1:22" x14ac:dyDescent="0.3">
      <c r="A246" s="2" t="s">
        <v>15</v>
      </c>
      <c r="B246">
        <v>560026</v>
      </c>
      <c r="C246" s="3">
        <v>43722</v>
      </c>
      <c r="D246">
        <v>23.12</v>
      </c>
      <c r="E246">
        <v>52.33</v>
      </c>
      <c r="F246">
        <v>21.28</v>
      </c>
      <c r="G246">
        <v>12.48</v>
      </c>
      <c r="H246">
        <v>3.3247619049999999</v>
      </c>
      <c r="I246">
        <v>0.41</v>
      </c>
      <c r="J246">
        <v>28.46</v>
      </c>
      <c r="K246">
        <f t="shared" ref="K246:K309" si="40">IF(ISTEXT(D246),0,IF(D246&lt;=30,D246*50/30,IF(AND(D246&gt;30,D246&lt;=60),50+(D246-30)*50/30,IF(AND(D246&gt;60,D246&lt;=90),100+(D246-60)*100/30,IF(AND(D246&gt;90,D246&lt;=120),200+(D246-90)*(100/30),IF(AND(D246&gt;120,D246&lt;=250),300+(D246-120)*(100/130),IF(D246&gt;250,400+(D246-250)*(100/130))))))))</f>
        <v>38.533333333333331</v>
      </c>
      <c r="L246">
        <f t="shared" ref="L246:L309" si="41">IF(ISTEXT(E246),0,IF(E246&lt;=50,E246,IF(AND(E246&gt;50,E246&lt;=100),E246,IF(AND(E246&gt;100,E246&lt;=250),100+(E246-100)*100/150,IF(AND(E246&gt;250,E246&lt;=350),200+(E246-250),IF(AND(E246&gt;350,E246&lt;=430),300+(E246-350)*(100/80),IF(E246&gt;430,400+(E246-430)*(100/80))))))))</f>
        <v>52.33</v>
      </c>
      <c r="M246">
        <f t="shared" ref="M246:M309" si="42">IF(ISTEXT(F246),0,IF(F246&lt;=40,F246*50/40,IF(AND(F246&gt;40,F246&lt;=80),50+(F246-40)*50/40,IF(AND(F246&gt;80,F246&lt;=180),100+(F246-80)*100/100,IF(AND(F246&gt;180,F246&lt;=280),200+(F246-180)*(100/100),IF(AND(F246&gt;280,F246&lt;=400),300+(F246-280)*(100/120),IF(F246&gt;400,400+(F246-400)*(100/120))))))))</f>
        <v>26.6</v>
      </c>
      <c r="N246">
        <f t="shared" ref="N246:N309" si="43">IF(ISTEXT(G246),0,IF(G246&lt;=200,G246*50/200,IF(AND(G246&gt;200,G246&lt;=400),50+(G246-200)*50/200,IF(AND(G246&gt;400,G246&lt;=800),100+(G246-400)*100/400,IF(AND(G246&gt;800,G246&lt;=1200),200+(G246-800)*(100/400),IF(AND(G246&gt;1200,G246&lt;=1800),300+(G246-1200)*(100/600),IF(G246&gt;1800,400+(G246-1800)*(100/600))))))))</f>
        <v>3.12</v>
      </c>
      <c r="O246">
        <f t="shared" ref="O246:O309" si="44">IF(ISTEXT(H246),0,IF(H246&lt;=40,H246*50/40,IF(AND(H246&gt;40,H246&lt;=80),50+(H246-40)*50/40,IF(AND(H246&gt;80,H246&lt;=380),100+(H246-80)*100/300,IF(AND(H246&gt;380,H246&lt;=800),200+(H246-380)*(100/420),IF(AND(H246&gt;800,H246&lt;=1600),300+(H246-800)*(100/800),IF(H246&gt;1600,400+(H246-1600)*(100/800))))))))</f>
        <v>4.1559523812499997</v>
      </c>
      <c r="P246">
        <f t="shared" ref="P246:P309" si="45">IF(I246&lt;=4.4,(50-0)/(4.4-0)*(I246-0)+0,
IF(I246&lt;=9.4,(100-51)/(9.4-4.5)*(I246-4.5)+51,
IF(I246&lt;=12.4,(150-101)/(12.4-9.5)*(I246-9.5)+101,
IF(I246&lt;=15.4,(200-151)/(15.4-12.5)*(I246-12.5)+151,
IF(I246&lt;=30.4,(300-201)/(30.4-15.5)*(I246-15.5)+201,
(500-301)/(50.4-30.5)*(I246-30.5)+301)))))</f>
        <v>4.6590909090909083</v>
      </c>
      <c r="Q246">
        <f t="shared" ref="Q246:Q309" si="46">IF(J246&lt;=54,(50-0)/(54-0)*(J246-0)+0,
IF(J246&lt;=70,(100-51)/(70-55)*(J246-55)+51,
IF(J246&lt;=85,(150-101)/(85-71)*(J246-71)+101,
IF(J246&lt;=105,(200-151)/(105-86)*(J246-86)+151,
IF(J246&lt;=200,(300-201)/(200-106)*(J246-106)+201,
(500-301)/(300-201)*(J246-201)+301)))))</f>
        <v>26.351851851851851</v>
      </c>
      <c r="R246">
        <f t="shared" ref="R246:R309" si="47">MAX(K246:Q246)</f>
        <v>52.33</v>
      </c>
      <c r="S246" t="str">
        <f t="shared" ref="S246:S309" si="48">IF(R246&lt;=50,"Good",
IF(R246&lt;=100,"Satisfactory",
IF(R246&lt;=200,"Moderate",
IF(R246&lt;=300,"Poor",
IF(R246&lt;=400,"Very Poor",
"Severe")))))</f>
        <v>Satisfactory</v>
      </c>
      <c r="T246" t="str">
        <f t="shared" ref="T246:T309" si="49">IF(MAX(K246:Q246)=K246,"PM2.5",
IF(MAX(K246:Q246)=L246,"PM10",
IF(MAX(K246:Q246)=M246,"NO2",
IF(MAX(K246:Q246)=N246,"NH3",
IF(MAX(K246:Q246)=O246,"SO2",
IF(MAX(K246:Q246)=P246,"CO",
IF(MAX(K246:Q246)=Q246,"OZONE","")))))))</f>
        <v>PM10</v>
      </c>
      <c r="U246">
        <v>26.36</v>
      </c>
      <c r="V246">
        <v>68.31</v>
      </c>
    </row>
    <row r="247" spans="1:22" x14ac:dyDescent="0.3">
      <c r="A247" s="2" t="s">
        <v>15</v>
      </c>
      <c r="B247">
        <v>560026</v>
      </c>
      <c r="C247" s="3">
        <v>43723</v>
      </c>
      <c r="D247">
        <v>17.309999999999999</v>
      </c>
      <c r="E247">
        <v>47.54</v>
      </c>
      <c r="F247">
        <v>18.39</v>
      </c>
      <c r="G247">
        <v>10.81</v>
      </c>
      <c r="H247">
        <v>3.3247619049999999</v>
      </c>
      <c r="I247">
        <v>0.44</v>
      </c>
      <c r="J247">
        <v>27.28</v>
      </c>
      <c r="K247">
        <f t="shared" si="40"/>
        <v>28.849999999999998</v>
      </c>
      <c r="L247">
        <f t="shared" si="41"/>
        <v>47.54</v>
      </c>
      <c r="M247">
        <f t="shared" si="42"/>
        <v>22.987500000000001</v>
      </c>
      <c r="N247">
        <f t="shared" si="43"/>
        <v>2.7025000000000001</v>
      </c>
      <c r="O247">
        <f t="shared" si="44"/>
        <v>4.1559523812499997</v>
      </c>
      <c r="P247">
        <f t="shared" si="45"/>
        <v>5</v>
      </c>
      <c r="Q247">
        <f t="shared" si="46"/>
        <v>25.25925925925926</v>
      </c>
      <c r="R247">
        <f t="shared" si="47"/>
        <v>47.54</v>
      </c>
      <c r="S247" t="str">
        <f t="shared" si="48"/>
        <v>Good</v>
      </c>
      <c r="T247" t="str">
        <f t="shared" si="49"/>
        <v>PM10</v>
      </c>
      <c r="U247">
        <v>26.26</v>
      </c>
      <c r="V247">
        <v>67.83</v>
      </c>
    </row>
    <row r="248" spans="1:22" x14ac:dyDescent="0.3">
      <c r="A248" s="2" t="s">
        <v>15</v>
      </c>
      <c r="B248">
        <v>560026</v>
      </c>
      <c r="C248" s="3">
        <v>43724</v>
      </c>
      <c r="D248">
        <v>16.989999999999998</v>
      </c>
      <c r="E248">
        <v>39.200000000000003</v>
      </c>
      <c r="F248">
        <v>18.66</v>
      </c>
      <c r="G248">
        <v>10.25</v>
      </c>
      <c r="H248">
        <v>4</v>
      </c>
      <c r="I248">
        <v>0.5</v>
      </c>
      <c r="J248">
        <v>20.51</v>
      </c>
      <c r="K248">
        <f t="shared" si="40"/>
        <v>28.316666666666663</v>
      </c>
      <c r="L248">
        <f t="shared" si="41"/>
        <v>39.200000000000003</v>
      </c>
      <c r="M248">
        <f t="shared" si="42"/>
        <v>23.324999999999999</v>
      </c>
      <c r="N248">
        <f t="shared" si="43"/>
        <v>2.5625</v>
      </c>
      <c r="O248">
        <f t="shared" si="44"/>
        <v>5</v>
      </c>
      <c r="P248">
        <f t="shared" si="45"/>
        <v>5.6818181818181817</v>
      </c>
      <c r="Q248">
        <f t="shared" si="46"/>
        <v>18.990740740740744</v>
      </c>
      <c r="R248">
        <f t="shared" si="47"/>
        <v>39.200000000000003</v>
      </c>
      <c r="S248" t="str">
        <f t="shared" si="48"/>
        <v>Good</v>
      </c>
      <c r="T248" t="str">
        <f t="shared" si="49"/>
        <v>PM10</v>
      </c>
      <c r="U248">
        <v>24.89</v>
      </c>
      <c r="V248">
        <v>77.62</v>
      </c>
    </row>
    <row r="249" spans="1:22" x14ac:dyDescent="0.3">
      <c r="A249" s="2" t="s">
        <v>15</v>
      </c>
      <c r="B249">
        <v>560026</v>
      </c>
      <c r="C249" s="3">
        <v>43725</v>
      </c>
      <c r="D249">
        <v>20.92</v>
      </c>
      <c r="E249">
        <v>50.47</v>
      </c>
      <c r="F249">
        <v>22.04</v>
      </c>
      <c r="G249">
        <v>10.7</v>
      </c>
      <c r="H249">
        <v>3.98</v>
      </c>
      <c r="I249">
        <v>0.63</v>
      </c>
      <c r="J249">
        <v>21.95</v>
      </c>
      <c r="K249">
        <f t="shared" si="40"/>
        <v>34.866666666666667</v>
      </c>
      <c r="L249">
        <f t="shared" si="41"/>
        <v>50.47</v>
      </c>
      <c r="M249">
        <f t="shared" si="42"/>
        <v>27.55</v>
      </c>
      <c r="N249">
        <f t="shared" si="43"/>
        <v>2.6749999999999998</v>
      </c>
      <c r="O249">
        <f t="shared" si="44"/>
        <v>4.9749999999999996</v>
      </c>
      <c r="P249">
        <f t="shared" si="45"/>
        <v>7.1590909090909092</v>
      </c>
      <c r="Q249">
        <f t="shared" si="46"/>
        <v>20.324074074074073</v>
      </c>
      <c r="R249">
        <f t="shared" si="47"/>
        <v>50.47</v>
      </c>
      <c r="S249" t="str">
        <f t="shared" si="48"/>
        <v>Satisfactory</v>
      </c>
      <c r="T249" t="str">
        <f t="shared" si="49"/>
        <v>PM10</v>
      </c>
      <c r="U249">
        <v>24.92</v>
      </c>
      <c r="V249">
        <v>79.72</v>
      </c>
    </row>
    <row r="250" spans="1:22" x14ac:dyDescent="0.3">
      <c r="A250" s="2" t="s">
        <v>15</v>
      </c>
      <c r="B250">
        <v>560026</v>
      </c>
      <c r="C250" s="3">
        <v>43726</v>
      </c>
      <c r="D250">
        <v>24.76</v>
      </c>
      <c r="E250">
        <v>57.59</v>
      </c>
      <c r="F250">
        <v>23.47</v>
      </c>
      <c r="G250">
        <v>10.66</v>
      </c>
      <c r="H250">
        <v>3.3247619049999999</v>
      </c>
      <c r="I250">
        <v>0.54</v>
      </c>
      <c r="J250">
        <v>28.61</v>
      </c>
      <c r="K250">
        <f t="shared" si="40"/>
        <v>41.266666666666666</v>
      </c>
      <c r="L250">
        <f t="shared" si="41"/>
        <v>57.59</v>
      </c>
      <c r="M250">
        <f t="shared" si="42"/>
        <v>29.337499999999999</v>
      </c>
      <c r="N250">
        <f t="shared" si="43"/>
        <v>2.665</v>
      </c>
      <c r="O250">
        <f t="shared" si="44"/>
        <v>4.1559523812499997</v>
      </c>
      <c r="P250">
        <f t="shared" si="45"/>
        <v>6.1363636363636367</v>
      </c>
      <c r="Q250">
        <f t="shared" si="46"/>
        <v>26.49074074074074</v>
      </c>
      <c r="R250">
        <f t="shared" si="47"/>
        <v>57.59</v>
      </c>
      <c r="S250" t="str">
        <f t="shared" si="48"/>
        <v>Satisfactory</v>
      </c>
      <c r="T250" t="str">
        <f t="shared" si="49"/>
        <v>PM10</v>
      </c>
      <c r="U250">
        <v>25.54</v>
      </c>
      <c r="V250">
        <v>75.930000000000007</v>
      </c>
    </row>
    <row r="251" spans="1:22" x14ac:dyDescent="0.3">
      <c r="A251" s="2" t="s">
        <v>15</v>
      </c>
      <c r="B251">
        <v>560026</v>
      </c>
      <c r="C251" s="3">
        <v>43727</v>
      </c>
      <c r="D251">
        <v>23.96</v>
      </c>
      <c r="E251">
        <v>48.05</v>
      </c>
      <c r="F251">
        <v>21.22</v>
      </c>
      <c r="G251">
        <v>10.46</v>
      </c>
      <c r="H251">
        <v>4.0999999999999996</v>
      </c>
      <c r="I251">
        <v>0.4</v>
      </c>
      <c r="J251">
        <v>56.61</v>
      </c>
      <c r="K251">
        <f t="shared" si="40"/>
        <v>39.93333333333333</v>
      </c>
      <c r="L251">
        <f t="shared" si="41"/>
        <v>48.05</v>
      </c>
      <c r="M251">
        <f t="shared" si="42"/>
        <v>26.524999999999999</v>
      </c>
      <c r="N251">
        <f t="shared" si="43"/>
        <v>2.6150000000000002</v>
      </c>
      <c r="O251">
        <f t="shared" si="44"/>
        <v>5.1249999999999991</v>
      </c>
      <c r="P251">
        <f t="shared" si="45"/>
        <v>4.5454545454545459</v>
      </c>
      <c r="Q251">
        <f t="shared" si="46"/>
        <v>56.259333333333331</v>
      </c>
      <c r="R251">
        <f t="shared" si="47"/>
        <v>56.259333333333331</v>
      </c>
      <c r="S251" t="str">
        <f t="shared" si="48"/>
        <v>Satisfactory</v>
      </c>
      <c r="T251" t="str">
        <f t="shared" si="49"/>
        <v>OZONE</v>
      </c>
      <c r="U251">
        <v>25.77</v>
      </c>
      <c r="V251">
        <v>73.92</v>
      </c>
    </row>
    <row r="252" spans="1:22" x14ac:dyDescent="0.3">
      <c r="A252" s="2" t="s">
        <v>15</v>
      </c>
      <c r="B252">
        <v>560026</v>
      </c>
      <c r="C252" s="3">
        <v>43728</v>
      </c>
      <c r="D252">
        <v>21.54</v>
      </c>
      <c r="E252">
        <v>60.97</v>
      </c>
      <c r="F252">
        <v>19.97</v>
      </c>
      <c r="G252">
        <v>9.99</v>
      </c>
      <c r="H252">
        <v>3.3247619049999999</v>
      </c>
      <c r="I252">
        <v>0.43</v>
      </c>
      <c r="J252">
        <v>35.880000000000003</v>
      </c>
      <c r="K252">
        <f t="shared" si="40"/>
        <v>35.9</v>
      </c>
      <c r="L252">
        <f t="shared" si="41"/>
        <v>60.97</v>
      </c>
      <c r="M252">
        <f t="shared" si="42"/>
        <v>24.962499999999999</v>
      </c>
      <c r="N252">
        <f t="shared" si="43"/>
        <v>2.4975000000000001</v>
      </c>
      <c r="O252">
        <f t="shared" si="44"/>
        <v>4.1559523812499997</v>
      </c>
      <c r="P252">
        <f t="shared" si="45"/>
        <v>4.8863636363636358</v>
      </c>
      <c r="Q252">
        <f t="shared" si="46"/>
        <v>33.222222222222221</v>
      </c>
      <c r="R252">
        <f t="shared" si="47"/>
        <v>60.97</v>
      </c>
      <c r="S252" t="str">
        <f t="shared" si="48"/>
        <v>Satisfactory</v>
      </c>
      <c r="T252" t="str">
        <f t="shared" si="49"/>
        <v>PM10</v>
      </c>
      <c r="U252">
        <v>25.57</v>
      </c>
      <c r="V252">
        <v>72.03</v>
      </c>
    </row>
    <row r="253" spans="1:22" x14ac:dyDescent="0.3">
      <c r="A253" s="2" t="s">
        <v>15</v>
      </c>
      <c r="B253">
        <v>560026</v>
      </c>
      <c r="C253" s="3">
        <v>43729</v>
      </c>
      <c r="D253">
        <v>23.59</v>
      </c>
      <c r="E253">
        <v>53.28</v>
      </c>
      <c r="F253">
        <v>24.46</v>
      </c>
      <c r="G253">
        <v>10.67</v>
      </c>
      <c r="H253">
        <v>3.3247619049999999</v>
      </c>
      <c r="I253">
        <v>0.52</v>
      </c>
      <c r="J253">
        <v>30.55</v>
      </c>
      <c r="K253">
        <f t="shared" si="40"/>
        <v>39.31666666666667</v>
      </c>
      <c r="L253">
        <f t="shared" si="41"/>
        <v>53.28</v>
      </c>
      <c r="M253">
        <f t="shared" si="42"/>
        <v>30.574999999999999</v>
      </c>
      <c r="N253">
        <f t="shared" si="43"/>
        <v>2.6675</v>
      </c>
      <c r="O253">
        <f t="shared" si="44"/>
        <v>4.1559523812499997</v>
      </c>
      <c r="P253">
        <f t="shared" si="45"/>
        <v>5.9090909090909092</v>
      </c>
      <c r="Q253">
        <f t="shared" si="46"/>
        <v>28.287037037037038</v>
      </c>
      <c r="R253">
        <f t="shared" si="47"/>
        <v>53.28</v>
      </c>
      <c r="S253" t="str">
        <f t="shared" si="48"/>
        <v>Satisfactory</v>
      </c>
      <c r="T253" t="str">
        <f t="shared" si="49"/>
        <v>PM10</v>
      </c>
      <c r="U253">
        <v>20.23</v>
      </c>
      <c r="V253">
        <v>66.900000000000006</v>
      </c>
    </row>
    <row r="254" spans="1:22" x14ac:dyDescent="0.3">
      <c r="A254" s="2" t="s">
        <v>15</v>
      </c>
      <c r="B254">
        <v>560026</v>
      </c>
      <c r="C254" s="3">
        <v>43730</v>
      </c>
      <c r="D254">
        <v>23.56</v>
      </c>
      <c r="E254">
        <v>62.77</v>
      </c>
      <c r="F254">
        <v>27.24</v>
      </c>
      <c r="G254">
        <v>12.38</v>
      </c>
      <c r="H254">
        <v>3.6</v>
      </c>
      <c r="I254">
        <v>0.94</v>
      </c>
      <c r="J254">
        <v>22.68</v>
      </c>
      <c r="K254">
        <f t="shared" si="40"/>
        <v>39.266666666666666</v>
      </c>
      <c r="L254">
        <f t="shared" si="41"/>
        <v>62.77</v>
      </c>
      <c r="M254">
        <f t="shared" si="42"/>
        <v>34.049999999999997</v>
      </c>
      <c r="N254">
        <f t="shared" si="43"/>
        <v>3.0950000000000002</v>
      </c>
      <c r="O254">
        <f t="shared" si="44"/>
        <v>4.5</v>
      </c>
      <c r="P254">
        <f t="shared" si="45"/>
        <v>10.681818181818182</v>
      </c>
      <c r="Q254">
        <f t="shared" si="46"/>
        <v>21</v>
      </c>
      <c r="R254">
        <f t="shared" si="47"/>
        <v>62.77</v>
      </c>
      <c r="S254" t="str">
        <f t="shared" si="48"/>
        <v>Satisfactory</v>
      </c>
      <c r="T254" t="str">
        <f t="shared" si="49"/>
        <v>PM10</v>
      </c>
      <c r="U254">
        <v>22.65</v>
      </c>
      <c r="V254">
        <v>75.09</v>
      </c>
    </row>
    <row r="255" spans="1:22" x14ac:dyDescent="0.3">
      <c r="A255" s="2" t="s">
        <v>15</v>
      </c>
      <c r="B255">
        <v>560026</v>
      </c>
      <c r="C255" s="3">
        <v>43731</v>
      </c>
      <c r="D255">
        <v>24.92</v>
      </c>
      <c r="E255">
        <v>58.08</v>
      </c>
      <c r="F255">
        <v>33.090000000000003</v>
      </c>
      <c r="G255">
        <v>13.69</v>
      </c>
      <c r="H255">
        <v>3.3247619049999999</v>
      </c>
      <c r="I255">
        <v>0.91</v>
      </c>
      <c r="J255">
        <v>31.3</v>
      </c>
      <c r="K255">
        <f t="shared" si="40"/>
        <v>41.533333333333331</v>
      </c>
      <c r="L255">
        <f t="shared" si="41"/>
        <v>58.08</v>
      </c>
      <c r="M255">
        <f t="shared" si="42"/>
        <v>41.362500000000004</v>
      </c>
      <c r="N255">
        <f t="shared" si="43"/>
        <v>3.4224999999999999</v>
      </c>
      <c r="O255">
        <f t="shared" si="44"/>
        <v>4.1559523812499997</v>
      </c>
      <c r="P255">
        <f t="shared" si="45"/>
        <v>10.340909090909092</v>
      </c>
      <c r="Q255">
        <f t="shared" si="46"/>
        <v>28.981481481481481</v>
      </c>
      <c r="R255">
        <f t="shared" si="47"/>
        <v>58.08</v>
      </c>
      <c r="S255" t="str">
        <f t="shared" si="48"/>
        <v>Satisfactory</v>
      </c>
      <c r="T255" t="str">
        <f t="shared" si="49"/>
        <v>PM10</v>
      </c>
      <c r="U255">
        <v>25.5</v>
      </c>
      <c r="V255">
        <v>77.78</v>
      </c>
    </row>
    <row r="256" spans="1:22" x14ac:dyDescent="0.3">
      <c r="A256" s="2" t="s">
        <v>15</v>
      </c>
      <c r="B256">
        <v>560026</v>
      </c>
      <c r="C256" s="3">
        <v>43732</v>
      </c>
      <c r="D256">
        <v>20.87</v>
      </c>
      <c r="E256">
        <v>43.65</v>
      </c>
      <c r="F256">
        <v>34.99</v>
      </c>
      <c r="G256">
        <v>11.11</v>
      </c>
      <c r="H256">
        <v>4</v>
      </c>
      <c r="I256">
        <v>0.72</v>
      </c>
      <c r="J256">
        <v>49.66</v>
      </c>
      <c r="K256">
        <f t="shared" si="40"/>
        <v>34.783333333333331</v>
      </c>
      <c r="L256">
        <f t="shared" si="41"/>
        <v>43.65</v>
      </c>
      <c r="M256">
        <f t="shared" si="42"/>
        <v>43.737499999999997</v>
      </c>
      <c r="N256">
        <f t="shared" si="43"/>
        <v>2.7774999999999999</v>
      </c>
      <c r="O256">
        <f t="shared" si="44"/>
        <v>5</v>
      </c>
      <c r="P256">
        <f t="shared" si="45"/>
        <v>8.1818181818181817</v>
      </c>
      <c r="Q256">
        <f t="shared" si="46"/>
        <v>45.981481481481481</v>
      </c>
      <c r="R256">
        <f t="shared" si="47"/>
        <v>45.981481481481481</v>
      </c>
      <c r="S256" t="str">
        <f t="shared" si="48"/>
        <v>Good</v>
      </c>
      <c r="T256" t="str">
        <f t="shared" si="49"/>
        <v>OZONE</v>
      </c>
      <c r="U256">
        <v>25.37</v>
      </c>
      <c r="V256">
        <v>77.05</v>
      </c>
    </row>
    <row r="257" spans="1:22" x14ac:dyDescent="0.3">
      <c r="A257" s="2" t="s">
        <v>15</v>
      </c>
      <c r="B257">
        <v>560026</v>
      </c>
      <c r="C257" s="3">
        <v>43733</v>
      </c>
      <c r="D257">
        <v>15.03</v>
      </c>
      <c r="E257">
        <v>24.78</v>
      </c>
      <c r="F257">
        <v>24.09</v>
      </c>
      <c r="G257">
        <v>9.2899999999999991</v>
      </c>
      <c r="H257">
        <v>3.65</v>
      </c>
      <c r="I257">
        <v>0.31</v>
      </c>
      <c r="J257">
        <v>36.549999999999997</v>
      </c>
      <c r="K257">
        <f t="shared" si="40"/>
        <v>25.05</v>
      </c>
      <c r="L257">
        <f t="shared" si="41"/>
        <v>24.78</v>
      </c>
      <c r="M257">
        <f t="shared" si="42"/>
        <v>30.112500000000001</v>
      </c>
      <c r="N257">
        <f t="shared" si="43"/>
        <v>2.3224999999999998</v>
      </c>
      <c r="O257">
        <f t="shared" si="44"/>
        <v>4.5625</v>
      </c>
      <c r="P257">
        <f t="shared" si="45"/>
        <v>3.5227272727272725</v>
      </c>
      <c r="Q257">
        <f t="shared" si="46"/>
        <v>33.842592592592588</v>
      </c>
      <c r="R257">
        <f t="shared" si="47"/>
        <v>33.842592592592588</v>
      </c>
      <c r="S257" t="str">
        <f t="shared" si="48"/>
        <v>Good</v>
      </c>
      <c r="T257" t="str">
        <f t="shared" si="49"/>
        <v>OZONE</v>
      </c>
      <c r="U257">
        <v>25.25</v>
      </c>
      <c r="V257">
        <v>76.38</v>
      </c>
    </row>
    <row r="258" spans="1:22" x14ac:dyDescent="0.3">
      <c r="A258" s="2" t="s">
        <v>15</v>
      </c>
      <c r="B258">
        <v>560026</v>
      </c>
      <c r="C258" s="3">
        <v>43734</v>
      </c>
      <c r="D258">
        <v>14.1</v>
      </c>
      <c r="E258">
        <v>31.44</v>
      </c>
      <c r="F258">
        <v>19.61</v>
      </c>
      <c r="G258">
        <v>7.98</v>
      </c>
      <c r="H258">
        <v>3.3247619049999999</v>
      </c>
      <c r="I258">
        <v>0.33</v>
      </c>
      <c r="J258">
        <v>23.17</v>
      </c>
      <c r="K258">
        <f t="shared" si="40"/>
        <v>23.5</v>
      </c>
      <c r="L258">
        <f t="shared" si="41"/>
        <v>31.44</v>
      </c>
      <c r="M258">
        <f t="shared" si="42"/>
        <v>24.512499999999999</v>
      </c>
      <c r="N258">
        <f t="shared" si="43"/>
        <v>1.9950000000000001</v>
      </c>
      <c r="O258">
        <f t="shared" si="44"/>
        <v>4.1559523812499997</v>
      </c>
      <c r="P258">
        <f t="shared" si="45"/>
        <v>3.75</v>
      </c>
      <c r="Q258">
        <f t="shared" si="46"/>
        <v>21.453703703703706</v>
      </c>
      <c r="R258">
        <f t="shared" si="47"/>
        <v>31.44</v>
      </c>
      <c r="S258" t="str">
        <f t="shared" si="48"/>
        <v>Good</v>
      </c>
      <c r="T258" t="str">
        <f t="shared" si="49"/>
        <v>PM10</v>
      </c>
      <c r="U258">
        <v>24.94</v>
      </c>
      <c r="V258">
        <v>73.97</v>
      </c>
    </row>
    <row r="259" spans="1:22" x14ac:dyDescent="0.3">
      <c r="A259" s="2" t="s">
        <v>15</v>
      </c>
      <c r="B259">
        <v>560026</v>
      </c>
      <c r="C259" s="3">
        <v>43735</v>
      </c>
      <c r="D259">
        <v>27.97</v>
      </c>
      <c r="E259">
        <v>62.07</v>
      </c>
      <c r="F259">
        <v>30.16</v>
      </c>
      <c r="G259">
        <v>10.15</v>
      </c>
      <c r="H259">
        <v>3.2</v>
      </c>
      <c r="I259">
        <v>0.68</v>
      </c>
      <c r="J259">
        <v>32.29</v>
      </c>
      <c r="K259">
        <f t="shared" si="40"/>
        <v>46.616666666666667</v>
      </c>
      <c r="L259">
        <f t="shared" si="41"/>
        <v>62.07</v>
      </c>
      <c r="M259">
        <f t="shared" si="42"/>
        <v>37.700000000000003</v>
      </c>
      <c r="N259">
        <f t="shared" si="43"/>
        <v>2.5375000000000001</v>
      </c>
      <c r="O259">
        <f t="shared" si="44"/>
        <v>4</v>
      </c>
      <c r="P259">
        <f t="shared" si="45"/>
        <v>7.7272727272727275</v>
      </c>
      <c r="Q259">
        <f t="shared" si="46"/>
        <v>29.898148148148149</v>
      </c>
      <c r="R259">
        <f t="shared" si="47"/>
        <v>62.07</v>
      </c>
      <c r="S259" t="str">
        <f t="shared" si="48"/>
        <v>Satisfactory</v>
      </c>
      <c r="T259" t="str">
        <f t="shared" si="49"/>
        <v>PM10</v>
      </c>
      <c r="U259">
        <v>25.57</v>
      </c>
      <c r="V259">
        <v>72.23</v>
      </c>
    </row>
    <row r="260" spans="1:22" x14ac:dyDescent="0.3">
      <c r="A260" s="2" t="s">
        <v>15</v>
      </c>
      <c r="B260">
        <v>560026</v>
      </c>
      <c r="C260" s="3">
        <v>43736</v>
      </c>
      <c r="D260">
        <v>22.19</v>
      </c>
      <c r="E260">
        <v>48.52</v>
      </c>
      <c r="F260">
        <v>25.95</v>
      </c>
      <c r="G260">
        <v>9.93</v>
      </c>
      <c r="H260">
        <v>3.3247619049999999</v>
      </c>
      <c r="I260">
        <v>0.44</v>
      </c>
      <c r="J260">
        <v>63.53</v>
      </c>
      <c r="K260">
        <f t="shared" si="40"/>
        <v>36.983333333333334</v>
      </c>
      <c r="L260">
        <f t="shared" si="41"/>
        <v>48.52</v>
      </c>
      <c r="M260">
        <f t="shared" si="42"/>
        <v>32.4375</v>
      </c>
      <c r="N260">
        <f t="shared" si="43"/>
        <v>2.4824999999999999</v>
      </c>
      <c r="O260">
        <f t="shared" si="44"/>
        <v>4.1559523812499997</v>
      </c>
      <c r="P260">
        <f t="shared" si="45"/>
        <v>5</v>
      </c>
      <c r="Q260">
        <f t="shared" si="46"/>
        <v>78.864666666666665</v>
      </c>
      <c r="R260">
        <f t="shared" si="47"/>
        <v>78.864666666666665</v>
      </c>
      <c r="S260" t="str">
        <f t="shared" si="48"/>
        <v>Satisfactory</v>
      </c>
      <c r="T260" t="str">
        <f t="shared" si="49"/>
        <v>OZONE</v>
      </c>
      <c r="U260">
        <v>25.01</v>
      </c>
      <c r="V260">
        <v>67.489999999999995</v>
      </c>
    </row>
    <row r="261" spans="1:22" x14ac:dyDescent="0.3">
      <c r="A261" s="2" t="s">
        <v>15</v>
      </c>
      <c r="B261">
        <v>560026</v>
      </c>
      <c r="C261" s="3">
        <v>43737</v>
      </c>
      <c r="D261">
        <v>36.71</v>
      </c>
      <c r="E261">
        <v>65.34</v>
      </c>
      <c r="F261">
        <v>26.3</v>
      </c>
      <c r="G261">
        <v>11.45</v>
      </c>
      <c r="H261">
        <v>3.3247619049999999</v>
      </c>
      <c r="I261">
        <v>0.46</v>
      </c>
      <c r="J261">
        <v>58.05</v>
      </c>
      <c r="K261">
        <f t="shared" si="40"/>
        <v>61.183333333333337</v>
      </c>
      <c r="L261">
        <f t="shared" si="41"/>
        <v>65.34</v>
      </c>
      <c r="M261">
        <f t="shared" si="42"/>
        <v>32.875</v>
      </c>
      <c r="N261">
        <f t="shared" si="43"/>
        <v>2.8624999999999998</v>
      </c>
      <c r="O261">
        <f t="shared" si="44"/>
        <v>4.1559523812499997</v>
      </c>
      <c r="P261">
        <f t="shared" si="45"/>
        <v>5.2272727272727275</v>
      </c>
      <c r="Q261">
        <f t="shared" si="46"/>
        <v>60.963333333333324</v>
      </c>
      <c r="R261">
        <f t="shared" si="47"/>
        <v>65.34</v>
      </c>
      <c r="S261" t="str">
        <f t="shared" si="48"/>
        <v>Satisfactory</v>
      </c>
      <c r="T261" t="str">
        <f t="shared" si="49"/>
        <v>PM10</v>
      </c>
      <c r="U261">
        <v>26.66</v>
      </c>
      <c r="V261">
        <v>63.49</v>
      </c>
    </row>
    <row r="262" spans="1:22" x14ac:dyDescent="0.3">
      <c r="A262" s="2" t="s">
        <v>15</v>
      </c>
      <c r="B262">
        <v>560026</v>
      </c>
      <c r="C262" s="3">
        <v>43738</v>
      </c>
      <c r="D262">
        <v>25.72</v>
      </c>
      <c r="E262">
        <v>52.99</v>
      </c>
      <c r="F262">
        <v>24.98</v>
      </c>
      <c r="G262">
        <v>9.89</v>
      </c>
      <c r="H262">
        <v>3</v>
      </c>
      <c r="I262">
        <v>0.47</v>
      </c>
      <c r="J262">
        <v>37.200000000000003</v>
      </c>
      <c r="K262">
        <f t="shared" si="40"/>
        <v>42.866666666666667</v>
      </c>
      <c r="L262">
        <f t="shared" si="41"/>
        <v>52.99</v>
      </c>
      <c r="M262">
        <f t="shared" si="42"/>
        <v>31.225000000000001</v>
      </c>
      <c r="N262">
        <f t="shared" si="43"/>
        <v>2.4725000000000001</v>
      </c>
      <c r="O262">
        <f t="shared" si="44"/>
        <v>3.75</v>
      </c>
      <c r="P262">
        <f t="shared" si="45"/>
        <v>5.3409090909090908</v>
      </c>
      <c r="Q262">
        <f t="shared" si="46"/>
        <v>34.44444444444445</v>
      </c>
      <c r="R262">
        <f t="shared" si="47"/>
        <v>52.99</v>
      </c>
      <c r="S262" t="str">
        <f t="shared" si="48"/>
        <v>Satisfactory</v>
      </c>
      <c r="T262" t="str">
        <f t="shared" si="49"/>
        <v>PM10</v>
      </c>
      <c r="U262">
        <v>26.6</v>
      </c>
      <c r="V262">
        <v>65.17</v>
      </c>
    </row>
    <row r="263" spans="1:22" x14ac:dyDescent="0.3">
      <c r="A263" s="2" t="s">
        <v>15</v>
      </c>
      <c r="B263">
        <v>560026</v>
      </c>
      <c r="C263" s="3">
        <v>43739</v>
      </c>
      <c r="D263">
        <v>34.200000000000003</v>
      </c>
      <c r="E263">
        <v>66.349999999999994</v>
      </c>
      <c r="F263">
        <v>33.69</v>
      </c>
      <c r="G263">
        <v>11.39</v>
      </c>
      <c r="H263">
        <v>3.1514285709999998</v>
      </c>
      <c r="I263">
        <v>0.73</v>
      </c>
      <c r="J263">
        <v>50.8</v>
      </c>
      <c r="K263">
        <f t="shared" si="40"/>
        <v>57.000000000000007</v>
      </c>
      <c r="L263">
        <f t="shared" si="41"/>
        <v>66.349999999999994</v>
      </c>
      <c r="M263">
        <f t="shared" si="42"/>
        <v>42.112499999999997</v>
      </c>
      <c r="N263">
        <f t="shared" si="43"/>
        <v>2.8475000000000001</v>
      </c>
      <c r="O263">
        <f t="shared" si="44"/>
        <v>3.9392857137499995</v>
      </c>
      <c r="P263">
        <f t="shared" si="45"/>
        <v>8.295454545454545</v>
      </c>
      <c r="Q263">
        <f t="shared" si="46"/>
        <v>47.037037037037038</v>
      </c>
      <c r="R263">
        <f t="shared" si="47"/>
        <v>66.349999999999994</v>
      </c>
      <c r="S263" t="str">
        <f t="shared" si="48"/>
        <v>Satisfactory</v>
      </c>
      <c r="T263" t="str">
        <f t="shared" si="49"/>
        <v>PM10</v>
      </c>
      <c r="U263">
        <v>25.31</v>
      </c>
      <c r="V263">
        <v>73.72</v>
      </c>
    </row>
    <row r="264" spans="1:22" x14ac:dyDescent="0.3">
      <c r="A264" s="2" t="s">
        <v>15</v>
      </c>
      <c r="B264">
        <v>560026</v>
      </c>
      <c r="C264" s="3">
        <v>43740</v>
      </c>
      <c r="D264">
        <v>24.24</v>
      </c>
      <c r="E264">
        <v>61.18</v>
      </c>
      <c r="F264">
        <v>48.24</v>
      </c>
      <c r="G264">
        <v>11.48</v>
      </c>
      <c r="H264">
        <v>3.1514285709999998</v>
      </c>
      <c r="I264">
        <v>0.83</v>
      </c>
      <c r="J264">
        <v>60.61</v>
      </c>
      <c r="K264">
        <f t="shared" si="40"/>
        <v>40.4</v>
      </c>
      <c r="L264">
        <f t="shared" si="41"/>
        <v>61.18</v>
      </c>
      <c r="M264">
        <f t="shared" si="42"/>
        <v>60.300000000000004</v>
      </c>
      <c r="N264">
        <f t="shared" si="43"/>
        <v>2.87</v>
      </c>
      <c r="O264">
        <f t="shared" si="44"/>
        <v>3.9392857137499995</v>
      </c>
      <c r="P264">
        <f t="shared" si="45"/>
        <v>9.4318181818181817</v>
      </c>
      <c r="Q264">
        <f t="shared" si="46"/>
        <v>69.325999999999993</v>
      </c>
      <c r="R264">
        <f t="shared" si="47"/>
        <v>69.325999999999993</v>
      </c>
      <c r="S264" t="str">
        <f t="shared" si="48"/>
        <v>Satisfactory</v>
      </c>
      <c r="T264" t="str">
        <f t="shared" si="49"/>
        <v>OZONE</v>
      </c>
      <c r="U264">
        <v>23.21</v>
      </c>
      <c r="V264">
        <v>67.67</v>
      </c>
    </row>
    <row r="265" spans="1:22" x14ac:dyDescent="0.3">
      <c r="A265" s="2" t="s">
        <v>15</v>
      </c>
      <c r="B265">
        <v>560026</v>
      </c>
      <c r="C265" s="3">
        <v>43741</v>
      </c>
      <c r="D265">
        <v>30.81</v>
      </c>
      <c r="E265">
        <v>61.39</v>
      </c>
      <c r="F265">
        <v>40.86</v>
      </c>
      <c r="G265">
        <v>12.86</v>
      </c>
      <c r="H265">
        <v>3.1514285709999998</v>
      </c>
      <c r="I265">
        <v>0.67</v>
      </c>
      <c r="J265">
        <v>77.34</v>
      </c>
      <c r="K265">
        <f t="shared" si="40"/>
        <v>51.349999999999994</v>
      </c>
      <c r="L265">
        <f t="shared" si="41"/>
        <v>61.39</v>
      </c>
      <c r="M265">
        <f t="shared" si="42"/>
        <v>51.075000000000003</v>
      </c>
      <c r="N265">
        <f t="shared" si="43"/>
        <v>3.2149999999999999</v>
      </c>
      <c r="O265">
        <f t="shared" si="44"/>
        <v>3.9392857137499995</v>
      </c>
      <c r="P265">
        <f t="shared" si="45"/>
        <v>7.6136363636363642</v>
      </c>
      <c r="Q265">
        <f t="shared" si="46"/>
        <v>123.19000000000001</v>
      </c>
      <c r="R265">
        <f t="shared" si="47"/>
        <v>123.19000000000001</v>
      </c>
      <c r="S265" t="str">
        <f t="shared" si="48"/>
        <v>Moderate</v>
      </c>
      <c r="T265" t="str">
        <f t="shared" si="49"/>
        <v>OZONE</v>
      </c>
      <c r="U265">
        <v>20.77</v>
      </c>
      <c r="V265">
        <v>71.66</v>
      </c>
    </row>
    <row r="266" spans="1:22" x14ac:dyDescent="0.3">
      <c r="A266" s="2" t="s">
        <v>15</v>
      </c>
      <c r="B266">
        <v>560026</v>
      </c>
      <c r="C266" s="3">
        <v>43742</v>
      </c>
      <c r="D266">
        <v>33.43</v>
      </c>
      <c r="E266">
        <v>67.31</v>
      </c>
      <c r="F266">
        <v>43.46</v>
      </c>
      <c r="G266">
        <v>16.010000000000002</v>
      </c>
      <c r="H266">
        <v>4</v>
      </c>
      <c r="I266">
        <v>0.97</v>
      </c>
      <c r="J266">
        <v>86.53</v>
      </c>
      <c r="K266">
        <f t="shared" si="40"/>
        <v>55.716666666666669</v>
      </c>
      <c r="L266">
        <f t="shared" si="41"/>
        <v>67.31</v>
      </c>
      <c r="M266">
        <f t="shared" si="42"/>
        <v>54.325000000000003</v>
      </c>
      <c r="N266">
        <f t="shared" si="43"/>
        <v>4.0025000000000004</v>
      </c>
      <c r="O266">
        <f t="shared" si="44"/>
        <v>5</v>
      </c>
      <c r="P266">
        <f t="shared" si="45"/>
        <v>11.022727272727272</v>
      </c>
      <c r="Q266">
        <f t="shared" si="46"/>
        <v>152.36684210526317</v>
      </c>
      <c r="R266">
        <f t="shared" si="47"/>
        <v>152.36684210526317</v>
      </c>
      <c r="S266" t="str">
        <f t="shared" si="48"/>
        <v>Moderate</v>
      </c>
      <c r="T266" t="str">
        <f t="shared" si="49"/>
        <v>OZONE</v>
      </c>
      <c r="U266">
        <v>25.54</v>
      </c>
      <c r="V266">
        <v>72.989999999999995</v>
      </c>
    </row>
    <row r="267" spans="1:22" x14ac:dyDescent="0.3">
      <c r="A267" s="2" t="s">
        <v>15</v>
      </c>
      <c r="B267">
        <v>560026</v>
      </c>
      <c r="C267" s="3">
        <v>43743</v>
      </c>
      <c r="D267">
        <v>37.950000000000003</v>
      </c>
      <c r="E267">
        <v>88.27</v>
      </c>
      <c r="F267">
        <v>51.75</v>
      </c>
      <c r="G267">
        <v>15.53</v>
      </c>
      <c r="H267">
        <v>3.09</v>
      </c>
      <c r="I267">
        <v>0.97</v>
      </c>
      <c r="J267">
        <v>58.63</v>
      </c>
      <c r="K267">
        <f t="shared" si="40"/>
        <v>63.25</v>
      </c>
      <c r="L267">
        <f t="shared" si="41"/>
        <v>88.27</v>
      </c>
      <c r="M267">
        <f t="shared" si="42"/>
        <v>64.6875</v>
      </c>
      <c r="N267">
        <f t="shared" si="43"/>
        <v>3.8824999999999998</v>
      </c>
      <c r="O267">
        <f t="shared" si="44"/>
        <v>3.8624999999999998</v>
      </c>
      <c r="P267">
        <f t="shared" si="45"/>
        <v>11.022727272727272</v>
      </c>
      <c r="Q267">
        <f t="shared" si="46"/>
        <v>62.858000000000004</v>
      </c>
      <c r="R267">
        <f t="shared" si="47"/>
        <v>88.27</v>
      </c>
      <c r="S267" t="str">
        <f t="shared" si="48"/>
        <v>Satisfactory</v>
      </c>
      <c r="T267" t="str">
        <f t="shared" si="49"/>
        <v>PM10</v>
      </c>
      <c r="U267">
        <v>25.76</v>
      </c>
      <c r="V267">
        <v>70.56</v>
      </c>
    </row>
    <row r="268" spans="1:22" x14ac:dyDescent="0.3">
      <c r="A268" s="2" t="s">
        <v>15</v>
      </c>
      <c r="B268">
        <v>560026</v>
      </c>
      <c r="C268" s="3">
        <v>43744</v>
      </c>
      <c r="D268">
        <v>30.88</v>
      </c>
      <c r="E268">
        <v>55.54</v>
      </c>
      <c r="F268">
        <v>35.15</v>
      </c>
      <c r="G268">
        <v>14.45</v>
      </c>
      <c r="H268">
        <v>2.95</v>
      </c>
      <c r="I268">
        <v>0.52</v>
      </c>
      <c r="J268">
        <v>63.62</v>
      </c>
      <c r="K268">
        <f t="shared" si="40"/>
        <v>51.466666666666669</v>
      </c>
      <c r="L268">
        <f t="shared" si="41"/>
        <v>55.54</v>
      </c>
      <c r="M268">
        <f t="shared" si="42"/>
        <v>43.9375</v>
      </c>
      <c r="N268">
        <f t="shared" si="43"/>
        <v>3.6124999999999998</v>
      </c>
      <c r="O268">
        <f t="shared" si="44"/>
        <v>3.6875</v>
      </c>
      <c r="P268">
        <f t="shared" si="45"/>
        <v>5.9090909090909092</v>
      </c>
      <c r="Q268">
        <f t="shared" si="46"/>
        <v>79.158666666666662</v>
      </c>
      <c r="R268">
        <f t="shared" si="47"/>
        <v>79.158666666666662</v>
      </c>
      <c r="S268" t="str">
        <f t="shared" si="48"/>
        <v>Satisfactory</v>
      </c>
      <c r="T268" t="str">
        <f t="shared" si="49"/>
        <v>OZONE</v>
      </c>
      <c r="U268">
        <v>26.39</v>
      </c>
      <c r="V268">
        <v>69.510000000000005</v>
      </c>
    </row>
    <row r="269" spans="1:22" x14ac:dyDescent="0.3">
      <c r="A269" s="2" t="s">
        <v>15</v>
      </c>
      <c r="B269">
        <v>560026</v>
      </c>
      <c r="C269" s="3">
        <v>43745</v>
      </c>
      <c r="D269">
        <v>39</v>
      </c>
      <c r="E269">
        <v>74.209999999999994</v>
      </c>
      <c r="F269">
        <v>42.21</v>
      </c>
      <c r="G269">
        <v>15.42</v>
      </c>
      <c r="H269">
        <v>2.84</v>
      </c>
      <c r="I269">
        <v>0.86</v>
      </c>
      <c r="J269">
        <v>54.89</v>
      </c>
      <c r="K269">
        <f t="shared" si="40"/>
        <v>65</v>
      </c>
      <c r="L269">
        <f t="shared" si="41"/>
        <v>74.209999999999994</v>
      </c>
      <c r="M269">
        <f t="shared" si="42"/>
        <v>52.762500000000003</v>
      </c>
      <c r="N269">
        <f t="shared" si="43"/>
        <v>3.855</v>
      </c>
      <c r="O269">
        <f t="shared" si="44"/>
        <v>3.55</v>
      </c>
      <c r="P269">
        <f t="shared" si="45"/>
        <v>9.7727272727272716</v>
      </c>
      <c r="Q269">
        <f t="shared" si="46"/>
        <v>50.640666666666668</v>
      </c>
      <c r="R269">
        <f t="shared" si="47"/>
        <v>74.209999999999994</v>
      </c>
      <c r="S269" t="str">
        <f t="shared" si="48"/>
        <v>Satisfactory</v>
      </c>
      <c r="T269" t="str">
        <f t="shared" si="49"/>
        <v>PM10</v>
      </c>
      <c r="U269">
        <v>25.98</v>
      </c>
      <c r="V269">
        <v>71.38</v>
      </c>
    </row>
    <row r="270" spans="1:22" x14ac:dyDescent="0.3">
      <c r="A270" s="2" t="s">
        <v>15</v>
      </c>
      <c r="B270">
        <v>560026</v>
      </c>
      <c r="C270" s="3">
        <v>43746</v>
      </c>
      <c r="D270">
        <v>22.51</v>
      </c>
      <c r="E270">
        <v>37.659999999999997</v>
      </c>
      <c r="F270">
        <v>33.96</v>
      </c>
      <c r="G270">
        <v>13.51</v>
      </c>
      <c r="H270">
        <v>3.07</v>
      </c>
      <c r="I270">
        <v>0.54</v>
      </c>
      <c r="J270">
        <v>92.75</v>
      </c>
      <c r="K270">
        <f t="shared" si="40"/>
        <v>37.516666666666666</v>
      </c>
      <c r="L270">
        <f t="shared" si="41"/>
        <v>37.659999999999997</v>
      </c>
      <c r="M270">
        <f t="shared" si="42"/>
        <v>42.45</v>
      </c>
      <c r="N270">
        <f t="shared" si="43"/>
        <v>3.3774999999999999</v>
      </c>
      <c r="O270">
        <f t="shared" si="44"/>
        <v>3.8374999999999999</v>
      </c>
      <c r="P270">
        <f t="shared" si="45"/>
        <v>6.1363636363636367</v>
      </c>
      <c r="Q270">
        <f t="shared" si="46"/>
        <v>168.40789473684211</v>
      </c>
      <c r="R270">
        <f t="shared" si="47"/>
        <v>168.40789473684211</v>
      </c>
      <c r="S270" t="str">
        <f t="shared" si="48"/>
        <v>Moderate</v>
      </c>
      <c r="T270" t="str">
        <f t="shared" si="49"/>
        <v>OZONE</v>
      </c>
      <c r="U270">
        <v>25.2</v>
      </c>
      <c r="V270">
        <v>75.05</v>
      </c>
    </row>
    <row r="271" spans="1:22" x14ac:dyDescent="0.3">
      <c r="A271" s="2" t="s">
        <v>15</v>
      </c>
      <c r="B271">
        <v>560026</v>
      </c>
      <c r="C271" s="3">
        <v>43747</v>
      </c>
      <c r="D271">
        <v>29.68</v>
      </c>
      <c r="E271">
        <v>61.87</v>
      </c>
      <c r="F271">
        <v>41.58</v>
      </c>
      <c r="G271">
        <v>15.4</v>
      </c>
      <c r="H271">
        <v>3.05</v>
      </c>
      <c r="I271">
        <v>0.78</v>
      </c>
      <c r="J271">
        <v>83.85</v>
      </c>
      <c r="K271">
        <f t="shared" si="40"/>
        <v>49.466666666666669</v>
      </c>
      <c r="L271">
        <f t="shared" si="41"/>
        <v>61.87</v>
      </c>
      <c r="M271">
        <f t="shared" si="42"/>
        <v>51.974999999999994</v>
      </c>
      <c r="N271">
        <f t="shared" si="43"/>
        <v>3.85</v>
      </c>
      <c r="O271">
        <f t="shared" si="44"/>
        <v>3.8125</v>
      </c>
      <c r="P271">
        <f t="shared" si="45"/>
        <v>8.8636363636363633</v>
      </c>
      <c r="Q271">
        <f t="shared" si="46"/>
        <v>145.97499999999997</v>
      </c>
      <c r="R271">
        <f t="shared" si="47"/>
        <v>145.97499999999997</v>
      </c>
      <c r="S271" t="str">
        <f t="shared" si="48"/>
        <v>Moderate</v>
      </c>
      <c r="T271" t="str">
        <f t="shared" si="49"/>
        <v>OZONE</v>
      </c>
      <c r="U271">
        <v>26</v>
      </c>
      <c r="V271">
        <v>71.56</v>
      </c>
    </row>
    <row r="272" spans="1:22" x14ac:dyDescent="0.3">
      <c r="A272" s="2" t="s">
        <v>15</v>
      </c>
      <c r="B272">
        <v>560026</v>
      </c>
      <c r="C272" s="3">
        <v>43748</v>
      </c>
      <c r="D272">
        <v>37.119999999999997</v>
      </c>
      <c r="E272">
        <v>67.010000000000005</v>
      </c>
      <c r="F272">
        <v>37.630000000000003</v>
      </c>
      <c r="G272">
        <v>16.260000000000002</v>
      </c>
      <c r="H272">
        <v>2.74</v>
      </c>
      <c r="I272">
        <v>0.69</v>
      </c>
      <c r="J272">
        <v>71.099999999999994</v>
      </c>
      <c r="K272">
        <f t="shared" si="40"/>
        <v>61.86666666666666</v>
      </c>
      <c r="L272">
        <f t="shared" si="41"/>
        <v>67.010000000000005</v>
      </c>
      <c r="M272">
        <f t="shared" si="42"/>
        <v>47.037500000000009</v>
      </c>
      <c r="N272">
        <f t="shared" si="43"/>
        <v>4.0650000000000004</v>
      </c>
      <c r="O272">
        <f t="shared" si="44"/>
        <v>3.4249999999999998</v>
      </c>
      <c r="P272">
        <f t="shared" si="45"/>
        <v>7.8409090909090899</v>
      </c>
      <c r="Q272">
        <f t="shared" si="46"/>
        <v>101.34999999999998</v>
      </c>
      <c r="R272">
        <f t="shared" si="47"/>
        <v>101.34999999999998</v>
      </c>
      <c r="S272" t="str">
        <f t="shared" si="48"/>
        <v>Moderate</v>
      </c>
      <c r="T272" t="str">
        <f t="shared" si="49"/>
        <v>OZONE</v>
      </c>
      <c r="U272">
        <v>26.3</v>
      </c>
      <c r="V272">
        <v>71.430000000000007</v>
      </c>
    </row>
    <row r="273" spans="1:22" x14ac:dyDescent="0.3">
      <c r="A273" s="2" t="s">
        <v>15</v>
      </c>
      <c r="B273">
        <v>560026</v>
      </c>
      <c r="C273" s="3">
        <v>43749</v>
      </c>
      <c r="D273">
        <v>47.44</v>
      </c>
      <c r="E273">
        <v>93.66</v>
      </c>
      <c r="F273">
        <v>44.88</v>
      </c>
      <c r="G273">
        <v>19.72</v>
      </c>
      <c r="H273">
        <v>2.48</v>
      </c>
      <c r="I273">
        <v>0.79</v>
      </c>
      <c r="J273">
        <v>59.27</v>
      </c>
      <c r="K273">
        <f t="shared" si="40"/>
        <v>79.066666666666663</v>
      </c>
      <c r="L273">
        <f t="shared" si="41"/>
        <v>93.66</v>
      </c>
      <c r="M273">
        <f t="shared" si="42"/>
        <v>56.1</v>
      </c>
      <c r="N273">
        <f t="shared" si="43"/>
        <v>4.93</v>
      </c>
      <c r="O273">
        <f t="shared" si="44"/>
        <v>3.1</v>
      </c>
      <c r="P273">
        <f t="shared" si="45"/>
        <v>8.9772727272727266</v>
      </c>
      <c r="Q273">
        <f t="shared" si="46"/>
        <v>64.948666666666682</v>
      </c>
      <c r="R273">
        <f t="shared" si="47"/>
        <v>93.66</v>
      </c>
      <c r="S273" t="str">
        <f t="shared" si="48"/>
        <v>Satisfactory</v>
      </c>
      <c r="T273" t="str">
        <f t="shared" si="49"/>
        <v>PM10</v>
      </c>
      <c r="U273">
        <v>26.34</v>
      </c>
      <c r="V273">
        <v>70.680000000000007</v>
      </c>
    </row>
    <row r="274" spans="1:22" x14ac:dyDescent="0.3">
      <c r="A274" s="2" t="s">
        <v>15</v>
      </c>
      <c r="B274">
        <v>560026</v>
      </c>
      <c r="C274" s="3">
        <v>43750</v>
      </c>
      <c r="D274">
        <v>35.14</v>
      </c>
      <c r="E274">
        <v>80.67</v>
      </c>
      <c r="F274">
        <v>36.61</v>
      </c>
      <c r="G274">
        <v>20.91</v>
      </c>
      <c r="H274">
        <v>3.11</v>
      </c>
      <c r="I274">
        <v>0.74</v>
      </c>
      <c r="J274">
        <v>49.3</v>
      </c>
      <c r="K274">
        <f t="shared" si="40"/>
        <v>58.566666666666663</v>
      </c>
      <c r="L274">
        <f t="shared" si="41"/>
        <v>80.67</v>
      </c>
      <c r="M274">
        <f t="shared" si="42"/>
        <v>45.762500000000003</v>
      </c>
      <c r="N274">
        <f t="shared" si="43"/>
        <v>5.2275</v>
      </c>
      <c r="O274">
        <f t="shared" si="44"/>
        <v>3.8875000000000002</v>
      </c>
      <c r="P274">
        <f t="shared" si="45"/>
        <v>8.4090909090909083</v>
      </c>
      <c r="Q274">
        <f t="shared" si="46"/>
        <v>45.648148148148145</v>
      </c>
      <c r="R274">
        <f t="shared" si="47"/>
        <v>80.67</v>
      </c>
      <c r="S274" t="str">
        <f t="shared" si="48"/>
        <v>Satisfactory</v>
      </c>
      <c r="T274" t="str">
        <f t="shared" si="49"/>
        <v>PM10</v>
      </c>
      <c r="U274">
        <v>27.22</v>
      </c>
      <c r="V274">
        <v>64.02</v>
      </c>
    </row>
    <row r="275" spans="1:22" x14ac:dyDescent="0.3">
      <c r="A275" s="2" t="s">
        <v>15</v>
      </c>
      <c r="B275">
        <v>560026</v>
      </c>
      <c r="C275" s="3">
        <v>43751</v>
      </c>
      <c r="D275">
        <v>18.510000000000002</v>
      </c>
      <c r="E275">
        <v>46.41</v>
      </c>
      <c r="F275">
        <v>24.52</v>
      </c>
      <c r="G275">
        <v>20.93</v>
      </c>
      <c r="H275">
        <v>2.4700000000000002</v>
      </c>
      <c r="I275">
        <v>0.57999999999999996</v>
      </c>
      <c r="J275">
        <v>21</v>
      </c>
      <c r="K275">
        <f t="shared" si="40"/>
        <v>30.850000000000005</v>
      </c>
      <c r="L275">
        <f t="shared" si="41"/>
        <v>46.41</v>
      </c>
      <c r="M275">
        <f t="shared" si="42"/>
        <v>30.65</v>
      </c>
      <c r="N275">
        <f t="shared" si="43"/>
        <v>5.2324999999999999</v>
      </c>
      <c r="O275">
        <f t="shared" si="44"/>
        <v>3.0875000000000004</v>
      </c>
      <c r="P275">
        <f t="shared" si="45"/>
        <v>6.5909090909090899</v>
      </c>
      <c r="Q275">
        <f t="shared" si="46"/>
        <v>19.444444444444443</v>
      </c>
      <c r="R275">
        <f t="shared" si="47"/>
        <v>46.41</v>
      </c>
      <c r="S275" t="str">
        <f t="shared" si="48"/>
        <v>Good</v>
      </c>
      <c r="T275" t="str">
        <f t="shared" si="49"/>
        <v>PM10</v>
      </c>
      <c r="U275">
        <v>26.74</v>
      </c>
      <c r="V275">
        <v>68.599999999999994</v>
      </c>
    </row>
    <row r="276" spans="1:22" x14ac:dyDescent="0.3">
      <c r="A276" s="2" t="s">
        <v>15</v>
      </c>
      <c r="B276">
        <v>560026</v>
      </c>
      <c r="C276" s="3">
        <v>43752</v>
      </c>
      <c r="D276">
        <v>25.68</v>
      </c>
      <c r="E276">
        <v>64.27</v>
      </c>
      <c r="F276">
        <v>31.15</v>
      </c>
      <c r="G276">
        <v>23.62</v>
      </c>
      <c r="H276">
        <v>3.11</v>
      </c>
      <c r="I276">
        <v>0.88</v>
      </c>
      <c r="J276">
        <v>20.23</v>
      </c>
      <c r="K276">
        <f t="shared" si="40"/>
        <v>42.8</v>
      </c>
      <c r="L276">
        <f t="shared" si="41"/>
        <v>64.27</v>
      </c>
      <c r="M276">
        <f t="shared" si="42"/>
        <v>38.9375</v>
      </c>
      <c r="N276">
        <f t="shared" si="43"/>
        <v>5.9050000000000002</v>
      </c>
      <c r="O276">
        <f t="shared" si="44"/>
        <v>3.8875000000000002</v>
      </c>
      <c r="P276">
        <f t="shared" si="45"/>
        <v>10</v>
      </c>
      <c r="Q276">
        <f t="shared" si="46"/>
        <v>18.731481481481481</v>
      </c>
      <c r="R276">
        <f t="shared" si="47"/>
        <v>64.27</v>
      </c>
      <c r="S276" t="str">
        <f t="shared" si="48"/>
        <v>Satisfactory</v>
      </c>
      <c r="T276" t="str">
        <f t="shared" si="49"/>
        <v>PM10</v>
      </c>
      <c r="U276">
        <v>27.58</v>
      </c>
      <c r="V276">
        <v>62.8</v>
      </c>
    </row>
    <row r="277" spans="1:22" x14ac:dyDescent="0.3">
      <c r="A277" s="2" t="s">
        <v>15</v>
      </c>
      <c r="B277">
        <v>560026</v>
      </c>
      <c r="C277" s="3">
        <v>43753</v>
      </c>
      <c r="D277">
        <v>26.99</v>
      </c>
      <c r="E277">
        <v>67.58</v>
      </c>
      <c r="F277">
        <v>32.39</v>
      </c>
      <c r="G277">
        <v>30.57</v>
      </c>
      <c r="H277">
        <v>3.12</v>
      </c>
      <c r="I277">
        <v>0.83</v>
      </c>
      <c r="J277">
        <v>31.75</v>
      </c>
      <c r="K277">
        <f t="shared" si="40"/>
        <v>44.983333333333334</v>
      </c>
      <c r="L277">
        <f t="shared" si="41"/>
        <v>67.58</v>
      </c>
      <c r="M277">
        <f t="shared" si="42"/>
        <v>40.487499999999997</v>
      </c>
      <c r="N277">
        <f t="shared" si="43"/>
        <v>7.6425000000000001</v>
      </c>
      <c r="O277">
        <f t="shared" si="44"/>
        <v>3.9</v>
      </c>
      <c r="P277">
        <f t="shared" si="45"/>
        <v>9.4318181818181817</v>
      </c>
      <c r="Q277">
        <f t="shared" si="46"/>
        <v>29.398148148148149</v>
      </c>
      <c r="R277">
        <f t="shared" si="47"/>
        <v>67.58</v>
      </c>
      <c r="S277" t="str">
        <f t="shared" si="48"/>
        <v>Satisfactory</v>
      </c>
      <c r="T277" t="str">
        <f t="shared" si="49"/>
        <v>PM10</v>
      </c>
      <c r="U277">
        <v>26.76</v>
      </c>
      <c r="V277">
        <v>67.959999999999994</v>
      </c>
    </row>
    <row r="278" spans="1:22" x14ac:dyDescent="0.3">
      <c r="A278" s="2" t="s">
        <v>15</v>
      </c>
      <c r="B278">
        <v>560026</v>
      </c>
      <c r="C278" s="3">
        <v>43754</v>
      </c>
      <c r="D278">
        <v>24.31</v>
      </c>
      <c r="E278">
        <v>60.78</v>
      </c>
      <c r="F278">
        <v>30.35</v>
      </c>
      <c r="G278">
        <v>30.13</v>
      </c>
      <c r="H278">
        <v>3.06</v>
      </c>
      <c r="I278">
        <v>0.72</v>
      </c>
      <c r="J278">
        <v>29</v>
      </c>
      <c r="K278">
        <f t="shared" si="40"/>
        <v>40.516666666666666</v>
      </c>
      <c r="L278">
        <f t="shared" si="41"/>
        <v>60.78</v>
      </c>
      <c r="M278">
        <f t="shared" si="42"/>
        <v>37.9375</v>
      </c>
      <c r="N278">
        <f t="shared" si="43"/>
        <v>7.5324999999999998</v>
      </c>
      <c r="O278">
        <f t="shared" si="44"/>
        <v>3.8250000000000002</v>
      </c>
      <c r="P278">
        <f t="shared" si="45"/>
        <v>8.1818181818181817</v>
      </c>
      <c r="Q278">
        <f t="shared" si="46"/>
        <v>26.851851851851851</v>
      </c>
      <c r="R278">
        <f t="shared" si="47"/>
        <v>60.78</v>
      </c>
      <c r="S278" t="str">
        <f t="shared" si="48"/>
        <v>Satisfactory</v>
      </c>
      <c r="T278" t="str">
        <f t="shared" si="49"/>
        <v>PM10</v>
      </c>
      <c r="U278">
        <v>26.4</v>
      </c>
      <c r="V278">
        <v>68.599999999999994</v>
      </c>
    </row>
    <row r="279" spans="1:22" x14ac:dyDescent="0.3">
      <c r="A279" s="2" t="s">
        <v>15</v>
      </c>
      <c r="B279">
        <v>560026</v>
      </c>
      <c r="C279" s="3">
        <v>43755</v>
      </c>
      <c r="D279">
        <v>22.84</v>
      </c>
      <c r="E279">
        <v>57.07</v>
      </c>
      <c r="F279">
        <v>27.38</v>
      </c>
      <c r="G279">
        <v>30.15</v>
      </c>
      <c r="H279">
        <v>3.07</v>
      </c>
      <c r="I279">
        <v>0.76</v>
      </c>
      <c r="J279">
        <v>17.989999999999998</v>
      </c>
      <c r="K279">
        <f t="shared" si="40"/>
        <v>38.06666666666667</v>
      </c>
      <c r="L279">
        <f t="shared" si="41"/>
        <v>57.07</v>
      </c>
      <c r="M279">
        <f t="shared" si="42"/>
        <v>34.225000000000001</v>
      </c>
      <c r="N279">
        <f t="shared" si="43"/>
        <v>7.5374999999999996</v>
      </c>
      <c r="O279">
        <f t="shared" si="44"/>
        <v>3.8374999999999999</v>
      </c>
      <c r="P279">
        <f t="shared" si="45"/>
        <v>8.6363636363636367</v>
      </c>
      <c r="Q279">
        <f t="shared" si="46"/>
        <v>16.657407407407405</v>
      </c>
      <c r="R279">
        <f t="shared" si="47"/>
        <v>57.07</v>
      </c>
      <c r="S279" t="str">
        <f t="shared" si="48"/>
        <v>Satisfactory</v>
      </c>
      <c r="T279" t="str">
        <f t="shared" si="49"/>
        <v>PM10</v>
      </c>
      <c r="U279">
        <v>25.42</v>
      </c>
      <c r="V279">
        <v>74.42</v>
      </c>
    </row>
    <row r="280" spans="1:22" x14ac:dyDescent="0.3">
      <c r="A280" s="2" t="s">
        <v>15</v>
      </c>
      <c r="B280">
        <v>560026</v>
      </c>
      <c r="C280" s="3">
        <v>43756</v>
      </c>
      <c r="D280">
        <v>39.6</v>
      </c>
      <c r="E280">
        <v>54.09</v>
      </c>
      <c r="F280">
        <v>26.63</v>
      </c>
      <c r="G280">
        <v>23.38</v>
      </c>
      <c r="H280">
        <v>2.86</v>
      </c>
      <c r="I280">
        <v>0.62</v>
      </c>
      <c r="J280">
        <v>32.74</v>
      </c>
      <c r="K280">
        <f t="shared" si="40"/>
        <v>66</v>
      </c>
      <c r="L280">
        <f t="shared" si="41"/>
        <v>54.09</v>
      </c>
      <c r="M280">
        <f t="shared" si="42"/>
        <v>33.287500000000001</v>
      </c>
      <c r="N280">
        <f t="shared" si="43"/>
        <v>5.8449999999999998</v>
      </c>
      <c r="O280">
        <f t="shared" si="44"/>
        <v>3.5750000000000002</v>
      </c>
      <c r="P280">
        <f t="shared" si="45"/>
        <v>7.045454545454545</v>
      </c>
      <c r="Q280">
        <f t="shared" si="46"/>
        <v>30.314814814814817</v>
      </c>
      <c r="R280">
        <f t="shared" si="47"/>
        <v>66</v>
      </c>
      <c r="S280" t="str">
        <f t="shared" si="48"/>
        <v>Satisfactory</v>
      </c>
      <c r="T280" t="str">
        <f t="shared" si="49"/>
        <v>PM2.5</v>
      </c>
      <c r="U280">
        <v>25.7</v>
      </c>
      <c r="V280">
        <v>71.47</v>
      </c>
    </row>
    <row r="281" spans="1:22" x14ac:dyDescent="0.3">
      <c r="A281" s="2" t="s">
        <v>15</v>
      </c>
      <c r="B281">
        <v>560026</v>
      </c>
      <c r="C281" s="3">
        <v>43757</v>
      </c>
      <c r="D281">
        <v>27.6</v>
      </c>
      <c r="E281">
        <v>48.19</v>
      </c>
      <c r="F281">
        <v>29.01</v>
      </c>
      <c r="G281">
        <v>16.82</v>
      </c>
      <c r="H281">
        <v>3.1514285709999998</v>
      </c>
      <c r="I281">
        <v>0.6</v>
      </c>
      <c r="J281">
        <v>18.190000000000001</v>
      </c>
      <c r="K281">
        <f t="shared" si="40"/>
        <v>46</v>
      </c>
      <c r="L281">
        <f t="shared" si="41"/>
        <v>48.19</v>
      </c>
      <c r="M281">
        <f t="shared" si="42"/>
        <v>36.262500000000003</v>
      </c>
      <c r="N281">
        <f t="shared" si="43"/>
        <v>4.2050000000000001</v>
      </c>
      <c r="O281">
        <f t="shared" si="44"/>
        <v>3.9392857137499995</v>
      </c>
      <c r="P281">
        <f t="shared" si="45"/>
        <v>6.8181818181818175</v>
      </c>
      <c r="Q281">
        <f t="shared" si="46"/>
        <v>16.842592592592595</v>
      </c>
      <c r="R281">
        <f t="shared" si="47"/>
        <v>48.19</v>
      </c>
      <c r="S281" t="str">
        <f t="shared" si="48"/>
        <v>Good</v>
      </c>
      <c r="T281" t="str">
        <f t="shared" si="49"/>
        <v>PM10</v>
      </c>
      <c r="U281">
        <v>26.03</v>
      </c>
      <c r="V281">
        <v>71.95</v>
      </c>
    </row>
    <row r="282" spans="1:22" x14ac:dyDescent="0.3">
      <c r="A282" s="2" t="s">
        <v>15</v>
      </c>
      <c r="B282">
        <v>560026</v>
      </c>
      <c r="C282" s="3">
        <v>43758</v>
      </c>
      <c r="D282">
        <v>15.64</v>
      </c>
      <c r="E282">
        <v>42.51</v>
      </c>
      <c r="F282">
        <v>28.76</v>
      </c>
      <c r="G282">
        <v>13.78</v>
      </c>
      <c r="H282">
        <v>3.1514285709999998</v>
      </c>
      <c r="I282">
        <v>0.55000000000000004</v>
      </c>
      <c r="J282">
        <v>29.03</v>
      </c>
      <c r="K282">
        <f t="shared" si="40"/>
        <v>26.066666666666666</v>
      </c>
      <c r="L282">
        <f t="shared" si="41"/>
        <v>42.51</v>
      </c>
      <c r="M282">
        <f t="shared" si="42"/>
        <v>35.950000000000003</v>
      </c>
      <c r="N282">
        <f t="shared" si="43"/>
        <v>3.4449999999999998</v>
      </c>
      <c r="O282">
        <f t="shared" si="44"/>
        <v>3.9392857137499995</v>
      </c>
      <c r="P282">
        <f t="shared" si="45"/>
        <v>6.25</v>
      </c>
      <c r="Q282">
        <f t="shared" si="46"/>
        <v>26.87962962962963</v>
      </c>
      <c r="R282">
        <f t="shared" si="47"/>
        <v>42.51</v>
      </c>
      <c r="S282" t="str">
        <f t="shared" si="48"/>
        <v>Good</v>
      </c>
      <c r="T282" t="str">
        <f t="shared" si="49"/>
        <v>PM10</v>
      </c>
      <c r="U282">
        <v>25.83</v>
      </c>
      <c r="V282">
        <v>72.540000000000006</v>
      </c>
    </row>
    <row r="283" spans="1:22" x14ac:dyDescent="0.3">
      <c r="A283" s="2" t="s">
        <v>15</v>
      </c>
      <c r="B283">
        <v>560026</v>
      </c>
      <c r="C283" s="3">
        <v>43759</v>
      </c>
      <c r="D283">
        <v>20.05</v>
      </c>
      <c r="E283">
        <v>51.89</v>
      </c>
      <c r="F283">
        <v>36.21</v>
      </c>
      <c r="G283">
        <v>16.34</v>
      </c>
      <c r="H283">
        <v>3.1514285709999998</v>
      </c>
      <c r="I283">
        <v>0.9</v>
      </c>
      <c r="J283">
        <v>22.3</v>
      </c>
      <c r="K283">
        <f t="shared" si="40"/>
        <v>33.416666666666664</v>
      </c>
      <c r="L283">
        <f t="shared" si="41"/>
        <v>51.89</v>
      </c>
      <c r="M283">
        <f t="shared" si="42"/>
        <v>45.262500000000003</v>
      </c>
      <c r="N283">
        <f t="shared" si="43"/>
        <v>4.085</v>
      </c>
      <c r="O283">
        <f t="shared" si="44"/>
        <v>3.9392857137499995</v>
      </c>
      <c r="P283">
        <f t="shared" si="45"/>
        <v>10.227272727272727</v>
      </c>
      <c r="Q283">
        <f t="shared" si="46"/>
        <v>20.648148148148149</v>
      </c>
      <c r="R283">
        <f t="shared" si="47"/>
        <v>51.89</v>
      </c>
      <c r="S283" t="str">
        <f t="shared" si="48"/>
        <v>Satisfactory</v>
      </c>
      <c r="T283" t="str">
        <f t="shared" si="49"/>
        <v>PM10</v>
      </c>
      <c r="U283">
        <v>24.9</v>
      </c>
      <c r="V283">
        <v>79.44</v>
      </c>
    </row>
    <row r="284" spans="1:22" x14ac:dyDescent="0.3">
      <c r="A284" s="2" t="s">
        <v>15</v>
      </c>
      <c r="B284">
        <v>560026</v>
      </c>
      <c r="C284" s="3">
        <v>43760</v>
      </c>
      <c r="D284">
        <v>12.59</v>
      </c>
      <c r="E284">
        <v>31.21</v>
      </c>
      <c r="F284">
        <v>29.11</v>
      </c>
      <c r="G284">
        <v>13.59</v>
      </c>
      <c r="H284">
        <v>3.1514285709999998</v>
      </c>
      <c r="I284">
        <v>0.53</v>
      </c>
      <c r="J284">
        <v>21.21</v>
      </c>
      <c r="K284">
        <f t="shared" si="40"/>
        <v>20.983333333333334</v>
      </c>
      <c r="L284">
        <f t="shared" si="41"/>
        <v>31.21</v>
      </c>
      <c r="M284">
        <f t="shared" si="42"/>
        <v>36.387500000000003</v>
      </c>
      <c r="N284">
        <f t="shared" si="43"/>
        <v>3.3975</v>
      </c>
      <c r="O284">
        <f t="shared" si="44"/>
        <v>3.9392857137499995</v>
      </c>
      <c r="P284">
        <f t="shared" si="45"/>
        <v>6.0227272727272725</v>
      </c>
      <c r="Q284">
        <f t="shared" si="46"/>
        <v>19.638888888888889</v>
      </c>
      <c r="R284">
        <f t="shared" si="47"/>
        <v>36.387500000000003</v>
      </c>
      <c r="S284" t="str">
        <f t="shared" si="48"/>
        <v>Good</v>
      </c>
      <c r="T284" t="str">
        <f t="shared" si="49"/>
        <v>NO2</v>
      </c>
      <c r="U284">
        <v>23.77</v>
      </c>
      <c r="V284">
        <v>85.88</v>
      </c>
    </row>
    <row r="285" spans="1:22" x14ac:dyDescent="0.3">
      <c r="A285" s="2" t="s">
        <v>15</v>
      </c>
      <c r="B285">
        <v>560026</v>
      </c>
      <c r="C285" s="3">
        <v>43761</v>
      </c>
      <c r="D285">
        <v>10.14</v>
      </c>
      <c r="E285">
        <v>40.68</v>
      </c>
      <c r="F285">
        <v>22.33</v>
      </c>
      <c r="G285">
        <v>10.91</v>
      </c>
      <c r="H285">
        <v>3.1514285709999998</v>
      </c>
      <c r="I285">
        <v>0.46</v>
      </c>
      <c r="J285">
        <v>12.12</v>
      </c>
      <c r="K285">
        <f t="shared" si="40"/>
        <v>16.899999999999999</v>
      </c>
      <c r="L285">
        <f t="shared" si="41"/>
        <v>40.68</v>
      </c>
      <c r="M285">
        <f t="shared" si="42"/>
        <v>27.912500000000001</v>
      </c>
      <c r="N285">
        <f t="shared" si="43"/>
        <v>2.7275</v>
      </c>
      <c r="O285">
        <f t="shared" si="44"/>
        <v>3.9392857137499995</v>
      </c>
      <c r="P285">
        <f t="shared" si="45"/>
        <v>5.2272727272727275</v>
      </c>
      <c r="Q285">
        <f t="shared" si="46"/>
        <v>11.222222222222221</v>
      </c>
      <c r="R285">
        <f t="shared" si="47"/>
        <v>40.68</v>
      </c>
      <c r="S285" t="str">
        <f t="shared" si="48"/>
        <v>Good</v>
      </c>
      <c r="T285" t="str">
        <f t="shared" si="49"/>
        <v>PM10</v>
      </c>
      <c r="U285">
        <v>24.61</v>
      </c>
      <c r="V285">
        <v>80.069999999999993</v>
      </c>
    </row>
    <row r="286" spans="1:22" x14ac:dyDescent="0.3">
      <c r="A286" s="2" t="s">
        <v>15</v>
      </c>
      <c r="B286">
        <v>560026</v>
      </c>
      <c r="C286" s="3">
        <v>43762</v>
      </c>
      <c r="D286">
        <v>32.46</v>
      </c>
      <c r="E286">
        <v>60.92</v>
      </c>
      <c r="F286">
        <v>22.31</v>
      </c>
      <c r="G286">
        <v>10.23</v>
      </c>
      <c r="H286">
        <v>3.1514285709999998</v>
      </c>
      <c r="I286">
        <v>0.4</v>
      </c>
      <c r="J286">
        <v>20.76</v>
      </c>
      <c r="K286">
        <f t="shared" si="40"/>
        <v>54.1</v>
      </c>
      <c r="L286">
        <f t="shared" si="41"/>
        <v>60.92</v>
      </c>
      <c r="M286">
        <f t="shared" si="42"/>
        <v>27.887499999999999</v>
      </c>
      <c r="N286">
        <f t="shared" si="43"/>
        <v>2.5575000000000001</v>
      </c>
      <c r="O286">
        <f t="shared" si="44"/>
        <v>3.9392857137499995</v>
      </c>
      <c r="P286">
        <f t="shared" si="45"/>
        <v>4.5454545454545459</v>
      </c>
      <c r="Q286">
        <f t="shared" si="46"/>
        <v>19.222222222222225</v>
      </c>
      <c r="R286">
        <f t="shared" si="47"/>
        <v>60.92</v>
      </c>
      <c r="S286" t="str">
        <f t="shared" si="48"/>
        <v>Satisfactory</v>
      </c>
      <c r="T286" t="str">
        <f t="shared" si="49"/>
        <v>PM10</v>
      </c>
      <c r="U286">
        <v>24.78</v>
      </c>
      <c r="V286">
        <v>74.89</v>
      </c>
    </row>
    <row r="287" spans="1:22" x14ac:dyDescent="0.3">
      <c r="A287" s="2" t="s">
        <v>15</v>
      </c>
      <c r="B287">
        <v>560026</v>
      </c>
      <c r="C287" s="3">
        <v>43763</v>
      </c>
      <c r="D287">
        <v>28.15</v>
      </c>
      <c r="E287">
        <v>53.9</v>
      </c>
      <c r="F287">
        <v>20.25</v>
      </c>
      <c r="G287">
        <v>9.33</v>
      </c>
      <c r="H287">
        <v>3.1514285709999998</v>
      </c>
      <c r="I287">
        <v>0.4</v>
      </c>
      <c r="J287">
        <v>17.29</v>
      </c>
      <c r="K287">
        <f t="shared" si="40"/>
        <v>46.916666666666664</v>
      </c>
      <c r="L287">
        <f t="shared" si="41"/>
        <v>53.9</v>
      </c>
      <c r="M287">
        <f t="shared" si="42"/>
        <v>25.3125</v>
      </c>
      <c r="N287">
        <f t="shared" si="43"/>
        <v>2.3325</v>
      </c>
      <c r="O287">
        <f t="shared" si="44"/>
        <v>3.9392857137499995</v>
      </c>
      <c r="P287">
        <f t="shared" si="45"/>
        <v>4.5454545454545459</v>
      </c>
      <c r="Q287">
        <f t="shared" si="46"/>
        <v>16.00925925925926</v>
      </c>
      <c r="R287">
        <f t="shared" si="47"/>
        <v>53.9</v>
      </c>
      <c r="S287" t="str">
        <f t="shared" si="48"/>
        <v>Satisfactory</v>
      </c>
      <c r="T287" t="str">
        <f t="shared" si="49"/>
        <v>PM10</v>
      </c>
      <c r="U287">
        <v>23.93</v>
      </c>
      <c r="V287">
        <v>78.739999999999995</v>
      </c>
    </row>
    <row r="288" spans="1:22" x14ac:dyDescent="0.3">
      <c r="A288" s="2" t="s">
        <v>15</v>
      </c>
      <c r="B288">
        <v>560026</v>
      </c>
      <c r="C288" s="3">
        <v>43764</v>
      </c>
      <c r="D288">
        <v>21.91</v>
      </c>
      <c r="E288">
        <v>43.49</v>
      </c>
      <c r="F288">
        <v>20.68</v>
      </c>
      <c r="G288">
        <v>8.9499999999999993</v>
      </c>
      <c r="H288">
        <v>4.55</v>
      </c>
      <c r="I288">
        <v>0.39</v>
      </c>
      <c r="J288">
        <v>15.67</v>
      </c>
      <c r="K288">
        <f t="shared" si="40"/>
        <v>36.516666666666666</v>
      </c>
      <c r="L288">
        <f t="shared" si="41"/>
        <v>43.49</v>
      </c>
      <c r="M288">
        <f t="shared" si="42"/>
        <v>25.85</v>
      </c>
      <c r="N288">
        <f t="shared" si="43"/>
        <v>2.2374999999999998</v>
      </c>
      <c r="O288">
        <f t="shared" si="44"/>
        <v>5.6875</v>
      </c>
      <c r="P288">
        <f t="shared" si="45"/>
        <v>4.4318181818181817</v>
      </c>
      <c r="Q288">
        <f t="shared" si="46"/>
        <v>14.50925925925926</v>
      </c>
      <c r="R288">
        <f t="shared" si="47"/>
        <v>43.49</v>
      </c>
      <c r="S288" t="str">
        <f t="shared" si="48"/>
        <v>Good</v>
      </c>
      <c r="T288" t="str">
        <f t="shared" si="49"/>
        <v>PM10</v>
      </c>
      <c r="U288">
        <v>24.66</v>
      </c>
      <c r="V288">
        <v>75.27</v>
      </c>
    </row>
    <row r="289" spans="1:22" x14ac:dyDescent="0.3">
      <c r="A289" s="2" t="s">
        <v>15</v>
      </c>
      <c r="B289">
        <v>560026</v>
      </c>
      <c r="C289" s="3">
        <v>43765</v>
      </c>
      <c r="D289">
        <v>42.88</v>
      </c>
      <c r="E289">
        <v>68.25</v>
      </c>
      <c r="F289">
        <v>24.29</v>
      </c>
      <c r="G289">
        <v>10.68</v>
      </c>
      <c r="H289">
        <v>3.55</v>
      </c>
      <c r="I289">
        <v>0.55000000000000004</v>
      </c>
      <c r="J289">
        <v>21.32</v>
      </c>
      <c r="K289">
        <f t="shared" si="40"/>
        <v>71.466666666666669</v>
      </c>
      <c r="L289">
        <f t="shared" si="41"/>
        <v>68.25</v>
      </c>
      <c r="M289">
        <f t="shared" si="42"/>
        <v>30.362500000000001</v>
      </c>
      <c r="N289">
        <f t="shared" si="43"/>
        <v>2.67</v>
      </c>
      <c r="O289">
        <f t="shared" si="44"/>
        <v>4.4375</v>
      </c>
      <c r="P289">
        <f t="shared" si="45"/>
        <v>6.25</v>
      </c>
      <c r="Q289">
        <f t="shared" si="46"/>
        <v>19.74074074074074</v>
      </c>
      <c r="R289">
        <f t="shared" si="47"/>
        <v>71.466666666666669</v>
      </c>
      <c r="S289" t="str">
        <f t="shared" si="48"/>
        <v>Satisfactory</v>
      </c>
      <c r="T289" t="str">
        <f t="shared" si="49"/>
        <v>PM2.5</v>
      </c>
      <c r="U289">
        <v>24.83</v>
      </c>
      <c r="V289">
        <v>75.680000000000007</v>
      </c>
    </row>
    <row r="290" spans="1:22" x14ac:dyDescent="0.3">
      <c r="A290" s="2" t="s">
        <v>15</v>
      </c>
      <c r="B290">
        <v>560026</v>
      </c>
      <c r="C290" s="3">
        <v>43766</v>
      </c>
      <c r="D290">
        <v>49.46</v>
      </c>
      <c r="E290">
        <v>83.75</v>
      </c>
      <c r="F290">
        <v>29.66</v>
      </c>
      <c r="G290">
        <v>12.8</v>
      </c>
      <c r="H290">
        <v>3.46</v>
      </c>
      <c r="I290">
        <v>0.75</v>
      </c>
      <c r="J290">
        <v>19.12</v>
      </c>
      <c r="K290">
        <f t="shared" si="40"/>
        <v>82.433333333333337</v>
      </c>
      <c r="L290">
        <f t="shared" si="41"/>
        <v>83.75</v>
      </c>
      <c r="M290">
        <f t="shared" si="42"/>
        <v>37.075000000000003</v>
      </c>
      <c r="N290">
        <f t="shared" si="43"/>
        <v>3.2</v>
      </c>
      <c r="O290">
        <f t="shared" si="44"/>
        <v>4.3250000000000002</v>
      </c>
      <c r="P290">
        <f t="shared" si="45"/>
        <v>8.5227272727272734</v>
      </c>
      <c r="Q290">
        <f t="shared" si="46"/>
        <v>17.703703703703706</v>
      </c>
      <c r="R290">
        <f t="shared" si="47"/>
        <v>83.75</v>
      </c>
      <c r="S290" t="str">
        <f t="shared" si="48"/>
        <v>Satisfactory</v>
      </c>
      <c r="T290" t="str">
        <f t="shared" si="49"/>
        <v>PM10</v>
      </c>
      <c r="U290">
        <v>25.49</v>
      </c>
      <c r="V290">
        <v>75.22</v>
      </c>
    </row>
    <row r="291" spans="1:22" x14ac:dyDescent="0.3">
      <c r="A291" s="2" t="s">
        <v>15</v>
      </c>
      <c r="B291">
        <v>560026</v>
      </c>
      <c r="C291" s="3">
        <v>43767</v>
      </c>
      <c r="D291">
        <v>39.97</v>
      </c>
      <c r="E291">
        <v>79.62</v>
      </c>
      <c r="F291">
        <v>30.73</v>
      </c>
      <c r="G291">
        <v>13.47</v>
      </c>
      <c r="H291">
        <v>3.38</v>
      </c>
      <c r="I291">
        <v>0.73</v>
      </c>
      <c r="J291">
        <v>25.83</v>
      </c>
      <c r="K291">
        <f t="shared" si="40"/>
        <v>66.61666666666666</v>
      </c>
      <c r="L291">
        <f t="shared" si="41"/>
        <v>79.62</v>
      </c>
      <c r="M291">
        <f t="shared" si="42"/>
        <v>38.412500000000001</v>
      </c>
      <c r="N291">
        <f t="shared" si="43"/>
        <v>3.3675000000000002</v>
      </c>
      <c r="O291">
        <f t="shared" si="44"/>
        <v>4.2249999999999996</v>
      </c>
      <c r="P291">
        <f t="shared" si="45"/>
        <v>8.295454545454545</v>
      </c>
      <c r="Q291">
        <f t="shared" si="46"/>
        <v>23.916666666666664</v>
      </c>
      <c r="R291">
        <f t="shared" si="47"/>
        <v>79.62</v>
      </c>
      <c r="S291" t="str">
        <f t="shared" si="48"/>
        <v>Satisfactory</v>
      </c>
      <c r="T291" t="str">
        <f t="shared" si="49"/>
        <v>PM10</v>
      </c>
      <c r="U291">
        <v>24.82</v>
      </c>
      <c r="V291">
        <v>74.900000000000006</v>
      </c>
    </row>
    <row r="292" spans="1:22" x14ac:dyDescent="0.3">
      <c r="A292" s="2" t="s">
        <v>15</v>
      </c>
      <c r="B292">
        <v>560026</v>
      </c>
      <c r="C292" s="3">
        <v>43768</v>
      </c>
      <c r="D292">
        <v>21.87</v>
      </c>
      <c r="E292">
        <v>41.88</v>
      </c>
      <c r="F292">
        <v>27.34</v>
      </c>
      <c r="G292">
        <v>14.19</v>
      </c>
      <c r="H292">
        <v>3.08</v>
      </c>
      <c r="I292">
        <v>0.64</v>
      </c>
      <c r="J292">
        <v>26.64</v>
      </c>
      <c r="K292">
        <f t="shared" si="40"/>
        <v>36.450000000000003</v>
      </c>
      <c r="L292">
        <f t="shared" si="41"/>
        <v>41.88</v>
      </c>
      <c r="M292">
        <f t="shared" si="42"/>
        <v>34.174999999999997</v>
      </c>
      <c r="N292">
        <f t="shared" si="43"/>
        <v>3.5474999999999999</v>
      </c>
      <c r="O292">
        <f t="shared" si="44"/>
        <v>3.85</v>
      </c>
      <c r="P292">
        <f t="shared" si="45"/>
        <v>7.2727272727272725</v>
      </c>
      <c r="Q292">
        <f t="shared" si="46"/>
        <v>24.666666666666668</v>
      </c>
      <c r="R292">
        <f t="shared" si="47"/>
        <v>41.88</v>
      </c>
      <c r="S292" t="str">
        <f t="shared" si="48"/>
        <v>Good</v>
      </c>
      <c r="T292" t="str">
        <f t="shared" si="49"/>
        <v>PM10</v>
      </c>
      <c r="U292">
        <v>24.29</v>
      </c>
      <c r="V292">
        <v>79.55</v>
      </c>
    </row>
    <row r="293" spans="1:22" x14ac:dyDescent="0.3">
      <c r="A293" s="2" t="s">
        <v>15</v>
      </c>
      <c r="B293">
        <v>560026</v>
      </c>
      <c r="C293" s="3">
        <v>43769</v>
      </c>
      <c r="D293">
        <v>17.010000000000002</v>
      </c>
      <c r="E293">
        <v>35.79</v>
      </c>
      <c r="F293">
        <v>20.7</v>
      </c>
      <c r="G293">
        <v>12.57</v>
      </c>
      <c r="H293">
        <v>3.14</v>
      </c>
      <c r="I293">
        <v>0.37</v>
      </c>
      <c r="J293">
        <v>49.23</v>
      </c>
      <c r="K293">
        <f t="shared" si="40"/>
        <v>28.350000000000005</v>
      </c>
      <c r="L293">
        <f t="shared" si="41"/>
        <v>35.79</v>
      </c>
      <c r="M293">
        <f t="shared" si="42"/>
        <v>25.875</v>
      </c>
      <c r="N293">
        <f t="shared" si="43"/>
        <v>3.1425000000000001</v>
      </c>
      <c r="O293">
        <f t="shared" si="44"/>
        <v>3.9249999999999998</v>
      </c>
      <c r="P293">
        <f t="shared" si="45"/>
        <v>4.2045454545454541</v>
      </c>
      <c r="Q293">
        <f t="shared" si="46"/>
        <v>45.583333333333329</v>
      </c>
      <c r="R293">
        <f t="shared" si="47"/>
        <v>45.583333333333329</v>
      </c>
      <c r="S293" t="str">
        <f t="shared" si="48"/>
        <v>Good</v>
      </c>
      <c r="T293" t="str">
        <f t="shared" si="49"/>
        <v>OZONE</v>
      </c>
      <c r="U293">
        <v>24.86</v>
      </c>
      <c r="V293">
        <v>74.91</v>
      </c>
    </row>
    <row r="294" spans="1:22" x14ac:dyDescent="0.3">
      <c r="A294" s="2" t="s">
        <v>15</v>
      </c>
      <c r="B294">
        <v>560026</v>
      </c>
      <c r="C294" s="3">
        <v>43770</v>
      </c>
      <c r="D294">
        <v>23.83</v>
      </c>
      <c r="E294">
        <v>50.62</v>
      </c>
      <c r="F294">
        <v>22.54</v>
      </c>
      <c r="G294">
        <v>11.71</v>
      </c>
      <c r="H294">
        <v>2.99</v>
      </c>
      <c r="I294">
        <v>0.53</v>
      </c>
      <c r="J294">
        <v>80.3</v>
      </c>
      <c r="K294">
        <f t="shared" si="40"/>
        <v>39.716666666666669</v>
      </c>
      <c r="L294">
        <f t="shared" si="41"/>
        <v>50.62</v>
      </c>
      <c r="M294">
        <f t="shared" si="42"/>
        <v>28.175000000000001</v>
      </c>
      <c r="N294">
        <f t="shared" si="43"/>
        <v>2.9275000000000002</v>
      </c>
      <c r="O294">
        <f t="shared" si="44"/>
        <v>3.7374999999999998</v>
      </c>
      <c r="P294">
        <f t="shared" si="45"/>
        <v>6.0227272727272725</v>
      </c>
      <c r="Q294">
        <f t="shared" si="46"/>
        <v>133.54999999999998</v>
      </c>
      <c r="R294">
        <f t="shared" si="47"/>
        <v>133.54999999999998</v>
      </c>
      <c r="S294" t="str">
        <f t="shared" si="48"/>
        <v>Moderate</v>
      </c>
      <c r="T294" t="str">
        <f t="shared" si="49"/>
        <v>OZONE</v>
      </c>
      <c r="U294">
        <v>25.85</v>
      </c>
      <c r="V294">
        <v>57.35</v>
      </c>
    </row>
    <row r="295" spans="1:22" x14ac:dyDescent="0.3">
      <c r="A295" s="2" t="s">
        <v>15</v>
      </c>
      <c r="B295">
        <v>560026</v>
      </c>
      <c r="C295" s="3">
        <v>43771</v>
      </c>
      <c r="D295">
        <v>30.29</v>
      </c>
      <c r="E295">
        <v>94.55</v>
      </c>
      <c r="F295">
        <v>35.47</v>
      </c>
      <c r="G295">
        <v>21.6</v>
      </c>
      <c r="H295">
        <v>2.3199999999999998</v>
      </c>
      <c r="I295">
        <v>1.1000000000000001</v>
      </c>
      <c r="J295">
        <v>30.28</v>
      </c>
      <c r="K295">
        <f t="shared" si="40"/>
        <v>50.483333333333334</v>
      </c>
      <c r="L295">
        <f t="shared" si="41"/>
        <v>94.55</v>
      </c>
      <c r="M295">
        <f t="shared" si="42"/>
        <v>44.337499999999999</v>
      </c>
      <c r="N295">
        <f t="shared" si="43"/>
        <v>5.4</v>
      </c>
      <c r="O295">
        <f t="shared" si="44"/>
        <v>2.8999999999999995</v>
      </c>
      <c r="P295">
        <f t="shared" si="45"/>
        <v>12.5</v>
      </c>
      <c r="Q295">
        <f t="shared" si="46"/>
        <v>28.037037037037038</v>
      </c>
      <c r="R295">
        <f t="shared" si="47"/>
        <v>94.55</v>
      </c>
      <c r="S295" t="str">
        <f t="shared" si="48"/>
        <v>Satisfactory</v>
      </c>
      <c r="T295" t="str">
        <f t="shared" si="49"/>
        <v>PM10</v>
      </c>
      <c r="U295">
        <v>27.61</v>
      </c>
      <c r="V295">
        <v>57.26</v>
      </c>
    </row>
    <row r="296" spans="1:22" x14ac:dyDescent="0.3">
      <c r="A296" s="2" t="s">
        <v>15</v>
      </c>
      <c r="B296">
        <v>560026</v>
      </c>
      <c r="C296" s="3">
        <v>43772</v>
      </c>
      <c r="D296">
        <v>37.33</v>
      </c>
      <c r="E296">
        <v>87.31</v>
      </c>
      <c r="F296">
        <v>32</v>
      </c>
      <c r="G296">
        <v>23.5</v>
      </c>
      <c r="H296">
        <v>2.89</v>
      </c>
      <c r="I296">
        <v>0.66</v>
      </c>
      <c r="J296">
        <v>39.840000000000003</v>
      </c>
      <c r="K296">
        <f t="shared" si="40"/>
        <v>62.216666666666661</v>
      </c>
      <c r="L296">
        <f t="shared" si="41"/>
        <v>87.31</v>
      </c>
      <c r="M296">
        <f t="shared" si="42"/>
        <v>40</v>
      </c>
      <c r="N296">
        <f t="shared" si="43"/>
        <v>5.875</v>
      </c>
      <c r="O296">
        <f t="shared" si="44"/>
        <v>3.6124999999999998</v>
      </c>
      <c r="P296">
        <f t="shared" si="45"/>
        <v>7.5</v>
      </c>
      <c r="Q296">
        <f t="shared" si="46"/>
        <v>36.888888888888893</v>
      </c>
      <c r="R296">
        <f t="shared" si="47"/>
        <v>87.31</v>
      </c>
      <c r="S296" t="str">
        <f t="shared" si="48"/>
        <v>Satisfactory</v>
      </c>
      <c r="T296" t="str">
        <f t="shared" si="49"/>
        <v>PM10</v>
      </c>
      <c r="U296">
        <v>26.85</v>
      </c>
      <c r="V296">
        <v>62.64</v>
      </c>
    </row>
    <row r="297" spans="1:22" x14ac:dyDescent="0.3">
      <c r="A297" s="2" t="s">
        <v>15</v>
      </c>
      <c r="B297">
        <v>560026</v>
      </c>
      <c r="C297" s="3">
        <v>43773</v>
      </c>
      <c r="D297">
        <v>58.31</v>
      </c>
      <c r="E297">
        <v>127.5</v>
      </c>
      <c r="F297">
        <v>42.4</v>
      </c>
      <c r="G297">
        <v>28.54</v>
      </c>
      <c r="H297">
        <v>3.12</v>
      </c>
      <c r="I297">
        <v>1.1299999999999999</v>
      </c>
      <c r="J297">
        <v>38.770000000000003</v>
      </c>
      <c r="K297">
        <f t="shared" si="40"/>
        <v>97.183333333333337</v>
      </c>
      <c r="L297">
        <f t="shared" si="41"/>
        <v>118.33333333333333</v>
      </c>
      <c r="M297">
        <f t="shared" si="42"/>
        <v>53</v>
      </c>
      <c r="N297">
        <f t="shared" si="43"/>
        <v>7.1349999999999998</v>
      </c>
      <c r="O297">
        <f t="shared" si="44"/>
        <v>3.9</v>
      </c>
      <c r="P297">
        <f t="shared" si="45"/>
        <v>12.84090909090909</v>
      </c>
      <c r="Q297">
        <f t="shared" si="46"/>
        <v>35.898148148148152</v>
      </c>
      <c r="R297">
        <f t="shared" si="47"/>
        <v>118.33333333333333</v>
      </c>
      <c r="S297" t="str">
        <f t="shared" si="48"/>
        <v>Moderate</v>
      </c>
      <c r="T297" t="str">
        <f t="shared" si="49"/>
        <v>PM10</v>
      </c>
      <c r="U297">
        <v>26.78</v>
      </c>
      <c r="V297">
        <v>52.57</v>
      </c>
    </row>
    <row r="298" spans="1:22" x14ac:dyDescent="0.3">
      <c r="A298" s="2" t="s">
        <v>15</v>
      </c>
      <c r="B298">
        <v>560026</v>
      </c>
      <c r="C298" s="3">
        <v>43774</v>
      </c>
      <c r="D298">
        <v>72.44</v>
      </c>
      <c r="E298">
        <v>155.83000000000001</v>
      </c>
      <c r="F298">
        <v>47.1</v>
      </c>
      <c r="G298">
        <v>33.31</v>
      </c>
      <c r="H298">
        <v>3.64</v>
      </c>
      <c r="I298">
        <v>1.22</v>
      </c>
      <c r="J298">
        <v>36.83</v>
      </c>
      <c r="K298">
        <f t="shared" si="40"/>
        <v>141.46666666666667</v>
      </c>
      <c r="L298">
        <f t="shared" si="41"/>
        <v>137.22</v>
      </c>
      <c r="M298">
        <f t="shared" si="42"/>
        <v>58.875</v>
      </c>
      <c r="N298">
        <f t="shared" si="43"/>
        <v>8.3275000000000006</v>
      </c>
      <c r="O298">
        <f t="shared" si="44"/>
        <v>4.55</v>
      </c>
      <c r="P298">
        <f t="shared" si="45"/>
        <v>13.863636363636363</v>
      </c>
      <c r="Q298">
        <f t="shared" si="46"/>
        <v>34.101851851851848</v>
      </c>
      <c r="R298">
        <f t="shared" si="47"/>
        <v>141.46666666666667</v>
      </c>
      <c r="S298" t="str">
        <f t="shared" si="48"/>
        <v>Moderate</v>
      </c>
      <c r="T298" t="str">
        <f t="shared" si="49"/>
        <v>PM2.5</v>
      </c>
      <c r="U298">
        <v>27.14</v>
      </c>
      <c r="V298">
        <v>51.85</v>
      </c>
    </row>
    <row r="299" spans="1:22" x14ac:dyDescent="0.3">
      <c r="A299" s="2" t="s">
        <v>15</v>
      </c>
      <c r="B299">
        <v>560026</v>
      </c>
      <c r="C299" s="3">
        <v>43775</v>
      </c>
      <c r="D299">
        <v>61.98</v>
      </c>
      <c r="E299">
        <v>144.66</v>
      </c>
      <c r="F299">
        <v>65.569999999999993</v>
      </c>
      <c r="G299">
        <v>35.57</v>
      </c>
      <c r="H299">
        <v>4.32</v>
      </c>
      <c r="I299">
        <v>1.26</v>
      </c>
      <c r="J299">
        <v>68.489999999999995</v>
      </c>
      <c r="K299">
        <f t="shared" si="40"/>
        <v>106.6</v>
      </c>
      <c r="L299">
        <f t="shared" si="41"/>
        <v>129.77333333333334</v>
      </c>
      <c r="M299">
        <f t="shared" si="42"/>
        <v>81.962499999999991</v>
      </c>
      <c r="N299">
        <f t="shared" si="43"/>
        <v>8.8925000000000001</v>
      </c>
      <c r="O299">
        <f t="shared" si="44"/>
        <v>5.4</v>
      </c>
      <c r="P299">
        <f t="shared" si="45"/>
        <v>14.318181818181818</v>
      </c>
      <c r="Q299">
        <f t="shared" si="46"/>
        <v>95.067333333333323</v>
      </c>
      <c r="R299">
        <f t="shared" si="47"/>
        <v>129.77333333333334</v>
      </c>
      <c r="S299" t="str">
        <f t="shared" si="48"/>
        <v>Moderate</v>
      </c>
      <c r="T299" t="str">
        <f t="shared" si="49"/>
        <v>PM10</v>
      </c>
      <c r="U299">
        <v>28.52</v>
      </c>
      <c r="V299">
        <v>47.62</v>
      </c>
    </row>
    <row r="300" spans="1:22" x14ac:dyDescent="0.3">
      <c r="A300" s="2" t="s">
        <v>15</v>
      </c>
      <c r="B300">
        <v>560026</v>
      </c>
      <c r="C300" s="3">
        <v>43776</v>
      </c>
      <c r="D300">
        <v>76.25</v>
      </c>
      <c r="E300">
        <v>147.5</v>
      </c>
      <c r="F300">
        <v>50.96</v>
      </c>
      <c r="G300">
        <v>32.729999999999997</v>
      </c>
      <c r="H300">
        <v>2.83</v>
      </c>
      <c r="I300">
        <v>1.01</v>
      </c>
      <c r="J300">
        <v>57.06</v>
      </c>
      <c r="K300">
        <f t="shared" si="40"/>
        <v>154.16666666666666</v>
      </c>
      <c r="L300">
        <f t="shared" si="41"/>
        <v>131.66666666666666</v>
      </c>
      <c r="M300">
        <f t="shared" si="42"/>
        <v>63.7</v>
      </c>
      <c r="N300">
        <f t="shared" si="43"/>
        <v>8.1824999999999992</v>
      </c>
      <c r="O300">
        <f t="shared" si="44"/>
        <v>3.5375000000000001</v>
      </c>
      <c r="P300">
        <f t="shared" si="45"/>
        <v>11.477272727272727</v>
      </c>
      <c r="Q300">
        <f t="shared" si="46"/>
        <v>57.729333333333344</v>
      </c>
      <c r="R300">
        <f t="shared" si="47"/>
        <v>154.16666666666666</v>
      </c>
      <c r="S300" t="str">
        <f t="shared" si="48"/>
        <v>Moderate</v>
      </c>
      <c r="T300" t="str">
        <f t="shared" si="49"/>
        <v>PM2.5</v>
      </c>
      <c r="U300">
        <v>26.6</v>
      </c>
      <c r="V300">
        <v>60.03</v>
      </c>
    </row>
    <row r="301" spans="1:22" x14ac:dyDescent="0.3">
      <c r="A301" s="2" t="s">
        <v>15</v>
      </c>
      <c r="B301">
        <v>560026</v>
      </c>
      <c r="C301" s="3">
        <v>43777</v>
      </c>
      <c r="D301">
        <v>68.47</v>
      </c>
      <c r="E301">
        <v>131.71</v>
      </c>
      <c r="F301">
        <v>45.57</v>
      </c>
      <c r="G301">
        <v>31.7</v>
      </c>
      <c r="H301">
        <v>2.84</v>
      </c>
      <c r="I301">
        <v>1.05</v>
      </c>
      <c r="J301">
        <v>64.099999999999994</v>
      </c>
      <c r="K301">
        <f t="shared" si="40"/>
        <v>128.23333333333332</v>
      </c>
      <c r="L301">
        <f t="shared" si="41"/>
        <v>121.14000000000001</v>
      </c>
      <c r="M301">
        <f t="shared" si="42"/>
        <v>56.962499999999999</v>
      </c>
      <c r="N301">
        <f t="shared" si="43"/>
        <v>7.9249999999999998</v>
      </c>
      <c r="O301">
        <f t="shared" si="44"/>
        <v>3.55</v>
      </c>
      <c r="P301">
        <f t="shared" si="45"/>
        <v>11.931818181818182</v>
      </c>
      <c r="Q301">
        <f t="shared" si="46"/>
        <v>80.726666666666645</v>
      </c>
      <c r="R301">
        <f t="shared" si="47"/>
        <v>128.23333333333332</v>
      </c>
      <c r="S301" t="str">
        <f t="shared" si="48"/>
        <v>Moderate</v>
      </c>
      <c r="T301" t="str">
        <f t="shared" si="49"/>
        <v>PM2.5</v>
      </c>
      <c r="U301">
        <v>26.12</v>
      </c>
      <c r="V301">
        <v>68.8</v>
      </c>
    </row>
    <row r="302" spans="1:22" x14ac:dyDescent="0.3">
      <c r="A302" s="2" t="s">
        <v>15</v>
      </c>
      <c r="B302">
        <v>560026</v>
      </c>
      <c r="C302" s="3">
        <v>43778</v>
      </c>
      <c r="D302">
        <v>57.16</v>
      </c>
      <c r="E302">
        <v>113.19</v>
      </c>
      <c r="F302">
        <v>43.21</v>
      </c>
      <c r="G302">
        <v>30.95</v>
      </c>
      <c r="H302">
        <v>2.61</v>
      </c>
      <c r="I302">
        <v>0.77</v>
      </c>
      <c r="J302">
        <v>62.75</v>
      </c>
      <c r="K302">
        <f t="shared" si="40"/>
        <v>95.266666666666652</v>
      </c>
      <c r="L302">
        <f t="shared" si="41"/>
        <v>108.79333333333334</v>
      </c>
      <c r="M302">
        <f t="shared" si="42"/>
        <v>54.012500000000003</v>
      </c>
      <c r="N302">
        <f t="shared" si="43"/>
        <v>7.7374999999999998</v>
      </c>
      <c r="O302">
        <f t="shared" si="44"/>
        <v>3.2625000000000002</v>
      </c>
      <c r="P302">
        <f t="shared" si="45"/>
        <v>8.75</v>
      </c>
      <c r="Q302">
        <f t="shared" si="46"/>
        <v>76.316666666666663</v>
      </c>
      <c r="R302">
        <f t="shared" si="47"/>
        <v>108.79333333333334</v>
      </c>
      <c r="S302" t="str">
        <f t="shared" si="48"/>
        <v>Moderate</v>
      </c>
      <c r="T302" t="str">
        <f t="shared" si="49"/>
        <v>PM10</v>
      </c>
      <c r="U302">
        <v>26.39</v>
      </c>
      <c r="V302">
        <v>67.47</v>
      </c>
    </row>
    <row r="303" spans="1:22" x14ac:dyDescent="0.3">
      <c r="A303" s="2" t="s">
        <v>15</v>
      </c>
      <c r="B303">
        <v>560026</v>
      </c>
      <c r="C303" s="3">
        <v>43779</v>
      </c>
      <c r="D303">
        <v>61.03</v>
      </c>
      <c r="E303">
        <v>116.46</v>
      </c>
      <c r="F303">
        <v>46.31</v>
      </c>
      <c r="G303">
        <v>25.42</v>
      </c>
      <c r="H303">
        <v>2.5099999999999998</v>
      </c>
      <c r="I303">
        <v>0.92</v>
      </c>
      <c r="J303">
        <v>48.82</v>
      </c>
      <c r="K303">
        <f t="shared" si="40"/>
        <v>103.43333333333334</v>
      </c>
      <c r="L303">
        <f t="shared" si="41"/>
        <v>110.97333333333333</v>
      </c>
      <c r="M303">
        <f t="shared" si="42"/>
        <v>57.887500000000003</v>
      </c>
      <c r="N303">
        <f t="shared" si="43"/>
        <v>6.3550000000000004</v>
      </c>
      <c r="O303">
        <f t="shared" si="44"/>
        <v>3.1374999999999997</v>
      </c>
      <c r="P303">
        <f t="shared" si="45"/>
        <v>10.454545454545455</v>
      </c>
      <c r="Q303">
        <f t="shared" si="46"/>
        <v>45.203703703703702</v>
      </c>
      <c r="R303">
        <f t="shared" si="47"/>
        <v>110.97333333333333</v>
      </c>
      <c r="S303" t="str">
        <f t="shared" si="48"/>
        <v>Moderate</v>
      </c>
      <c r="T303" t="str">
        <f t="shared" si="49"/>
        <v>PM10</v>
      </c>
      <c r="U303">
        <v>26.5</v>
      </c>
      <c r="V303">
        <v>67.290000000000006</v>
      </c>
    </row>
    <row r="304" spans="1:22" x14ac:dyDescent="0.3">
      <c r="A304" s="2" t="s">
        <v>15</v>
      </c>
      <c r="B304">
        <v>560026</v>
      </c>
      <c r="C304" s="3">
        <v>43780</v>
      </c>
      <c r="D304">
        <v>82.72</v>
      </c>
      <c r="E304">
        <v>134.91</v>
      </c>
      <c r="F304">
        <v>43.73</v>
      </c>
      <c r="G304">
        <v>24.91</v>
      </c>
      <c r="H304">
        <v>2.79</v>
      </c>
      <c r="I304">
        <v>0.81</v>
      </c>
      <c r="J304">
        <v>96.2</v>
      </c>
      <c r="K304">
        <f t="shared" si="40"/>
        <v>175.73333333333335</v>
      </c>
      <c r="L304">
        <f t="shared" si="41"/>
        <v>123.27333333333333</v>
      </c>
      <c r="M304">
        <f t="shared" si="42"/>
        <v>54.662499999999994</v>
      </c>
      <c r="N304">
        <f t="shared" si="43"/>
        <v>6.2275</v>
      </c>
      <c r="O304">
        <f t="shared" si="44"/>
        <v>3.4874999999999998</v>
      </c>
      <c r="P304">
        <f t="shared" si="45"/>
        <v>9.204545454545455</v>
      </c>
      <c r="Q304">
        <f t="shared" si="46"/>
        <v>177.30526315789473</v>
      </c>
      <c r="R304">
        <f t="shared" si="47"/>
        <v>177.30526315789473</v>
      </c>
      <c r="S304" t="str">
        <f t="shared" si="48"/>
        <v>Moderate</v>
      </c>
      <c r="T304" t="str">
        <f t="shared" si="49"/>
        <v>OZONE</v>
      </c>
      <c r="U304">
        <v>25.84</v>
      </c>
      <c r="V304">
        <v>69.41</v>
      </c>
    </row>
    <row r="305" spans="1:22" x14ac:dyDescent="0.3">
      <c r="A305" s="2" t="s">
        <v>15</v>
      </c>
      <c r="B305">
        <v>560026</v>
      </c>
      <c r="C305" s="3">
        <v>43781</v>
      </c>
      <c r="D305">
        <v>33</v>
      </c>
      <c r="E305">
        <v>71.02</v>
      </c>
      <c r="F305">
        <v>37.299999999999997</v>
      </c>
      <c r="G305">
        <v>16.170000000000002</v>
      </c>
      <c r="H305">
        <v>2.78</v>
      </c>
      <c r="I305">
        <v>0.7</v>
      </c>
      <c r="J305">
        <v>68</v>
      </c>
      <c r="K305">
        <f t="shared" si="40"/>
        <v>55</v>
      </c>
      <c r="L305">
        <f t="shared" si="41"/>
        <v>71.02</v>
      </c>
      <c r="M305">
        <f t="shared" si="42"/>
        <v>46.624999999999993</v>
      </c>
      <c r="N305">
        <f t="shared" si="43"/>
        <v>4.0425000000000004</v>
      </c>
      <c r="O305">
        <f t="shared" si="44"/>
        <v>3.4750000000000001</v>
      </c>
      <c r="P305">
        <f t="shared" si="45"/>
        <v>7.9545454545454541</v>
      </c>
      <c r="Q305">
        <f t="shared" si="46"/>
        <v>93.466666666666669</v>
      </c>
      <c r="R305">
        <f t="shared" si="47"/>
        <v>93.466666666666669</v>
      </c>
      <c r="S305" t="str">
        <f t="shared" si="48"/>
        <v>Satisfactory</v>
      </c>
      <c r="T305" t="str">
        <f t="shared" si="49"/>
        <v>OZONE</v>
      </c>
      <c r="U305">
        <v>26.69</v>
      </c>
      <c r="V305">
        <v>55.84</v>
      </c>
    </row>
    <row r="306" spans="1:22" x14ac:dyDescent="0.3">
      <c r="A306" s="2" t="s">
        <v>15</v>
      </c>
      <c r="B306">
        <v>560026</v>
      </c>
      <c r="C306" s="3">
        <v>43782</v>
      </c>
      <c r="D306">
        <v>43.96</v>
      </c>
      <c r="E306">
        <v>90.54</v>
      </c>
      <c r="F306">
        <v>40.4</v>
      </c>
      <c r="G306">
        <v>21.06</v>
      </c>
      <c r="H306">
        <v>3.13</v>
      </c>
      <c r="I306">
        <v>0.8</v>
      </c>
      <c r="J306">
        <v>45.92</v>
      </c>
      <c r="K306">
        <f t="shared" si="40"/>
        <v>73.266666666666666</v>
      </c>
      <c r="L306">
        <f t="shared" si="41"/>
        <v>90.54</v>
      </c>
      <c r="M306">
        <f t="shared" si="42"/>
        <v>50.5</v>
      </c>
      <c r="N306">
        <f t="shared" si="43"/>
        <v>5.2649999999999997</v>
      </c>
      <c r="O306">
        <f t="shared" si="44"/>
        <v>3.9125000000000001</v>
      </c>
      <c r="P306">
        <f t="shared" si="45"/>
        <v>9.0909090909090917</v>
      </c>
      <c r="Q306">
        <f t="shared" si="46"/>
        <v>42.518518518518519</v>
      </c>
      <c r="R306">
        <f t="shared" si="47"/>
        <v>90.54</v>
      </c>
      <c r="S306" t="str">
        <f t="shared" si="48"/>
        <v>Satisfactory</v>
      </c>
      <c r="T306" t="str">
        <f t="shared" si="49"/>
        <v>PM10</v>
      </c>
      <c r="U306">
        <v>25.41</v>
      </c>
      <c r="V306">
        <v>63.28</v>
      </c>
    </row>
    <row r="307" spans="1:22" x14ac:dyDescent="0.3">
      <c r="A307" s="2" t="s">
        <v>15</v>
      </c>
      <c r="B307">
        <v>560026</v>
      </c>
      <c r="C307" s="3">
        <v>43783</v>
      </c>
      <c r="D307">
        <v>36.58</v>
      </c>
      <c r="E307">
        <v>81.349999999999994</v>
      </c>
      <c r="F307">
        <v>36.15</v>
      </c>
      <c r="G307">
        <v>21.8</v>
      </c>
      <c r="H307">
        <v>3.08</v>
      </c>
      <c r="I307">
        <v>0.87</v>
      </c>
      <c r="J307">
        <v>41.6</v>
      </c>
      <c r="K307">
        <f t="shared" si="40"/>
        <v>60.966666666666661</v>
      </c>
      <c r="L307">
        <f t="shared" si="41"/>
        <v>81.349999999999994</v>
      </c>
      <c r="M307">
        <f t="shared" si="42"/>
        <v>45.1875</v>
      </c>
      <c r="N307">
        <f t="shared" si="43"/>
        <v>5.45</v>
      </c>
      <c r="O307">
        <f t="shared" si="44"/>
        <v>3.85</v>
      </c>
      <c r="P307">
        <f t="shared" si="45"/>
        <v>9.8863636363636367</v>
      </c>
      <c r="Q307">
        <f t="shared" si="46"/>
        <v>38.518518518518519</v>
      </c>
      <c r="R307">
        <f t="shared" si="47"/>
        <v>81.349999999999994</v>
      </c>
      <c r="S307" t="str">
        <f t="shared" si="48"/>
        <v>Satisfactory</v>
      </c>
      <c r="T307" t="str">
        <f t="shared" si="49"/>
        <v>PM10</v>
      </c>
      <c r="U307">
        <v>24.9</v>
      </c>
      <c r="V307">
        <v>70.739999999999995</v>
      </c>
    </row>
    <row r="308" spans="1:22" x14ac:dyDescent="0.3">
      <c r="A308" s="2" t="s">
        <v>15</v>
      </c>
      <c r="B308">
        <v>560026</v>
      </c>
      <c r="C308" s="3">
        <v>43784</v>
      </c>
      <c r="D308">
        <v>36.880000000000003</v>
      </c>
      <c r="E308">
        <v>81.92</v>
      </c>
      <c r="F308">
        <v>30.42</v>
      </c>
      <c r="G308">
        <v>22.33</v>
      </c>
      <c r="H308">
        <v>3.14</v>
      </c>
      <c r="I308">
        <v>0.83</v>
      </c>
      <c r="J308">
        <v>11.9</v>
      </c>
      <c r="K308">
        <f t="shared" si="40"/>
        <v>61.466666666666669</v>
      </c>
      <c r="L308">
        <f t="shared" si="41"/>
        <v>81.92</v>
      </c>
      <c r="M308">
        <f t="shared" si="42"/>
        <v>38.024999999999999</v>
      </c>
      <c r="N308">
        <f t="shared" si="43"/>
        <v>5.5824999999999996</v>
      </c>
      <c r="O308">
        <f t="shared" si="44"/>
        <v>3.9249999999999998</v>
      </c>
      <c r="P308">
        <f t="shared" si="45"/>
        <v>9.4318181818181817</v>
      </c>
      <c r="Q308">
        <f t="shared" si="46"/>
        <v>11.018518518518519</v>
      </c>
      <c r="R308">
        <f t="shared" si="47"/>
        <v>81.92</v>
      </c>
      <c r="S308" t="str">
        <f t="shared" si="48"/>
        <v>Satisfactory</v>
      </c>
      <c r="T308" t="str">
        <f t="shared" si="49"/>
        <v>PM10</v>
      </c>
      <c r="U308">
        <v>25.47</v>
      </c>
      <c r="V308">
        <v>73.25</v>
      </c>
    </row>
    <row r="309" spans="1:22" x14ac:dyDescent="0.3">
      <c r="A309" s="2" t="s">
        <v>15</v>
      </c>
      <c r="B309">
        <v>560026</v>
      </c>
      <c r="C309" s="3">
        <v>43785</v>
      </c>
      <c r="D309">
        <v>30.5</v>
      </c>
      <c r="E309">
        <v>66.12</v>
      </c>
      <c r="F309">
        <v>27.79</v>
      </c>
      <c r="G309">
        <v>20.399999999999999</v>
      </c>
      <c r="H309">
        <v>2.94</v>
      </c>
      <c r="I309">
        <v>0.78</v>
      </c>
      <c r="J309">
        <v>12.75</v>
      </c>
      <c r="K309">
        <f t="shared" si="40"/>
        <v>50.833333333333336</v>
      </c>
      <c r="L309">
        <f t="shared" si="41"/>
        <v>66.12</v>
      </c>
      <c r="M309">
        <f t="shared" si="42"/>
        <v>34.737499999999997</v>
      </c>
      <c r="N309">
        <f t="shared" si="43"/>
        <v>5.0999999999999996</v>
      </c>
      <c r="O309">
        <f t="shared" si="44"/>
        <v>3.6749999999999998</v>
      </c>
      <c r="P309">
        <f t="shared" si="45"/>
        <v>8.8636363636363633</v>
      </c>
      <c r="Q309">
        <f t="shared" si="46"/>
        <v>11.805555555555555</v>
      </c>
      <c r="R309">
        <f t="shared" si="47"/>
        <v>66.12</v>
      </c>
      <c r="S309" t="str">
        <f t="shared" si="48"/>
        <v>Satisfactory</v>
      </c>
      <c r="T309" t="str">
        <f t="shared" si="49"/>
        <v>PM10</v>
      </c>
      <c r="U309">
        <v>25.74</v>
      </c>
      <c r="V309">
        <v>70.25</v>
      </c>
    </row>
    <row r="310" spans="1:22" x14ac:dyDescent="0.3">
      <c r="A310" s="2" t="s">
        <v>15</v>
      </c>
      <c r="B310">
        <v>560026</v>
      </c>
      <c r="C310" s="3">
        <v>43786</v>
      </c>
      <c r="D310">
        <v>40.82</v>
      </c>
      <c r="E310">
        <v>91.4</v>
      </c>
      <c r="F310">
        <v>33.44</v>
      </c>
      <c r="G310">
        <v>20.03</v>
      </c>
      <c r="H310">
        <v>3</v>
      </c>
      <c r="I310">
        <v>0.82</v>
      </c>
      <c r="J310">
        <v>29.98</v>
      </c>
      <c r="K310">
        <f t="shared" ref="K310:K372" si="50">IF(ISTEXT(D310),0,IF(D310&lt;=30,D310*50/30,IF(AND(D310&gt;30,D310&lt;=60),50+(D310-30)*50/30,IF(AND(D310&gt;60,D310&lt;=90),100+(D310-60)*100/30,IF(AND(D310&gt;90,D310&lt;=120),200+(D310-90)*(100/30),IF(AND(D310&gt;120,D310&lt;=250),300+(D310-120)*(100/130),IF(D310&gt;250,400+(D310-250)*(100/130))))))))</f>
        <v>68.033333333333331</v>
      </c>
      <c r="L310">
        <f t="shared" ref="L310:L372" si="51">IF(ISTEXT(E310),0,IF(E310&lt;=50,E310,IF(AND(E310&gt;50,E310&lt;=100),E310,IF(AND(E310&gt;100,E310&lt;=250),100+(E310-100)*100/150,IF(AND(E310&gt;250,E310&lt;=350),200+(E310-250),IF(AND(E310&gt;350,E310&lt;=430),300+(E310-350)*(100/80),IF(E310&gt;430,400+(E310-430)*(100/80))))))))</f>
        <v>91.4</v>
      </c>
      <c r="M310">
        <f t="shared" ref="M310:M372" si="52">IF(ISTEXT(F310),0,IF(F310&lt;=40,F310*50/40,IF(AND(F310&gt;40,F310&lt;=80),50+(F310-40)*50/40,IF(AND(F310&gt;80,F310&lt;=180),100+(F310-80)*100/100,IF(AND(F310&gt;180,F310&lt;=280),200+(F310-180)*(100/100),IF(AND(F310&gt;280,F310&lt;=400),300+(F310-280)*(100/120),IF(F310&gt;400,400+(F310-400)*(100/120))))))))</f>
        <v>41.8</v>
      </c>
      <c r="N310">
        <f t="shared" ref="N310:N372" si="53">IF(ISTEXT(G310),0,IF(G310&lt;=200,G310*50/200,IF(AND(G310&gt;200,G310&lt;=400),50+(G310-200)*50/200,IF(AND(G310&gt;400,G310&lt;=800),100+(G310-400)*100/400,IF(AND(G310&gt;800,G310&lt;=1200),200+(G310-800)*(100/400),IF(AND(G310&gt;1200,G310&lt;=1800),300+(G310-1200)*(100/600),IF(G310&gt;1800,400+(G310-1800)*(100/600))))))))</f>
        <v>5.0075000000000003</v>
      </c>
      <c r="O310">
        <f t="shared" ref="O310:O372" si="54">IF(ISTEXT(H310),0,IF(H310&lt;=40,H310*50/40,IF(AND(H310&gt;40,H310&lt;=80),50+(H310-40)*50/40,IF(AND(H310&gt;80,H310&lt;=380),100+(H310-80)*100/300,IF(AND(H310&gt;380,H310&lt;=800),200+(H310-380)*(100/420),IF(AND(H310&gt;800,H310&lt;=1600),300+(H310-800)*(100/800),IF(H310&gt;1600,400+(H310-1600)*(100/800))))))))</f>
        <v>3.75</v>
      </c>
      <c r="P310">
        <f t="shared" ref="P310:P372" si="55">IF(I310&lt;=4.4,(50-0)/(4.4-0)*(I310-0)+0,
IF(I310&lt;=9.4,(100-51)/(9.4-4.5)*(I310-4.5)+51,
IF(I310&lt;=12.4,(150-101)/(12.4-9.5)*(I310-9.5)+101,
IF(I310&lt;=15.4,(200-151)/(15.4-12.5)*(I310-12.5)+151,
IF(I310&lt;=30.4,(300-201)/(30.4-15.5)*(I310-15.5)+201,
(500-301)/(50.4-30.5)*(I310-30.5)+301)))))</f>
        <v>9.3181818181818166</v>
      </c>
      <c r="Q310">
        <f t="shared" ref="Q310:Q372" si="56">IF(J310&lt;=54,(50-0)/(54-0)*(J310-0)+0,
IF(J310&lt;=70,(100-51)/(70-55)*(J310-55)+51,
IF(J310&lt;=85,(150-101)/(85-71)*(J310-71)+101,
IF(J310&lt;=105,(200-151)/(105-86)*(J310-86)+151,
IF(J310&lt;=200,(300-201)/(200-106)*(J310-106)+201,
(500-301)/(300-201)*(J310-201)+301)))))</f>
        <v>27.75925925925926</v>
      </c>
      <c r="R310">
        <f t="shared" ref="R310:R372" si="57">MAX(K310:Q310)</f>
        <v>91.4</v>
      </c>
      <c r="S310" t="str">
        <f t="shared" ref="S310:S372" si="58">IF(R310&lt;=50,"Good",
IF(R310&lt;=100,"Satisfactory",
IF(R310&lt;=200,"Moderate",
IF(R310&lt;=300,"Poor",
IF(R310&lt;=400,"Very Poor",
"Severe")))))</f>
        <v>Satisfactory</v>
      </c>
      <c r="T310" t="str">
        <f t="shared" ref="T310:T372" si="59">IF(MAX(K310:Q310)=K310,"PM2.5",
IF(MAX(K310:Q310)=L310,"PM10",
IF(MAX(K310:Q310)=M310,"NO2",
IF(MAX(K310:Q310)=N310,"NH3",
IF(MAX(K310:Q310)=O310,"SO2",
IF(MAX(K310:Q310)=P310,"CO",
IF(MAX(K310:Q310)=Q310,"OZONE","")))))))</f>
        <v>PM10</v>
      </c>
      <c r="U310">
        <v>26.24</v>
      </c>
      <c r="V310">
        <v>62.29</v>
      </c>
    </row>
    <row r="311" spans="1:22" x14ac:dyDescent="0.3">
      <c r="A311" s="2" t="s">
        <v>15</v>
      </c>
      <c r="B311">
        <v>560026</v>
      </c>
      <c r="C311" s="3">
        <v>43787</v>
      </c>
      <c r="D311">
        <v>38.86</v>
      </c>
      <c r="E311">
        <v>79.599999999999994</v>
      </c>
      <c r="F311">
        <v>30.38</v>
      </c>
      <c r="G311">
        <v>22.02</v>
      </c>
      <c r="H311">
        <v>2.93</v>
      </c>
      <c r="I311">
        <v>0.85</v>
      </c>
      <c r="J311">
        <v>24.51</v>
      </c>
      <c r="K311">
        <f t="shared" si="50"/>
        <v>64.766666666666666</v>
      </c>
      <c r="L311">
        <f t="shared" si="51"/>
        <v>79.599999999999994</v>
      </c>
      <c r="M311">
        <f t="shared" si="52"/>
        <v>37.975000000000001</v>
      </c>
      <c r="N311">
        <f t="shared" si="53"/>
        <v>5.5049999999999999</v>
      </c>
      <c r="O311">
        <f t="shared" si="54"/>
        <v>3.6625000000000001</v>
      </c>
      <c r="P311">
        <f t="shared" si="55"/>
        <v>9.6590909090909083</v>
      </c>
      <c r="Q311">
        <f t="shared" si="56"/>
        <v>22.694444444444446</v>
      </c>
      <c r="R311">
        <f t="shared" si="57"/>
        <v>79.599999999999994</v>
      </c>
      <c r="S311" t="str">
        <f t="shared" si="58"/>
        <v>Satisfactory</v>
      </c>
      <c r="T311" t="str">
        <f t="shared" si="59"/>
        <v>PM10</v>
      </c>
      <c r="U311">
        <v>26.03</v>
      </c>
      <c r="V311">
        <v>67.650000000000006</v>
      </c>
    </row>
    <row r="312" spans="1:22" x14ac:dyDescent="0.3">
      <c r="A312" s="2" t="s">
        <v>15</v>
      </c>
      <c r="B312">
        <v>560026</v>
      </c>
      <c r="C312" s="3">
        <v>43788</v>
      </c>
      <c r="D312">
        <v>27.96</v>
      </c>
      <c r="E312">
        <v>63.17</v>
      </c>
      <c r="F312">
        <v>25.96</v>
      </c>
      <c r="G312">
        <v>18.11</v>
      </c>
      <c r="H312">
        <v>2.99</v>
      </c>
      <c r="I312">
        <v>0.73</v>
      </c>
      <c r="J312">
        <v>25.92</v>
      </c>
      <c r="K312">
        <f t="shared" si="50"/>
        <v>46.6</v>
      </c>
      <c r="L312">
        <f t="shared" si="51"/>
        <v>63.17</v>
      </c>
      <c r="M312">
        <f t="shared" si="52"/>
        <v>32.450000000000003</v>
      </c>
      <c r="N312">
        <f t="shared" si="53"/>
        <v>4.5274999999999999</v>
      </c>
      <c r="O312">
        <f t="shared" si="54"/>
        <v>3.7374999999999998</v>
      </c>
      <c r="P312">
        <f t="shared" si="55"/>
        <v>8.295454545454545</v>
      </c>
      <c r="Q312">
        <f t="shared" si="56"/>
        <v>24</v>
      </c>
      <c r="R312">
        <f t="shared" si="57"/>
        <v>63.17</v>
      </c>
      <c r="S312" t="str">
        <f t="shared" si="58"/>
        <v>Satisfactory</v>
      </c>
      <c r="T312" t="str">
        <f t="shared" si="59"/>
        <v>PM10</v>
      </c>
      <c r="U312">
        <v>26.17</v>
      </c>
      <c r="V312">
        <v>65.5</v>
      </c>
    </row>
    <row r="313" spans="1:22" x14ac:dyDescent="0.3">
      <c r="A313" s="2" t="s">
        <v>15</v>
      </c>
      <c r="B313">
        <v>560026</v>
      </c>
      <c r="C313" s="3">
        <v>43789</v>
      </c>
      <c r="D313">
        <v>29.67</v>
      </c>
      <c r="E313">
        <v>70.709999999999994</v>
      </c>
      <c r="F313">
        <v>28.51</v>
      </c>
      <c r="G313">
        <v>19.75</v>
      </c>
      <c r="H313">
        <v>3.16</v>
      </c>
      <c r="I313">
        <v>0.87</v>
      </c>
      <c r="J313">
        <v>13.37</v>
      </c>
      <c r="K313">
        <f t="shared" si="50"/>
        <v>49.45</v>
      </c>
      <c r="L313">
        <f t="shared" si="51"/>
        <v>70.709999999999994</v>
      </c>
      <c r="M313">
        <f t="shared" si="52"/>
        <v>35.637500000000003</v>
      </c>
      <c r="N313">
        <f t="shared" si="53"/>
        <v>4.9375</v>
      </c>
      <c r="O313">
        <f t="shared" si="54"/>
        <v>3.95</v>
      </c>
      <c r="P313">
        <f t="shared" si="55"/>
        <v>9.8863636363636367</v>
      </c>
      <c r="Q313">
        <f t="shared" si="56"/>
        <v>12.37962962962963</v>
      </c>
      <c r="R313">
        <f t="shared" si="57"/>
        <v>70.709999999999994</v>
      </c>
      <c r="S313" t="str">
        <f t="shared" si="58"/>
        <v>Satisfactory</v>
      </c>
      <c r="T313" t="str">
        <f t="shared" si="59"/>
        <v>PM10</v>
      </c>
      <c r="U313">
        <v>24.76</v>
      </c>
      <c r="V313">
        <v>73.3</v>
      </c>
    </row>
    <row r="314" spans="1:22" x14ac:dyDescent="0.3">
      <c r="A314" s="2" t="s">
        <v>15</v>
      </c>
      <c r="B314">
        <v>560026</v>
      </c>
      <c r="C314" s="3">
        <v>43790</v>
      </c>
      <c r="D314">
        <v>55.92</v>
      </c>
      <c r="E314">
        <v>114.38</v>
      </c>
      <c r="F314">
        <v>37.119999999999997</v>
      </c>
      <c r="G314">
        <v>20.21</v>
      </c>
      <c r="H314">
        <v>2.89</v>
      </c>
      <c r="I314">
        <v>1.1200000000000001</v>
      </c>
      <c r="J314">
        <v>25.35</v>
      </c>
      <c r="K314">
        <f t="shared" si="50"/>
        <v>93.2</v>
      </c>
      <c r="L314">
        <f t="shared" si="51"/>
        <v>109.58666666666666</v>
      </c>
      <c r="M314">
        <f t="shared" si="52"/>
        <v>46.399999999999991</v>
      </c>
      <c r="N314">
        <f t="shared" si="53"/>
        <v>5.0525000000000002</v>
      </c>
      <c r="O314">
        <f t="shared" si="54"/>
        <v>3.6124999999999998</v>
      </c>
      <c r="P314">
        <f t="shared" si="55"/>
        <v>12.727272727272728</v>
      </c>
      <c r="Q314">
        <f t="shared" si="56"/>
        <v>23.472222222222225</v>
      </c>
      <c r="R314">
        <f t="shared" si="57"/>
        <v>109.58666666666666</v>
      </c>
      <c r="S314" t="str">
        <f t="shared" si="58"/>
        <v>Moderate</v>
      </c>
      <c r="T314" t="str">
        <f t="shared" si="59"/>
        <v>PM10</v>
      </c>
      <c r="U314">
        <v>24.2</v>
      </c>
      <c r="V314">
        <v>70.62</v>
      </c>
    </row>
    <row r="315" spans="1:22" x14ac:dyDescent="0.3">
      <c r="A315" s="2" t="s">
        <v>15</v>
      </c>
      <c r="B315">
        <v>560026</v>
      </c>
      <c r="C315" s="3">
        <v>43791</v>
      </c>
      <c r="D315">
        <v>51.38</v>
      </c>
      <c r="E315">
        <v>99.17</v>
      </c>
      <c r="F315">
        <v>33.85</v>
      </c>
      <c r="G315">
        <v>13.59</v>
      </c>
      <c r="H315">
        <v>3.04</v>
      </c>
      <c r="I315">
        <v>0.84</v>
      </c>
      <c r="J315">
        <v>34.79</v>
      </c>
      <c r="K315">
        <f t="shared" si="50"/>
        <v>85.63333333333334</v>
      </c>
      <c r="L315">
        <f t="shared" si="51"/>
        <v>99.17</v>
      </c>
      <c r="M315">
        <f t="shared" si="52"/>
        <v>42.3125</v>
      </c>
      <c r="N315">
        <f t="shared" si="53"/>
        <v>3.3975</v>
      </c>
      <c r="O315">
        <f t="shared" si="54"/>
        <v>3.8</v>
      </c>
      <c r="P315">
        <f t="shared" si="55"/>
        <v>9.545454545454545</v>
      </c>
      <c r="Q315">
        <f t="shared" si="56"/>
        <v>32.212962962962962</v>
      </c>
      <c r="R315">
        <f t="shared" si="57"/>
        <v>99.17</v>
      </c>
      <c r="S315" t="str">
        <f t="shared" si="58"/>
        <v>Satisfactory</v>
      </c>
      <c r="T315" t="str">
        <f t="shared" si="59"/>
        <v>PM10</v>
      </c>
      <c r="U315">
        <v>25.1</v>
      </c>
      <c r="V315">
        <v>69.180000000000007</v>
      </c>
    </row>
    <row r="316" spans="1:22" x14ac:dyDescent="0.3">
      <c r="A316" s="2" t="s">
        <v>15</v>
      </c>
      <c r="B316">
        <v>560026</v>
      </c>
      <c r="C316" s="3">
        <v>43792</v>
      </c>
      <c r="D316">
        <v>43.4</v>
      </c>
      <c r="E316">
        <v>93.47</v>
      </c>
      <c r="F316">
        <v>36</v>
      </c>
      <c r="G316">
        <v>11.83</v>
      </c>
      <c r="H316">
        <v>2.94</v>
      </c>
      <c r="I316">
        <v>0.75</v>
      </c>
      <c r="J316">
        <v>38.22</v>
      </c>
      <c r="K316">
        <f t="shared" si="50"/>
        <v>72.333333333333329</v>
      </c>
      <c r="L316">
        <f t="shared" si="51"/>
        <v>93.47</v>
      </c>
      <c r="M316">
        <f t="shared" si="52"/>
        <v>45</v>
      </c>
      <c r="N316">
        <f t="shared" si="53"/>
        <v>2.9575</v>
      </c>
      <c r="O316">
        <f t="shared" si="54"/>
        <v>3.6749999999999998</v>
      </c>
      <c r="P316">
        <f t="shared" si="55"/>
        <v>8.5227272727272734</v>
      </c>
      <c r="Q316">
        <f t="shared" si="56"/>
        <v>35.388888888888886</v>
      </c>
      <c r="R316">
        <f t="shared" si="57"/>
        <v>93.47</v>
      </c>
      <c r="S316" t="str">
        <f t="shared" si="58"/>
        <v>Satisfactory</v>
      </c>
      <c r="T316" t="str">
        <f t="shared" si="59"/>
        <v>PM10</v>
      </c>
      <c r="U316">
        <v>23.46</v>
      </c>
      <c r="V316">
        <v>63.58</v>
      </c>
    </row>
    <row r="317" spans="1:22" x14ac:dyDescent="0.3">
      <c r="A317" s="2" t="s">
        <v>15</v>
      </c>
      <c r="B317">
        <v>560026</v>
      </c>
      <c r="C317" s="3">
        <v>43793</v>
      </c>
      <c r="D317">
        <v>46.191724139999998</v>
      </c>
      <c r="E317">
        <v>96.921724139999995</v>
      </c>
      <c r="F317">
        <v>36.937241380000003</v>
      </c>
      <c r="G317">
        <v>22.96931034</v>
      </c>
      <c r="H317">
        <v>2.9358620690000001</v>
      </c>
      <c r="I317">
        <v>0.90517241400000004</v>
      </c>
      <c r="J317">
        <v>40.286896550000002</v>
      </c>
      <c r="K317">
        <f t="shared" si="50"/>
        <v>76.986206899999999</v>
      </c>
      <c r="L317">
        <f t="shared" si="51"/>
        <v>96.921724139999995</v>
      </c>
      <c r="M317">
        <f t="shared" si="52"/>
        <v>46.171551725000008</v>
      </c>
      <c r="N317">
        <f t="shared" si="53"/>
        <v>5.7423275850000008</v>
      </c>
      <c r="O317">
        <f t="shared" si="54"/>
        <v>3.6698275862500003</v>
      </c>
      <c r="P317">
        <f t="shared" si="55"/>
        <v>10.286050159090909</v>
      </c>
      <c r="Q317">
        <f t="shared" si="56"/>
        <v>37.302681990740744</v>
      </c>
      <c r="R317">
        <f t="shared" si="57"/>
        <v>96.921724139999995</v>
      </c>
      <c r="S317" t="str">
        <f t="shared" si="58"/>
        <v>Satisfactory</v>
      </c>
      <c r="T317" t="str">
        <f t="shared" si="59"/>
        <v>PM10</v>
      </c>
      <c r="U317">
        <v>24.25333333</v>
      </c>
      <c r="V317">
        <v>67.793333329999996</v>
      </c>
    </row>
    <row r="318" spans="1:22" x14ac:dyDescent="0.3">
      <c r="A318" s="2" t="s">
        <v>15</v>
      </c>
      <c r="B318">
        <v>560026</v>
      </c>
      <c r="C318" s="3">
        <v>43794</v>
      </c>
      <c r="D318">
        <v>43.14</v>
      </c>
      <c r="E318">
        <v>88</v>
      </c>
      <c r="F318">
        <v>22.58</v>
      </c>
      <c r="G318">
        <v>32.31</v>
      </c>
      <c r="H318">
        <v>3.11</v>
      </c>
      <c r="I318">
        <v>1.36</v>
      </c>
      <c r="J318">
        <v>22.12</v>
      </c>
      <c r="K318">
        <f t="shared" si="50"/>
        <v>71.900000000000006</v>
      </c>
      <c r="L318">
        <f t="shared" si="51"/>
        <v>88</v>
      </c>
      <c r="M318">
        <f t="shared" si="52"/>
        <v>28.225000000000001</v>
      </c>
      <c r="N318">
        <f t="shared" si="53"/>
        <v>8.0775000000000006</v>
      </c>
      <c r="O318">
        <f t="shared" si="54"/>
        <v>3.8875000000000002</v>
      </c>
      <c r="P318">
        <f t="shared" si="55"/>
        <v>15.454545454545455</v>
      </c>
      <c r="Q318">
        <f t="shared" si="56"/>
        <v>20.481481481481481</v>
      </c>
      <c r="R318">
        <f t="shared" si="57"/>
        <v>88</v>
      </c>
      <c r="S318" t="str">
        <f t="shared" si="58"/>
        <v>Satisfactory</v>
      </c>
      <c r="T318" t="str">
        <f t="shared" si="59"/>
        <v>PM10</v>
      </c>
      <c r="U318">
        <v>25.76</v>
      </c>
      <c r="V318">
        <v>76.36</v>
      </c>
    </row>
    <row r="319" spans="1:22" x14ac:dyDescent="0.3">
      <c r="A319" s="2" t="s">
        <v>15</v>
      </c>
      <c r="B319">
        <v>560026</v>
      </c>
      <c r="C319" s="3">
        <v>43795</v>
      </c>
      <c r="D319">
        <v>44.74</v>
      </c>
      <c r="E319">
        <v>90.33</v>
      </c>
      <c r="F319">
        <v>38.28</v>
      </c>
      <c r="G319">
        <v>27.12</v>
      </c>
      <c r="H319">
        <v>1.58</v>
      </c>
      <c r="I319">
        <v>0.69</v>
      </c>
      <c r="J319">
        <v>58.07</v>
      </c>
      <c r="K319">
        <f t="shared" si="50"/>
        <v>74.566666666666663</v>
      </c>
      <c r="L319">
        <f t="shared" si="51"/>
        <v>90.33</v>
      </c>
      <c r="M319">
        <f t="shared" si="52"/>
        <v>47.85</v>
      </c>
      <c r="N319">
        <f t="shared" si="53"/>
        <v>6.78</v>
      </c>
      <c r="O319">
        <f t="shared" si="54"/>
        <v>1.9750000000000001</v>
      </c>
      <c r="P319">
        <f t="shared" si="55"/>
        <v>7.8409090909090899</v>
      </c>
      <c r="Q319">
        <f t="shared" si="56"/>
        <v>61.028666666666666</v>
      </c>
      <c r="R319">
        <f t="shared" si="57"/>
        <v>90.33</v>
      </c>
      <c r="S319" t="str">
        <f t="shared" si="58"/>
        <v>Satisfactory</v>
      </c>
      <c r="T319" t="str">
        <f t="shared" si="59"/>
        <v>PM10</v>
      </c>
      <c r="U319">
        <v>24.8</v>
      </c>
      <c r="V319">
        <v>64.22</v>
      </c>
    </row>
    <row r="320" spans="1:22" x14ac:dyDescent="0.3">
      <c r="A320" s="2" t="s">
        <v>15</v>
      </c>
      <c r="B320">
        <v>560026</v>
      </c>
      <c r="C320" s="3">
        <v>43796</v>
      </c>
      <c r="D320">
        <v>46.62</v>
      </c>
      <c r="E320">
        <v>90.83</v>
      </c>
      <c r="F320">
        <v>36.76</v>
      </c>
      <c r="G320">
        <v>22.04</v>
      </c>
      <c r="H320">
        <v>2.21</v>
      </c>
      <c r="I320">
        <v>0.96</v>
      </c>
      <c r="J320">
        <v>40.729999999999997</v>
      </c>
      <c r="K320">
        <f t="shared" si="50"/>
        <v>77.699999999999989</v>
      </c>
      <c r="L320">
        <f t="shared" si="51"/>
        <v>90.83</v>
      </c>
      <c r="M320">
        <f t="shared" si="52"/>
        <v>45.95</v>
      </c>
      <c r="N320">
        <f t="shared" si="53"/>
        <v>5.51</v>
      </c>
      <c r="O320">
        <f t="shared" si="54"/>
        <v>2.7625000000000002</v>
      </c>
      <c r="P320">
        <f t="shared" si="55"/>
        <v>10.909090909090908</v>
      </c>
      <c r="Q320">
        <f t="shared" si="56"/>
        <v>37.712962962962962</v>
      </c>
      <c r="R320">
        <f t="shared" si="57"/>
        <v>90.83</v>
      </c>
      <c r="S320" t="str">
        <f t="shared" si="58"/>
        <v>Satisfactory</v>
      </c>
      <c r="T320" t="str">
        <f t="shared" si="59"/>
        <v>PM10</v>
      </c>
      <c r="U320">
        <v>24.99</v>
      </c>
      <c r="V320">
        <v>71.64</v>
      </c>
    </row>
    <row r="321" spans="1:22" x14ac:dyDescent="0.3">
      <c r="A321" s="2" t="s">
        <v>15</v>
      </c>
      <c r="B321">
        <v>560026</v>
      </c>
      <c r="C321" s="3">
        <v>43797</v>
      </c>
      <c r="D321">
        <v>34.409999999999997</v>
      </c>
      <c r="E321">
        <v>75.010000000000005</v>
      </c>
      <c r="F321">
        <v>34.64</v>
      </c>
      <c r="G321">
        <v>32.090000000000003</v>
      </c>
      <c r="H321">
        <v>1.92</v>
      </c>
      <c r="I321">
        <v>0.84</v>
      </c>
      <c r="J321">
        <v>37.619999999999997</v>
      </c>
      <c r="K321">
        <f t="shared" si="50"/>
        <v>57.349999999999994</v>
      </c>
      <c r="L321">
        <f t="shared" si="51"/>
        <v>75.010000000000005</v>
      </c>
      <c r="M321">
        <f t="shared" si="52"/>
        <v>43.3</v>
      </c>
      <c r="N321">
        <f t="shared" si="53"/>
        <v>8.0225000000000009</v>
      </c>
      <c r="O321">
        <f t="shared" si="54"/>
        <v>2.4</v>
      </c>
      <c r="P321">
        <f t="shared" si="55"/>
        <v>9.545454545454545</v>
      </c>
      <c r="Q321">
        <f t="shared" si="56"/>
        <v>34.833333333333329</v>
      </c>
      <c r="R321">
        <f t="shared" si="57"/>
        <v>75.010000000000005</v>
      </c>
      <c r="S321" t="str">
        <f t="shared" si="58"/>
        <v>Satisfactory</v>
      </c>
      <c r="T321" t="str">
        <f t="shared" si="59"/>
        <v>PM10</v>
      </c>
      <c r="U321">
        <v>25.16</v>
      </c>
      <c r="V321">
        <v>70.790000000000006</v>
      </c>
    </row>
    <row r="322" spans="1:22" x14ac:dyDescent="0.3">
      <c r="A322" s="2" t="s">
        <v>15</v>
      </c>
      <c r="B322">
        <v>560026</v>
      </c>
      <c r="C322" s="3">
        <v>43798</v>
      </c>
      <c r="D322">
        <v>37.46</v>
      </c>
      <c r="E322">
        <v>88.22</v>
      </c>
      <c r="F322">
        <v>34.93</v>
      </c>
      <c r="G322">
        <v>16.48</v>
      </c>
      <c r="H322">
        <v>2.33</v>
      </c>
      <c r="I322">
        <v>1.02</v>
      </c>
      <c r="J322">
        <v>4.8499999999999996</v>
      </c>
      <c r="K322">
        <f t="shared" si="50"/>
        <v>62.433333333333337</v>
      </c>
      <c r="L322">
        <f t="shared" si="51"/>
        <v>88.22</v>
      </c>
      <c r="M322">
        <f t="shared" si="52"/>
        <v>43.662500000000001</v>
      </c>
      <c r="N322">
        <f t="shared" si="53"/>
        <v>4.12</v>
      </c>
      <c r="O322">
        <f t="shared" si="54"/>
        <v>2.9125000000000001</v>
      </c>
      <c r="P322">
        <f t="shared" si="55"/>
        <v>11.59090909090909</v>
      </c>
      <c r="Q322">
        <f t="shared" si="56"/>
        <v>4.4907407407407405</v>
      </c>
      <c r="R322">
        <f t="shared" si="57"/>
        <v>88.22</v>
      </c>
      <c r="S322" t="str">
        <f t="shared" si="58"/>
        <v>Satisfactory</v>
      </c>
      <c r="T322" t="str">
        <f t="shared" si="59"/>
        <v>PM10</v>
      </c>
      <c r="U322">
        <v>25.3</v>
      </c>
      <c r="V322">
        <v>69.86</v>
      </c>
    </row>
    <row r="323" spans="1:22" x14ac:dyDescent="0.3">
      <c r="A323" s="2" t="s">
        <v>15</v>
      </c>
      <c r="B323">
        <v>560026</v>
      </c>
      <c r="C323" s="3">
        <v>43799</v>
      </c>
      <c r="D323">
        <v>34.450000000000003</v>
      </c>
      <c r="E323">
        <v>71.25</v>
      </c>
      <c r="F323">
        <v>31.81</v>
      </c>
      <c r="G323">
        <v>8.83</v>
      </c>
      <c r="H323">
        <v>5.1100000000000003</v>
      </c>
      <c r="I323">
        <v>0.96</v>
      </c>
      <c r="J323">
        <v>9.18</v>
      </c>
      <c r="K323">
        <f t="shared" si="50"/>
        <v>57.416666666666671</v>
      </c>
      <c r="L323">
        <f t="shared" si="51"/>
        <v>71.25</v>
      </c>
      <c r="M323">
        <f t="shared" si="52"/>
        <v>39.762500000000003</v>
      </c>
      <c r="N323">
        <f t="shared" si="53"/>
        <v>2.2075</v>
      </c>
      <c r="O323">
        <f t="shared" si="54"/>
        <v>6.3875000000000011</v>
      </c>
      <c r="P323">
        <f t="shared" si="55"/>
        <v>10.909090909090908</v>
      </c>
      <c r="Q323">
        <f t="shared" si="56"/>
        <v>8.5</v>
      </c>
      <c r="R323">
        <f t="shared" si="57"/>
        <v>71.25</v>
      </c>
      <c r="S323" t="str">
        <f t="shared" si="58"/>
        <v>Satisfactory</v>
      </c>
      <c r="T323" t="str">
        <f t="shared" si="59"/>
        <v>PM10</v>
      </c>
      <c r="U323">
        <v>24.38</v>
      </c>
      <c r="V323">
        <v>76.069999999999993</v>
      </c>
    </row>
    <row r="324" spans="1:22" x14ac:dyDescent="0.3">
      <c r="A324" s="2" t="s">
        <v>15</v>
      </c>
      <c r="B324">
        <v>560026</v>
      </c>
      <c r="C324" s="3">
        <v>43800</v>
      </c>
      <c r="D324">
        <v>26.56</v>
      </c>
      <c r="E324">
        <v>41.89</v>
      </c>
      <c r="F324">
        <v>29.26</v>
      </c>
      <c r="G324">
        <v>5.18</v>
      </c>
      <c r="H324">
        <v>6.86</v>
      </c>
      <c r="I324">
        <v>0.72</v>
      </c>
      <c r="J324">
        <v>5.81</v>
      </c>
      <c r="K324">
        <f t="shared" si="50"/>
        <v>44.266666666666666</v>
      </c>
      <c r="L324">
        <f t="shared" si="51"/>
        <v>41.89</v>
      </c>
      <c r="M324">
        <f t="shared" si="52"/>
        <v>36.575000000000003</v>
      </c>
      <c r="N324">
        <f t="shared" si="53"/>
        <v>1.2949999999999999</v>
      </c>
      <c r="O324">
        <f t="shared" si="54"/>
        <v>8.5749999999999993</v>
      </c>
      <c r="P324">
        <f t="shared" si="55"/>
        <v>8.1818181818181817</v>
      </c>
      <c r="Q324">
        <f t="shared" si="56"/>
        <v>5.3796296296296289</v>
      </c>
      <c r="R324">
        <f t="shared" si="57"/>
        <v>44.266666666666666</v>
      </c>
      <c r="S324" t="str">
        <f t="shared" si="58"/>
        <v>Good</v>
      </c>
      <c r="T324" t="str">
        <f t="shared" si="59"/>
        <v>PM2.5</v>
      </c>
      <c r="U324">
        <v>23.78</v>
      </c>
      <c r="V324">
        <v>83.17</v>
      </c>
    </row>
    <row r="325" spans="1:22" x14ac:dyDescent="0.3">
      <c r="A325" s="2" t="s">
        <v>15</v>
      </c>
      <c r="B325">
        <v>560026</v>
      </c>
      <c r="C325" s="3">
        <v>43801</v>
      </c>
      <c r="D325">
        <v>19.7</v>
      </c>
      <c r="E325">
        <v>44.95</v>
      </c>
      <c r="F325">
        <v>31.5</v>
      </c>
      <c r="G325">
        <v>3.14</v>
      </c>
      <c r="H325">
        <v>6.61</v>
      </c>
      <c r="I325">
        <v>0.62</v>
      </c>
      <c r="J325">
        <v>24.4</v>
      </c>
      <c r="K325">
        <f t="shared" si="50"/>
        <v>32.833333333333336</v>
      </c>
      <c r="L325">
        <f t="shared" si="51"/>
        <v>44.95</v>
      </c>
      <c r="M325">
        <f t="shared" si="52"/>
        <v>39.375</v>
      </c>
      <c r="N325">
        <f t="shared" si="53"/>
        <v>0.78500000000000003</v>
      </c>
      <c r="O325">
        <f t="shared" si="54"/>
        <v>8.2624999999999993</v>
      </c>
      <c r="P325">
        <f t="shared" si="55"/>
        <v>7.045454545454545</v>
      </c>
      <c r="Q325">
        <f t="shared" si="56"/>
        <v>22.592592592592592</v>
      </c>
      <c r="R325">
        <f t="shared" si="57"/>
        <v>44.95</v>
      </c>
      <c r="S325" t="str">
        <f t="shared" si="58"/>
        <v>Good</v>
      </c>
      <c r="T325" t="str">
        <f t="shared" si="59"/>
        <v>PM10</v>
      </c>
      <c r="U325">
        <v>24.06</v>
      </c>
      <c r="V325">
        <v>78.42</v>
      </c>
    </row>
    <row r="326" spans="1:22" x14ac:dyDescent="0.3">
      <c r="A326" s="2" t="s">
        <v>15</v>
      </c>
      <c r="B326">
        <v>560026</v>
      </c>
      <c r="C326" s="3">
        <v>43802</v>
      </c>
      <c r="D326">
        <v>30.32</v>
      </c>
      <c r="E326">
        <v>73.19</v>
      </c>
      <c r="F326">
        <v>47.36</v>
      </c>
      <c r="G326">
        <v>6.52</v>
      </c>
      <c r="H326">
        <v>7.25</v>
      </c>
      <c r="I326">
        <v>0.9</v>
      </c>
      <c r="J326">
        <v>45.9</v>
      </c>
      <c r="K326">
        <f t="shared" si="50"/>
        <v>50.533333333333331</v>
      </c>
      <c r="L326">
        <f t="shared" si="51"/>
        <v>73.19</v>
      </c>
      <c r="M326">
        <f t="shared" si="52"/>
        <v>59.2</v>
      </c>
      <c r="N326">
        <f t="shared" si="53"/>
        <v>1.63</v>
      </c>
      <c r="O326">
        <f t="shared" si="54"/>
        <v>9.0625</v>
      </c>
      <c r="P326">
        <f t="shared" si="55"/>
        <v>10.227272727272727</v>
      </c>
      <c r="Q326">
        <f t="shared" si="56"/>
        <v>42.5</v>
      </c>
      <c r="R326">
        <f t="shared" si="57"/>
        <v>73.19</v>
      </c>
      <c r="S326" t="str">
        <f t="shared" si="58"/>
        <v>Satisfactory</v>
      </c>
      <c r="T326" t="str">
        <f t="shared" si="59"/>
        <v>PM10</v>
      </c>
      <c r="U326">
        <v>24.03</v>
      </c>
      <c r="V326">
        <v>72.84</v>
      </c>
    </row>
    <row r="327" spans="1:22" x14ac:dyDescent="0.3">
      <c r="A327" s="2" t="s">
        <v>15</v>
      </c>
      <c r="B327">
        <v>560026</v>
      </c>
      <c r="C327" s="3">
        <v>43803</v>
      </c>
      <c r="D327">
        <v>38.35</v>
      </c>
      <c r="E327">
        <v>82.51</v>
      </c>
      <c r="F327">
        <v>50.9</v>
      </c>
      <c r="G327">
        <v>4.22</v>
      </c>
      <c r="H327">
        <v>7.11</v>
      </c>
      <c r="I327">
        <v>0.83</v>
      </c>
      <c r="J327">
        <v>84.11</v>
      </c>
      <c r="K327">
        <f t="shared" si="50"/>
        <v>63.916666666666671</v>
      </c>
      <c r="L327">
        <f t="shared" si="51"/>
        <v>82.51</v>
      </c>
      <c r="M327">
        <f t="shared" si="52"/>
        <v>63.625</v>
      </c>
      <c r="N327">
        <f t="shared" si="53"/>
        <v>1.0549999999999999</v>
      </c>
      <c r="O327">
        <f t="shared" si="54"/>
        <v>8.8874999999999993</v>
      </c>
      <c r="P327">
        <f t="shared" si="55"/>
        <v>9.4318181818181817</v>
      </c>
      <c r="Q327">
        <f t="shared" si="56"/>
        <v>146.88499999999999</v>
      </c>
      <c r="R327">
        <f t="shared" si="57"/>
        <v>146.88499999999999</v>
      </c>
      <c r="S327" t="str">
        <f t="shared" si="58"/>
        <v>Moderate</v>
      </c>
      <c r="T327" t="str">
        <f t="shared" si="59"/>
        <v>OZONE</v>
      </c>
      <c r="U327">
        <v>24.03</v>
      </c>
      <c r="V327">
        <v>70.569999999999993</v>
      </c>
    </row>
    <row r="328" spans="1:22" x14ac:dyDescent="0.3">
      <c r="A328" s="2" t="s">
        <v>15</v>
      </c>
      <c r="B328">
        <v>560026</v>
      </c>
      <c r="C328" s="3">
        <v>43804</v>
      </c>
      <c r="D328">
        <v>56.39</v>
      </c>
      <c r="E328">
        <v>110.44</v>
      </c>
      <c r="F328">
        <v>59.78</v>
      </c>
      <c r="G328">
        <v>6.58</v>
      </c>
      <c r="H328">
        <v>7.2</v>
      </c>
      <c r="I328">
        <v>0.87</v>
      </c>
      <c r="J328">
        <v>59.48</v>
      </c>
      <c r="K328">
        <f t="shared" si="50"/>
        <v>93.983333333333334</v>
      </c>
      <c r="L328">
        <f t="shared" si="51"/>
        <v>106.96</v>
      </c>
      <c r="M328">
        <f t="shared" si="52"/>
        <v>74.724999999999994</v>
      </c>
      <c r="N328">
        <f t="shared" si="53"/>
        <v>1.645</v>
      </c>
      <c r="O328">
        <f t="shared" si="54"/>
        <v>9</v>
      </c>
      <c r="P328">
        <f t="shared" si="55"/>
        <v>9.8863636363636367</v>
      </c>
      <c r="Q328">
        <f t="shared" si="56"/>
        <v>65.634666666666661</v>
      </c>
      <c r="R328">
        <f t="shared" si="57"/>
        <v>106.96</v>
      </c>
      <c r="S328" t="str">
        <f t="shared" si="58"/>
        <v>Moderate</v>
      </c>
      <c r="T328" t="str">
        <f t="shared" si="59"/>
        <v>PM10</v>
      </c>
      <c r="U328">
        <v>23.84</v>
      </c>
      <c r="V328">
        <v>66.34</v>
      </c>
    </row>
    <row r="329" spans="1:22" x14ac:dyDescent="0.3">
      <c r="A329" s="2" t="s">
        <v>15</v>
      </c>
      <c r="B329">
        <v>560026</v>
      </c>
      <c r="C329" s="3">
        <v>43805</v>
      </c>
      <c r="D329">
        <v>56.47</v>
      </c>
      <c r="E329">
        <v>107.03</v>
      </c>
      <c r="F329">
        <v>61.65</v>
      </c>
      <c r="G329">
        <v>6.44</v>
      </c>
      <c r="H329">
        <v>7.04</v>
      </c>
      <c r="I329">
        <v>0.79</v>
      </c>
      <c r="J329">
        <v>58.68</v>
      </c>
      <c r="K329">
        <f t="shared" si="50"/>
        <v>94.116666666666674</v>
      </c>
      <c r="L329">
        <f t="shared" si="51"/>
        <v>104.68666666666667</v>
      </c>
      <c r="M329">
        <f t="shared" si="52"/>
        <v>77.0625</v>
      </c>
      <c r="N329">
        <f t="shared" si="53"/>
        <v>1.61</v>
      </c>
      <c r="O329">
        <f t="shared" si="54"/>
        <v>8.8000000000000007</v>
      </c>
      <c r="P329">
        <f t="shared" si="55"/>
        <v>8.9772727272727266</v>
      </c>
      <c r="Q329">
        <f t="shared" si="56"/>
        <v>63.021333333333331</v>
      </c>
      <c r="R329">
        <f t="shared" si="57"/>
        <v>104.68666666666667</v>
      </c>
      <c r="S329" t="str">
        <f t="shared" si="58"/>
        <v>Moderate</v>
      </c>
      <c r="T329" t="str">
        <f t="shared" si="59"/>
        <v>PM10</v>
      </c>
      <c r="U329">
        <v>23.69</v>
      </c>
      <c r="V329">
        <v>68.75</v>
      </c>
    </row>
    <row r="330" spans="1:22" x14ac:dyDescent="0.3">
      <c r="A330" s="2" t="s">
        <v>15</v>
      </c>
      <c r="B330">
        <v>560026</v>
      </c>
      <c r="C330" s="3">
        <v>43806</v>
      </c>
      <c r="D330">
        <v>39.57</v>
      </c>
      <c r="E330">
        <v>80.25</v>
      </c>
      <c r="F330">
        <v>61.75</v>
      </c>
      <c r="G330">
        <v>4.93</v>
      </c>
      <c r="H330">
        <v>8.07</v>
      </c>
      <c r="I330">
        <v>0.85</v>
      </c>
      <c r="J330">
        <v>36.26</v>
      </c>
      <c r="K330">
        <f t="shared" si="50"/>
        <v>65.95</v>
      </c>
      <c r="L330">
        <f t="shared" si="51"/>
        <v>80.25</v>
      </c>
      <c r="M330">
        <f t="shared" si="52"/>
        <v>77.1875</v>
      </c>
      <c r="N330">
        <f t="shared" si="53"/>
        <v>1.2324999999999999</v>
      </c>
      <c r="O330">
        <f t="shared" si="54"/>
        <v>10.0875</v>
      </c>
      <c r="P330">
        <f t="shared" si="55"/>
        <v>9.6590909090909083</v>
      </c>
      <c r="Q330">
        <f t="shared" si="56"/>
        <v>33.574074074074069</v>
      </c>
      <c r="R330">
        <f t="shared" si="57"/>
        <v>80.25</v>
      </c>
      <c r="S330" t="str">
        <f t="shared" si="58"/>
        <v>Satisfactory</v>
      </c>
      <c r="T330" t="str">
        <f t="shared" si="59"/>
        <v>PM10</v>
      </c>
      <c r="U330">
        <v>23.3</v>
      </c>
      <c r="V330">
        <v>75.44</v>
      </c>
    </row>
    <row r="331" spans="1:22" x14ac:dyDescent="0.3">
      <c r="A331" s="2" t="s">
        <v>15</v>
      </c>
      <c r="B331">
        <v>560026</v>
      </c>
      <c r="C331" s="3">
        <v>43807</v>
      </c>
      <c r="D331">
        <v>23.56</v>
      </c>
      <c r="E331">
        <v>54.4</v>
      </c>
      <c r="F331">
        <v>43.97</v>
      </c>
      <c r="G331">
        <v>3.16</v>
      </c>
      <c r="H331">
        <v>8.4600000000000009</v>
      </c>
      <c r="I331">
        <v>0.68</v>
      </c>
      <c r="J331">
        <v>37.26</v>
      </c>
      <c r="K331">
        <f t="shared" si="50"/>
        <v>39.266666666666666</v>
      </c>
      <c r="L331">
        <f t="shared" si="51"/>
        <v>54.4</v>
      </c>
      <c r="M331">
        <f t="shared" si="52"/>
        <v>54.962499999999999</v>
      </c>
      <c r="N331">
        <f t="shared" si="53"/>
        <v>0.79</v>
      </c>
      <c r="O331">
        <f t="shared" si="54"/>
        <v>10.575000000000001</v>
      </c>
      <c r="P331">
        <f t="shared" si="55"/>
        <v>7.7272727272727275</v>
      </c>
      <c r="Q331">
        <f t="shared" si="56"/>
        <v>34.5</v>
      </c>
      <c r="R331">
        <f t="shared" si="57"/>
        <v>54.962499999999999</v>
      </c>
      <c r="S331" t="str">
        <f t="shared" si="58"/>
        <v>Satisfactory</v>
      </c>
      <c r="T331" t="str">
        <f t="shared" si="59"/>
        <v>NO2</v>
      </c>
      <c r="U331">
        <v>23.42</v>
      </c>
      <c r="V331">
        <v>76.2</v>
      </c>
    </row>
    <row r="332" spans="1:22" x14ac:dyDescent="0.3">
      <c r="A332" s="2" t="s">
        <v>15</v>
      </c>
      <c r="B332">
        <v>560026</v>
      </c>
      <c r="C332" s="3">
        <v>43808</v>
      </c>
      <c r="D332">
        <v>24.92</v>
      </c>
      <c r="E332">
        <v>63.31</v>
      </c>
      <c r="F332">
        <v>48.12</v>
      </c>
      <c r="G332">
        <v>3.32</v>
      </c>
      <c r="H332">
        <v>8.5299999999999994</v>
      </c>
      <c r="I332">
        <v>0.83</v>
      </c>
      <c r="J332">
        <v>35.119999999999997</v>
      </c>
      <c r="K332">
        <f t="shared" si="50"/>
        <v>41.533333333333331</v>
      </c>
      <c r="L332">
        <f t="shared" si="51"/>
        <v>63.31</v>
      </c>
      <c r="M332">
        <f t="shared" si="52"/>
        <v>60.15</v>
      </c>
      <c r="N332">
        <f t="shared" si="53"/>
        <v>0.83</v>
      </c>
      <c r="O332">
        <f t="shared" si="54"/>
        <v>10.662499999999998</v>
      </c>
      <c r="P332">
        <f t="shared" si="55"/>
        <v>9.4318181818181817</v>
      </c>
      <c r="Q332">
        <f t="shared" si="56"/>
        <v>32.518518518518519</v>
      </c>
      <c r="R332">
        <f t="shared" si="57"/>
        <v>63.31</v>
      </c>
      <c r="S332" t="str">
        <f t="shared" si="58"/>
        <v>Satisfactory</v>
      </c>
      <c r="T332" t="str">
        <f t="shared" si="59"/>
        <v>PM10</v>
      </c>
      <c r="U332">
        <v>23.99</v>
      </c>
      <c r="V332">
        <v>67.459999999999994</v>
      </c>
    </row>
    <row r="333" spans="1:22" x14ac:dyDescent="0.3">
      <c r="A333" s="2" t="s">
        <v>15</v>
      </c>
      <c r="B333">
        <v>560026</v>
      </c>
      <c r="C333" s="3">
        <v>43809</v>
      </c>
      <c r="D333">
        <v>19.399999999999999</v>
      </c>
      <c r="E333">
        <v>55.45</v>
      </c>
      <c r="F333">
        <v>42.63</v>
      </c>
      <c r="G333">
        <v>2.78</v>
      </c>
      <c r="H333">
        <v>8.58</v>
      </c>
      <c r="I333">
        <v>0.7</v>
      </c>
      <c r="J333">
        <v>48.55</v>
      </c>
      <c r="K333">
        <f t="shared" si="50"/>
        <v>32.333333333333329</v>
      </c>
      <c r="L333">
        <f t="shared" si="51"/>
        <v>55.45</v>
      </c>
      <c r="M333">
        <f t="shared" si="52"/>
        <v>53.287500000000001</v>
      </c>
      <c r="N333">
        <f t="shared" si="53"/>
        <v>0.69499999999999995</v>
      </c>
      <c r="O333">
        <f t="shared" si="54"/>
        <v>10.725</v>
      </c>
      <c r="P333">
        <f t="shared" si="55"/>
        <v>7.9545454545454541</v>
      </c>
      <c r="Q333">
        <f t="shared" si="56"/>
        <v>44.953703703703702</v>
      </c>
      <c r="R333">
        <f t="shared" si="57"/>
        <v>55.45</v>
      </c>
      <c r="S333" t="str">
        <f t="shared" si="58"/>
        <v>Satisfactory</v>
      </c>
      <c r="T333" t="str">
        <f t="shared" si="59"/>
        <v>PM10</v>
      </c>
      <c r="U333">
        <v>24.37</v>
      </c>
      <c r="V333">
        <v>64.930000000000007</v>
      </c>
    </row>
    <row r="334" spans="1:22" x14ac:dyDescent="0.3">
      <c r="A334" s="2" t="s">
        <v>15</v>
      </c>
      <c r="B334">
        <v>560026</v>
      </c>
      <c r="C334" s="3">
        <v>43810</v>
      </c>
      <c r="D334">
        <v>27.74</v>
      </c>
      <c r="E334">
        <v>80.06</v>
      </c>
      <c r="F334">
        <v>60.28</v>
      </c>
      <c r="G334">
        <v>8.39</v>
      </c>
      <c r="H334">
        <v>8.8800000000000008</v>
      </c>
      <c r="I334">
        <v>0.91</v>
      </c>
      <c r="J334">
        <v>55.1</v>
      </c>
      <c r="K334">
        <f t="shared" si="50"/>
        <v>46.233333333333334</v>
      </c>
      <c r="L334">
        <f t="shared" si="51"/>
        <v>80.06</v>
      </c>
      <c r="M334">
        <f t="shared" si="52"/>
        <v>75.349999999999994</v>
      </c>
      <c r="N334">
        <f t="shared" si="53"/>
        <v>2.0975000000000001</v>
      </c>
      <c r="O334">
        <f t="shared" si="54"/>
        <v>11.100000000000001</v>
      </c>
      <c r="P334">
        <f t="shared" si="55"/>
        <v>10.340909090909092</v>
      </c>
      <c r="Q334">
        <f t="shared" si="56"/>
        <v>51.326666666666668</v>
      </c>
      <c r="R334">
        <f t="shared" si="57"/>
        <v>80.06</v>
      </c>
      <c r="S334" t="str">
        <f t="shared" si="58"/>
        <v>Satisfactory</v>
      </c>
      <c r="T334" t="str">
        <f t="shared" si="59"/>
        <v>PM10</v>
      </c>
      <c r="U334">
        <v>25.56</v>
      </c>
      <c r="V334">
        <v>56.74</v>
      </c>
    </row>
    <row r="335" spans="1:22" x14ac:dyDescent="0.3">
      <c r="A335" s="2" t="s">
        <v>15</v>
      </c>
      <c r="B335">
        <v>560026</v>
      </c>
      <c r="C335" s="3">
        <v>43811</v>
      </c>
      <c r="D335">
        <v>27.62</v>
      </c>
      <c r="E335">
        <v>71.63</v>
      </c>
      <c r="F335">
        <v>48.55</v>
      </c>
      <c r="G335">
        <v>3.24</v>
      </c>
      <c r="H335">
        <v>8.39</v>
      </c>
      <c r="I335">
        <v>0.75</v>
      </c>
      <c r="J335">
        <v>57.07</v>
      </c>
      <c r="K335">
        <f t="shared" si="50"/>
        <v>46.033333333333331</v>
      </c>
      <c r="L335">
        <f t="shared" si="51"/>
        <v>71.63</v>
      </c>
      <c r="M335">
        <f t="shared" si="52"/>
        <v>60.6875</v>
      </c>
      <c r="N335">
        <f t="shared" si="53"/>
        <v>0.81</v>
      </c>
      <c r="O335">
        <f t="shared" si="54"/>
        <v>10.487500000000001</v>
      </c>
      <c r="P335">
        <f t="shared" si="55"/>
        <v>8.5227272727272734</v>
      </c>
      <c r="Q335">
        <f t="shared" si="56"/>
        <v>57.762</v>
      </c>
      <c r="R335">
        <f t="shared" si="57"/>
        <v>71.63</v>
      </c>
      <c r="S335" t="str">
        <f t="shared" si="58"/>
        <v>Satisfactory</v>
      </c>
      <c r="T335" t="str">
        <f t="shared" si="59"/>
        <v>PM10</v>
      </c>
      <c r="U335">
        <v>23.97</v>
      </c>
      <c r="V335">
        <v>65.44</v>
      </c>
    </row>
    <row r="336" spans="1:22" x14ac:dyDescent="0.3">
      <c r="A336" s="2" t="s">
        <v>15</v>
      </c>
      <c r="B336">
        <v>560026</v>
      </c>
      <c r="C336" s="3">
        <v>43812</v>
      </c>
      <c r="D336">
        <v>31.06</v>
      </c>
      <c r="E336">
        <v>70.989999999999995</v>
      </c>
      <c r="F336">
        <v>47.57</v>
      </c>
      <c r="G336">
        <v>3.78</v>
      </c>
      <c r="H336">
        <v>8.59</v>
      </c>
      <c r="I336">
        <v>0.7</v>
      </c>
      <c r="J336">
        <v>49.15</v>
      </c>
      <c r="K336">
        <f t="shared" si="50"/>
        <v>51.766666666666666</v>
      </c>
      <c r="L336">
        <f t="shared" si="51"/>
        <v>70.989999999999995</v>
      </c>
      <c r="M336">
        <f t="shared" si="52"/>
        <v>59.462499999999999</v>
      </c>
      <c r="N336">
        <f t="shared" si="53"/>
        <v>0.94499999999999995</v>
      </c>
      <c r="O336">
        <f t="shared" si="54"/>
        <v>10.737500000000001</v>
      </c>
      <c r="P336">
        <f t="shared" si="55"/>
        <v>7.9545454545454541</v>
      </c>
      <c r="Q336">
        <f t="shared" si="56"/>
        <v>45.50925925925926</v>
      </c>
      <c r="R336">
        <f t="shared" si="57"/>
        <v>70.989999999999995</v>
      </c>
      <c r="S336" t="str">
        <f t="shared" si="58"/>
        <v>Satisfactory</v>
      </c>
      <c r="T336" t="str">
        <f t="shared" si="59"/>
        <v>PM10</v>
      </c>
      <c r="U336">
        <v>24.48</v>
      </c>
      <c r="V336">
        <v>67.67</v>
      </c>
    </row>
    <row r="337" spans="1:22" x14ac:dyDescent="0.3">
      <c r="A337" s="2" t="s">
        <v>15</v>
      </c>
      <c r="B337">
        <v>560026</v>
      </c>
      <c r="C337" s="3">
        <v>43813</v>
      </c>
      <c r="D337">
        <v>22.53</v>
      </c>
      <c r="E337">
        <v>54.59</v>
      </c>
      <c r="F337">
        <v>45.35</v>
      </c>
      <c r="G337">
        <v>2.71</v>
      </c>
      <c r="H337">
        <v>8.48</v>
      </c>
      <c r="I337">
        <v>0.8</v>
      </c>
      <c r="J337">
        <v>28.95</v>
      </c>
      <c r="K337">
        <f t="shared" si="50"/>
        <v>37.549999999999997</v>
      </c>
      <c r="L337">
        <f t="shared" si="51"/>
        <v>54.59</v>
      </c>
      <c r="M337">
        <f t="shared" si="52"/>
        <v>56.6875</v>
      </c>
      <c r="N337">
        <f t="shared" si="53"/>
        <v>0.67749999999999999</v>
      </c>
      <c r="O337">
        <f t="shared" si="54"/>
        <v>10.6</v>
      </c>
      <c r="P337">
        <f t="shared" si="55"/>
        <v>9.0909090909090917</v>
      </c>
      <c r="Q337">
        <f t="shared" si="56"/>
        <v>26.805555555555554</v>
      </c>
      <c r="R337">
        <f t="shared" si="57"/>
        <v>56.6875</v>
      </c>
      <c r="S337" t="str">
        <f t="shared" si="58"/>
        <v>Satisfactory</v>
      </c>
      <c r="T337" t="str">
        <f t="shared" si="59"/>
        <v>NO2</v>
      </c>
      <c r="U337">
        <v>24.09</v>
      </c>
      <c r="V337">
        <v>75.72</v>
      </c>
    </row>
    <row r="338" spans="1:22" x14ac:dyDescent="0.3">
      <c r="A338" s="2" t="s">
        <v>15</v>
      </c>
      <c r="B338">
        <v>560026</v>
      </c>
      <c r="C338" s="3">
        <v>43814</v>
      </c>
      <c r="D338">
        <v>26.46</v>
      </c>
      <c r="E338">
        <v>59.41</v>
      </c>
      <c r="F338">
        <v>40.64</v>
      </c>
      <c r="G338">
        <v>3.37</v>
      </c>
      <c r="H338">
        <v>8.4700000000000006</v>
      </c>
      <c r="I338">
        <v>0.6</v>
      </c>
      <c r="J338">
        <v>46.03</v>
      </c>
      <c r="K338">
        <f t="shared" si="50"/>
        <v>44.1</v>
      </c>
      <c r="L338">
        <f t="shared" si="51"/>
        <v>59.41</v>
      </c>
      <c r="M338">
        <f t="shared" si="52"/>
        <v>50.8</v>
      </c>
      <c r="N338">
        <f t="shared" si="53"/>
        <v>0.84250000000000003</v>
      </c>
      <c r="O338">
        <f t="shared" si="54"/>
        <v>10.587500000000002</v>
      </c>
      <c r="P338">
        <f t="shared" si="55"/>
        <v>6.8181818181818175</v>
      </c>
      <c r="Q338">
        <f t="shared" si="56"/>
        <v>42.620370370370374</v>
      </c>
      <c r="R338">
        <f t="shared" si="57"/>
        <v>59.41</v>
      </c>
      <c r="S338" t="str">
        <f t="shared" si="58"/>
        <v>Satisfactory</v>
      </c>
      <c r="T338" t="str">
        <f t="shared" si="59"/>
        <v>PM10</v>
      </c>
      <c r="U338">
        <v>24.09</v>
      </c>
      <c r="V338">
        <v>65.8</v>
      </c>
    </row>
    <row r="339" spans="1:22" x14ac:dyDescent="0.3">
      <c r="A339" s="2" t="s">
        <v>15</v>
      </c>
      <c r="B339">
        <v>560026</v>
      </c>
      <c r="C339" s="3">
        <v>43815</v>
      </c>
      <c r="D339">
        <v>25.99</v>
      </c>
      <c r="E339">
        <v>68.94</v>
      </c>
      <c r="F339">
        <v>43.78</v>
      </c>
      <c r="G339">
        <v>2.92</v>
      </c>
      <c r="H339">
        <v>8.41</v>
      </c>
      <c r="I339">
        <v>0.84</v>
      </c>
      <c r="J339">
        <v>35.51</v>
      </c>
      <c r="K339">
        <f t="shared" si="50"/>
        <v>43.31666666666667</v>
      </c>
      <c r="L339">
        <f t="shared" si="51"/>
        <v>68.94</v>
      </c>
      <c r="M339">
        <f t="shared" si="52"/>
        <v>54.725000000000001</v>
      </c>
      <c r="N339">
        <f t="shared" si="53"/>
        <v>0.73</v>
      </c>
      <c r="O339">
        <f t="shared" si="54"/>
        <v>10.512499999999999</v>
      </c>
      <c r="P339">
        <f t="shared" si="55"/>
        <v>9.545454545454545</v>
      </c>
      <c r="Q339">
        <f t="shared" si="56"/>
        <v>32.879629629629626</v>
      </c>
      <c r="R339">
        <f t="shared" si="57"/>
        <v>68.94</v>
      </c>
      <c r="S339" t="str">
        <f t="shared" si="58"/>
        <v>Satisfactory</v>
      </c>
      <c r="T339" t="str">
        <f t="shared" si="59"/>
        <v>PM10</v>
      </c>
      <c r="U339">
        <v>24.64</v>
      </c>
      <c r="V339">
        <v>67.47</v>
      </c>
    </row>
    <row r="340" spans="1:22" x14ac:dyDescent="0.3">
      <c r="A340" s="2" t="s">
        <v>15</v>
      </c>
      <c r="B340">
        <v>560026</v>
      </c>
      <c r="C340" s="3">
        <v>43816</v>
      </c>
      <c r="D340">
        <v>28.94</v>
      </c>
      <c r="E340">
        <v>72.209999999999994</v>
      </c>
      <c r="F340">
        <v>47.19</v>
      </c>
      <c r="G340">
        <v>3.33</v>
      </c>
      <c r="H340">
        <v>8.6999999999999993</v>
      </c>
      <c r="I340">
        <v>0.79</v>
      </c>
      <c r="J340">
        <v>33.69</v>
      </c>
      <c r="K340">
        <f t="shared" si="50"/>
        <v>48.233333333333334</v>
      </c>
      <c r="L340">
        <f t="shared" si="51"/>
        <v>72.209999999999994</v>
      </c>
      <c r="M340">
        <f t="shared" si="52"/>
        <v>58.987499999999997</v>
      </c>
      <c r="N340">
        <f t="shared" si="53"/>
        <v>0.83250000000000002</v>
      </c>
      <c r="O340">
        <f t="shared" si="54"/>
        <v>10.874999999999998</v>
      </c>
      <c r="P340">
        <f t="shared" si="55"/>
        <v>8.9772727272727266</v>
      </c>
      <c r="Q340">
        <f t="shared" si="56"/>
        <v>31.194444444444443</v>
      </c>
      <c r="R340">
        <f t="shared" si="57"/>
        <v>72.209999999999994</v>
      </c>
      <c r="S340" t="str">
        <f t="shared" si="58"/>
        <v>Satisfactory</v>
      </c>
      <c r="T340" t="str">
        <f t="shared" si="59"/>
        <v>PM10</v>
      </c>
      <c r="U340">
        <v>24.38</v>
      </c>
      <c r="V340">
        <v>67.900000000000006</v>
      </c>
    </row>
    <row r="341" spans="1:22" x14ac:dyDescent="0.3">
      <c r="A341" s="2" t="s">
        <v>15</v>
      </c>
      <c r="B341">
        <v>560026</v>
      </c>
      <c r="C341" s="3">
        <v>43817</v>
      </c>
      <c r="D341">
        <v>39.78</v>
      </c>
      <c r="E341">
        <v>89.71</v>
      </c>
      <c r="F341">
        <v>47.34</v>
      </c>
      <c r="G341">
        <v>3.69</v>
      </c>
      <c r="H341">
        <v>8.3699999999999992</v>
      </c>
      <c r="I341">
        <v>0.77</v>
      </c>
      <c r="J341">
        <v>36.950000000000003</v>
      </c>
      <c r="K341">
        <f t="shared" si="50"/>
        <v>66.3</v>
      </c>
      <c r="L341">
        <f t="shared" si="51"/>
        <v>89.71</v>
      </c>
      <c r="M341">
        <f t="shared" si="52"/>
        <v>59.175000000000004</v>
      </c>
      <c r="N341">
        <f t="shared" si="53"/>
        <v>0.92249999999999999</v>
      </c>
      <c r="O341">
        <f t="shared" si="54"/>
        <v>10.462499999999999</v>
      </c>
      <c r="P341">
        <f t="shared" si="55"/>
        <v>8.75</v>
      </c>
      <c r="Q341">
        <f t="shared" si="56"/>
        <v>34.212962962962969</v>
      </c>
      <c r="R341">
        <f t="shared" si="57"/>
        <v>89.71</v>
      </c>
      <c r="S341" t="str">
        <f t="shared" si="58"/>
        <v>Satisfactory</v>
      </c>
      <c r="T341" t="str">
        <f t="shared" si="59"/>
        <v>PM10</v>
      </c>
      <c r="U341">
        <v>24.44</v>
      </c>
      <c r="V341">
        <v>66.61</v>
      </c>
    </row>
    <row r="342" spans="1:22" x14ac:dyDescent="0.3">
      <c r="A342" s="2" t="s">
        <v>15</v>
      </c>
      <c r="B342">
        <v>560026</v>
      </c>
      <c r="C342" s="3">
        <v>43818</v>
      </c>
      <c r="D342">
        <v>33.4</v>
      </c>
      <c r="E342">
        <v>75.849999999999994</v>
      </c>
      <c r="F342">
        <v>43.07</v>
      </c>
      <c r="G342">
        <v>3.84</v>
      </c>
      <c r="H342">
        <v>8.43</v>
      </c>
      <c r="I342">
        <v>0.72</v>
      </c>
      <c r="J342">
        <v>27.99</v>
      </c>
      <c r="K342">
        <f t="shared" si="50"/>
        <v>55.666666666666664</v>
      </c>
      <c r="L342">
        <f t="shared" si="51"/>
        <v>75.849999999999994</v>
      </c>
      <c r="M342">
        <f t="shared" si="52"/>
        <v>53.837499999999999</v>
      </c>
      <c r="N342">
        <f t="shared" si="53"/>
        <v>0.96</v>
      </c>
      <c r="O342">
        <f t="shared" si="54"/>
        <v>10.5375</v>
      </c>
      <c r="P342">
        <f t="shared" si="55"/>
        <v>8.1818181818181817</v>
      </c>
      <c r="Q342">
        <f t="shared" si="56"/>
        <v>25.916666666666664</v>
      </c>
      <c r="R342">
        <f t="shared" si="57"/>
        <v>75.849999999999994</v>
      </c>
      <c r="S342" t="str">
        <f t="shared" si="58"/>
        <v>Satisfactory</v>
      </c>
      <c r="T342" t="str">
        <f t="shared" si="59"/>
        <v>PM10</v>
      </c>
      <c r="U342">
        <v>24</v>
      </c>
      <c r="V342">
        <v>68.67</v>
      </c>
    </row>
    <row r="343" spans="1:22" x14ac:dyDescent="0.3">
      <c r="A343" s="2" t="s">
        <v>15</v>
      </c>
      <c r="B343">
        <v>560026</v>
      </c>
      <c r="C343" s="3">
        <v>43819</v>
      </c>
      <c r="D343">
        <v>44.16</v>
      </c>
      <c r="E343">
        <v>96.77</v>
      </c>
      <c r="F343">
        <v>47.39</v>
      </c>
      <c r="G343">
        <v>3.94</v>
      </c>
      <c r="H343">
        <v>7.95</v>
      </c>
      <c r="I343">
        <v>0.83</v>
      </c>
      <c r="J343">
        <v>42.43</v>
      </c>
      <c r="K343">
        <f t="shared" si="50"/>
        <v>73.599999999999994</v>
      </c>
      <c r="L343">
        <f t="shared" si="51"/>
        <v>96.77</v>
      </c>
      <c r="M343">
        <f t="shared" si="52"/>
        <v>59.237499999999997</v>
      </c>
      <c r="N343">
        <f t="shared" si="53"/>
        <v>0.98499999999999999</v>
      </c>
      <c r="O343">
        <f t="shared" si="54"/>
        <v>9.9375</v>
      </c>
      <c r="P343">
        <f t="shared" si="55"/>
        <v>9.4318181818181817</v>
      </c>
      <c r="Q343">
        <f t="shared" si="56"/>
        <v>39.287037037037038</v>
      </c>
      <c r="R343">
        <f t="shared" si="57"/>
        <v>96.77</v>
      </c>
      <c r="S343" t="str">
        <f t="shared" si="58"/>
        <v>Satisfactory</v>
      </c>
      <c r="T343" t="str">
        <f t="shared" si="59"/>
        <v>PM10</v>
      </c>
      <c r="U343">
        <v>23.81</v>
      </c>
      <c r="V343">
        <v>68.5</v>
      </c>
    </row>
    <row r="344" spans="1:22" x14ac:dyDescent="0.3">
      <c r="A344" s="2" t="s">
        <v>15</v>
      </c>
      <c r="B344">
        <v>560026</v>
      </c>
      <c r="C344" s="3">
        <v>43820</v>
      </c>
      <c r="D344">
        <v>43.58</v>
      </c>
      <c r="E344">
        <v>90.11</v>
      </c>
      <c r="F344">
        <v>44.08</v>
      </c>
      <c r="G344">
        <v>4.1500000000000004</v>
      </c>
      <c r="H344">
        <v>8.41</v>
      </c>
      <c r="I344">
        <v>0.68</v>
      </c>
      <c r="J344">
        <v>54.05</v>
      </c>
      <c r="K344">
        <f t="shared" si="50"/>
        <v>72.633333333333326</v>
      </c>
      <c r="L344">
        <f t="shared" si="51"/>
        <v>90.11</v>
      </c>
      <c r="M344">
        <f t="shared" si="52"/>
        <v>55.099999999999994</v>
      </c>
      <c r="N344">
        <f t="shared" si="53"/>
        <v>1.0375000000000001</v>
      </c>
      <c r="O344">
        <f t="shared" si="54"/>
        <v>10.512499999999999</v>
      </c>
      <c r="P344">
        <f t="shared" si="55"/>
        <v>7.7272727272727275</v>
      </c>
      <c r="Q344">
        <f t="shared" si="56"/>
        <v>47.896666666666661</v>
      </c>
      <c r="R344">
        <f t="shared" si="57"/>
        <v>90.11</v>
      </c>
      <c r="S344" t="str">
        <f t="shared" si="58"/>
        <v>Satisfactory</v>
      </c>
      <c r="T344" t="str">
        <f t="shared" si="59"/>
        <v>PM10</v>
      </c>
      <c r="U344">
        <v>24.52</v>
      </c>
      <c r="V344">
        <v>68.17</v>
      </c>
    </row>
    <row r="345" spans="1:22" x14ac:dyDescent="0.3">
      <c r="A345" s="2" t="s">
        <v>15</v>
      </c>
      <c r="B345">
        <v>560026</v>
      </c>
      <c r="C345" s="3">
        <v>43821</v>
      </c>
      <c r="D345">
        <v>45.26</v>
      </c>
      <c r="E345">
        <v>79.45</v>
      </c>
      <c r="F345">
        <v>39.25</v>
      </c>
      <c r="G345">
        <v>3.9</v>
      </c>
      <c r="H345">
        <v>8.36</v>
      </c>
      <c r="I345">
        <v>0.56000000000000005</v>
      </c>
      <c r="J345">
        <v>67.22</v>
      </c>
      <c r="K345">
        <f t="shared" si="50"/>
        <v>75.433333333333337</v>
      </c>
      <c r="L345">
        <f t="shared" si="51"/>
        <v>79.45</v>
      </c>
      <c r="M345">
        <f t="shared" si="52"/>
        <v>49.0625</v>
      </c>
      <c r="N345">
        <f t="shared" si="53"/>
        <v>0.97499999999999998</v>
      </c>
      <c r="O345">
        <f t="shared" si="54"/>
        <v>10.45</v>
      </c>
      <c r="P345">
        <f t="shared" si="55"/>
        <v>6.3636363636363642</v>
      </c>
      <c r="Q345">
        <f t="shared" si="56"/>
        <v>90.918666666666667</v>
      </c>
      <c r="R345">
        <f t="shared" si="57"/>
        <v>90.918666666666667</v>
      </c>
      <c r="S345" t="str">
        <f t="shared" si="58"/>
        <v>Satisfactory</v>
      </c>
      <c r="T345" t="str">
        <f t="shared" si="59"/>
        <v>OZONE</v>
      </c>
      <c r="U345">
        <v>24.69</v>
      </c>
      <c r="V345">
        <v>64.900000000000006</v>
      </c>
    </row>
    <row r="346" spans="1:22" x14ac:dyDescent="0.3">
      <c r="A346" s="2" t="s">
        <v>15</v>
      </c>
      <c r="B346">
        <v>560026</v>
      </c>
      <c r="C346" s="3">
        <v>43822</v>
      </c>
      <c r="D346">
        <v>39.56</v>
      </c>
      <c r="E346">
        <v>85.77</v>
      </c>
      <c r="F346">
        <v>47.21</v>
      </c>
      <c r="G346">
        <v>4.37</v>
      </c>
      <c r="H346">
        <v>7.89</v>
      </c>
      <c r="I346">
        <v>0.71</v>
      </c>
      <c r="J346">
        <v>64.73</v>
      </c>
      <c r="K346">
        <f t="shared" si="50"/>
        <v>65.933333333333337</v>
      </c>
      <c r="L346">
        <f t="shared" si="51"/>
        <v>85.77</v>
      </c>
      <c r="M346">
        <f t="shared" si="52"/>
        <v>59.012500000000003</v>
      </c>
      <c r="N346">
        <f t="shared" si="53"/>
        <v>1.0925</v>
      </c>
      <c r="O346">
        <f t="shared" si="54"/>
        <v>9.8625000000000007</v>
      </c>
      <c r="P346">
        <f t="shared" si="55"/>
        <v>8.0681818181818183</v>
      </c>
      <c r="Q346">
        <f t="shared" si="56"/>
        <v>82.784666666666681</v>
      </c>
      <c r="R346">
        <f t="shared" si="57"/>
        <v>85.77</v>
      </c>
      <c r="S346" t="str">
        <f t="shared" si="58"/>
        <v>Satisfactory</v>
      </c>
      <c r="T346" t="str">
        <f t="shared" si="59"/>
        <v>PM10</v>
      </c>
      <c r="U346">
        <v>24.11</v>
      </c>
      <c r="V346">
        <v>67.34</v>
      </c>
    </row>
    <row r="347" spans="1:22" x14ac:dyDescent="0.3">
      <c r="A347" s="2" t="s">
        <v>15</v>
      </c>
      <c r="B347">
        <v>560026</v>
      </c>
      <c r="C347" s="3">
        <v>43823</v>
      </c>
      <c r="D347">
        <v>31.71</v>
      </c>
      <c r="E347">
        <v>72.03</v>
      </c>
      <c r="F347">
        <v>41.87</v>
      </c>
      <c r="G347">
        <v>2.92</v>
      </c>
      <c r="H347">
        <v>8.68</v>
      </c>
      <c r="I347">
        <v>0.6</v>
      </c>
      <c r="J347">
        <v>45.5</v>
      </c>
      <c r="K347">
        <f t="shared" si="50"/>
        <v>52.85</v>
      </c>
      <c r="L347">
        <f t="shared" si="51"/>
        <v>72.03</v>
      </c>
      <c r="M347">
        <f t="shared" si="52"/>
        <v>52.337499999999999</v>
      </c>
      <c r="N347">
        <f t="shared" si="53"/>
        <v>0.73</v>
      </c>
      <c r="O347">
        <f t="shared" si="54"/>
        <v>10.85</v>
      </c>
      <c r="P347">
        <f t="shared" si="55"/>
        <v>6.8181818181818175</v>
      </c>
      <c r="Q347">
        <f t="shared" si="56"/>
        <v>42.129629629629633</v>
      </c>
      <c r="R347">
        <f t="shared" si="57"/>
        <v>72.03</v>
      </c>
      <c r="S347" t="str">
        <f t="shared" si="58"/>
        <v>Satisfactory</v>
      </c>
      <c r="T347" t="str">
        <f t="shared" si="59"/>
        <v>PM10</v>
      </c>
      <c r="U347">
        <v>24.41</v>
      </c>
      <c r="V347">
        <v>69.12</v>
      </c>
    </row>
    <row r="348" spans="1:22" x14ac:dyDescent="0.3">
      <c r="A348" s="2" t="s">
        <v>15</v>
      </c>
      <c r="B348">
        <v>560026</v>
      </c>
      <c r="C348" s="3">
        <v>43824</v>
      </c>
      <c r="D348">
        <v>32.35</v>
      </c>
      <c r="E348">
        <v>67.38</v>
      </c>
      <c r="F348">
        <v>39.979999999999997</v>
      </c>
      <c r="G348">
        <v>2.44</v>
      </c>
      <c r="H348">
        <v>9.7899999999999991</v>
      </c>
      <c r="I348">
        <v>0.76</v>
      </c>
      <c r="J348">
        <v>37.81</v>
      </c>
      <c r="K348">
        <f t="shared" si="50"/>
        <v>53.916666666666671</v>
      </c>
      <c r="L348">
        <f t="shared" si="51"/>
        <v>67.38</v>
      </c>
      <c r="M348">
        <f t="shared" si="52"/>
        <v>49.974999999999994</v>
      </c>
      <c r="N348">
        <f t="shared" si="53"/>
        <v>0.61</v>
      </c>
      <c r="O348">
        <f t="shared" si="54"/>
        <v>12.237499999999999</v>
      </c>
      <c r="P348">
        <f t="shared" si="55"/>
        <v>8.6363636363636367</v>
      </c>
      <c r="Q348">
        <f t="shared" si="56"/>
        <v>35.00925925925926</v>
      </c>
      <c r="R348">
        <f t="shared" si="57"/>
        <v>67.38</v>
      </c>
      <c r="S348" t="str">
        <f t="shared" si="58"/>
        <v>Satisfactory</v>
      </c>
      <c r="T348" t="str">
        <f t="shared" si="59"/>
        <v>PM10</v>
      </c>
      <c r="U348">
        <v>23.5</v>
      </c>
      <c r="V348">
        <v>74.489999999999995</v>
      </c>
    </row>
    <row r="349" spans="1:22" x14ac:dyDescent="0.3">
      <c r="A349" s="2" t="s">
        <v>15</v>
      </c>
      <c r="B349">
        <v>560026</v>
      </c>
      <c r="C349" s="3">
        <v>43825</v>
      </c>
      <c r="D349">
        <v>43.88</v>
      </c>
      <c r="E349">
        <v>94.09</v>
      </c>
      <c r="F349">
        <v>51.94</v>
      </c>
      <c r="G349">
        <v>3.52</v>
      </c>
      <c r="H349">
        <v>9.19</v>
      </c>
      <c r="I349">
        <v>0.78</v>
      </c>
      <c r="J349">
        <v>56.48</v>
      </c>
      <c r="K349">
        <f t="shared" si="50"/>
        <v>73.13333333333334</v>
      </c>
      <c r="L349">
        <f t="shared" si="51"/>
        <v>94.09</v>
      </c>
      <c r="M349">
        <f t="shared" si="52"/>
        <v>64.924999999999997</v>
      </c>
      <c r="N349">
        <f t="shared" si="53"/>
        <v>0.88</v>
      </c>
      <c r="O349">
        <f t="shared" si="54"/>
        <v>11.487500000000001</v>
      </c>
      <c r="P349">
        <f t="shared" si="55"/>
        <v>8.8636363636363633</v>
      </c>
      <c r="Q349">
        <f t="shared" si="56"/>
        <v>55.834666666666656</v>
      </c>
      <c r="R349">
        <f t="shared" si="57"/>
        <v>94.09</v>
      </c>
      <c r="S349" t="str">
        <f t="shared" si="58"/>
        <v>Satisfactory</v>
      </c>
      <c r="T349" t="str">
        <f t="shared" si="59"/>
        <v>PM10</v>
      </c>
      <c r="U349">
        <v>24.23</v>
      </c>
      <c r="V349">
        <v>68.040000000000006</v>
      </c>
    </row>
    <row r="350" spans="1:22" x14ac:dyDescent="0.3">
      <c r="A350" s="2" t="s">
        <v>15</v>
      </c>
      <c r="B350">
        <v>560026</v>
      </c>
      <c r="C350" s="3">
        <v>43826</v>
      </c>
      <c r="D350">
        <v>42.82</v>
      </c>
      <c r="E350">
        <v>100.53</v>
      </c>
      <c r="F350">
        <v>51.2</v>
      </c>
      <c r="G350">
        <v>3.68</v>
      </c>
      <c r="H350">
        <v>9.11</v>
      </c>
      <c r="I350">
        <v>0.85</v>
      </c>
      <c r="J350">
        <v>54.63</v>
      </c>
      <c r="K350">
        <f t="shared" si="50"/>
        <v>71.366666666666674</v>
      </c>
      <c r="L350">
        <f t="shared" si="51"/>
        <v>100.35333333333334</v>
      </c>
      <c r="M350">
        <f t="shared" si="52"/>
        <v>64</v>
      </c>
      <c r="N350">
        <f t="shared" si="53"/>
        <v>0.92</v>
      </c>
      <c r="O350">
        <f t="shared" si="54"/>
        <v>11.387499999999999</v>
      </c>
      <c r="P350">
        <f t="shared" si="55"/>
        <v>9.6590909090909083</v>
      </c>
      <c r="Q350">
        <f t="shared" si="56"/>
        <v>49.791333333333341</v>
      </c>
      <c r="R350">
        <f t="shared" si="57"/>
        <v>100.35333333333334</v>
      </c>
      <c r="S350" t="str">
        <f t="shared" si="58"/>
        <v>Moderate</v>
      </c>
      <c r="T350" t="str">
        <f t="shared" si="59"/>
        <v>PM10</v>
      </c>
      <c r="U350">
        <v>24.47</v>
      </c>
      <c r="V350">
        <v>65.44</v>
      </c>
    </row>
    <row r="351" spans="1:22" x14ac:dyDescent="0.3">
      <c r="A351" s="2" t="s">
        <v>15</v>
      </c>
      <c r="B351">
        <v>560026</v>
      </c>
      <c r="C351" s="3">
        <v>43827</v>
      </c>
      <c r="D351">
        <v>30.92</v>
      </c>
      <c r="E351">
        <v>73.89</v>
      </c>
      <c r="F351">
        <v>43.96</v>
      </c>
      <c r="G351">
        <v>2.96</v>
      </c>
      <c r="H351">
        <v>8.39</v>
      </c>
      <c r="I351">
        <v>0.6</v>
      </c>
      <c r="J351">
        <v>42.32</v>
      </c>
      <c r="K351">
        <f t="shared" si="50"/>
        <v>51.533333333333339</v>
      </c>
      <c r="L351">
        <f t="shared" si="51"/>
        <v>73.89</v>
      </c>
      <c r="M351">
        <f t="shared" si="52"/>
        <v>54.95</v>
      </c>
      <c r="N351">
        <f t="shared" si="53"/>
        <v>0.74</v>
      </c>
      <c r="O351">
        <f t="shared" si="54"/>
        <v>10.487500000000001</v>
      </c>
      <c r="P351">
        <f t="shared" si="55"/>
        <v>6.8181818181818175</v>
      </c>
      <c r="Q351">
        <f t="shared" si="56"/>
        <v>39.185185185185183</v>
      </c>
      <c r="R351">
        <f t="shared" si="57"/>
        <v>73.89</v>
      </c>
      <c r="S351" t="str">
        <f t="shared" si="58"/>
        <v>Satisfactory</v>
      </c>
      <c r="T351" t="str">
        <f t="shared" si="59"/>
        <v>PM10</v>
      </c>
      <c r="U351">
        <v>23.78</v>
      </c>
      <c r="V351">
        <v>64.91</v>
      </c>
    </row>
    <row r="352" spans="1:22" x14ac:dyDescent="0.3">
      <c r="A352" s="2" t="s">
        <v>15</v>
      </c>
      <c r="B352">
        <v>560026</v>
      </c>
      <c r="C352" s="3">
        <v>43828</v>
      </c>
      <c r="D352">
        <v>36.21</v>
      </c>
      <c r="E352">
        <v>75.750333330000004</v>
      </c>
      <c r="F352">
        <v>42.9</v>
      </c>
      <c r="G352">
        <v>3.11</v>
      </c>
      <c r="H352">
        <v>8.4499999999999993</v>
      </c>
      <c r="I352">
        <v>0.51</v>
      </c>
      <c r="J352">
        <v>60.35</v>
      </c>
      <c r="K352">
        <f t="shared" si="50"/>
        <v>60.35</v>
      </c>
      <c r="L352">
        <f t="shared" si="51"/>
        <v>75.750333330000004</v>
      </c>
      <c r="M352">
        <f t="shared" si="52"/>
        <v>53.625</v>
      </c>
      <c r="N352">
        <f t="shared" si="53"/>
        <v>0.77749999999999997</v>
      </c>
      <c r="O352">
        <f t="shared" si="54"/>
        <v>10.562499999999998</v>
      </c>
      <c r="P352">
        <f t="shared" si="55"/>
        <v>5.795454545454545</v>
      </c>
      <c r="Q352">
        <f t="shared" si="56"/>
        <v>68.476666666666674</v>
      </c>
      <c r="R352">
        <f t="shared" si="57"/>
        <v>75.750333330000004</v>
      </c>
      <c r="S352" t="str">
        <f t="shared" si="58"/>
        <v>Satisfactory</v>
      </c>
      <c r="T352" t="str">
        <f t="shared" si="59"/>
        <v>PM10</v>
      </c>
      <c r="U352">
        <v>23.72</v>
      </c>
      <c r="V352">
        <v>62.96</v>
      </c>
    </row>
    <row r="353" spans="1:22" x14ac:dyDescent="0.3">
      <c r="A353" s="2" t="s">
        <v>15</v>
      </c>
      <c r="B353">
        <v>560026</v>
      </c>
      <c r="C353" s="3">
        <v>43829</v>
      </c>
      <c r="D353">
        <v>35.42</v>
      </c>
      <c r="E353">
        <v>73.5</v>
      </c>
      <c r="F353">
        <v>38.520000000000003</v>
      </c>
      <c r="G353">
        <v>2.66</v>
      </c>
      <c r="H353">
        <v>8.1</v>
      </c>
      <c r="I353">
        <v>0.61</v>
      </c>
      <c r="J353">
        <v>66.31</v>
      </c>
      <c r="K353">
        <f t="shared" si="50"/>
        <v>59.033333333333339</v>
      </c>
      <c r="L353">
        <f t="shared" si="51"/>
        <v>73.5</v>
      </c>
      <c r="M353">
        <f t="shared" si="52"/>
        <v>48.150000000000006</v>
      </c>
      <c r="N353">
        <f t="shared" si="53"/>
        <v>0.66500000000000004</v>
      </c>
      <c r="O353">
        <f t="shared" si="54"/>
        <v>10.125</v>
      </c>
      <c r="P353">
        <f t="shared" si="55"/>
        <v>6.9318181818181817</v>
      </c>
      <c r="Q353">
        <f t="shared" si="56"/>
        <v>87.945999999999998</v>
      </c>
      <c r="R353">
        <f t="shared" si="57"/>
        <v>87.945999999999998</v>
      </c>
      <c r="S353" t="str">
        <f t="shared" si="58"/>
        <v>Satisfactory</v>
      </c>
      <c r="T353" t="str">
        <f t="shared" si="59"/>
        <v>OZONE</v>
      </c>
      <c r="U353">
        <v>23.66</v>
      </c>
      <c r="V353">
        <v>64.94</v>
      </c>
    </row>
    <row r="354" spans="1:22" x14ac:dyDescent="0.3">
      <c r="A354" s="2" t="s">
        <v>15</v>
      </c>
      <c r="B354">
        <v>560026</v>
      </c>
      <c r="C354" s="3">
        <v>43830</v>
      </c>
      <c r="D354">
        <v>39.53</v>
      </c>
      <c r="E354">
        <v>82.18</v>
      </c>
      <c r="F354">
        <v>43.8</v>
      </c>
      <c r="G354">
        <v>2.58</v>
      </c>
      <c r="H354">
        <v>8.3000000000000007</v>
      </c>
      <c r="I354">
        <v>0.67</v>
      </c>
      <c r="J354">
        <v>71.540000000000006</v>
      </c>
      <c r="K354">
        <f t="shared" si="50"/>
        <v>65.88333333333334</v>
      </c>
      <c r="L354">
        <f t="shared" si="51"/>
        <v>82.18</v>
      </c>
      <c r="M354">
        <f t="shared" si="52"/>
        <v>54.75</v>
      </c>
      <c r="N354">
        <f t="shared" si="53"/>
        <v>0.64500000000000002</v>
      </c>
      <c r="O354">
        <f t="shared" si="54"/>
        <v>10.375000000000002</v>
      </c>
      <c r="P354">
        <f t="shared" si="55"/>
        <v>7.6136363636363642</v>
      </c>
      <c r="Q354">
        <f t="shared" si="56"/>
        <v>102.89000000000001</v>
      </c>
      <c r="R354">
        <f t="shared" si="57"/>
        <v>102.89000000000001</v>
      </c>
      <c r="S354" t="str">
        <f t="shared" si="58"/>
        <v>Moderate</v>
      </c>
      <c r="T354" t="str">
        <f t="shared" si="59"/>
        <v>OZONE</v>
      </c>
      <c r="U354">
        <v>23.74</v>
      </c>
      <c r="V354">
        <v>67.58</v>
      </c>
    </row>
    <row r="355" spans="1:22" x14ac:dyDescent="0.3">
      <c r="A355" s="2" t="s">
        <v>15</v>
      </c>
      <c r="B355">
        <v>560026</v>
      </c>
      <c r="C355" s="3">
        <v>43831</v>
      </c>
      <c r="D355">
        <v>30.25</v>
      </c>
      <c r="E355">
        <v>64.25</v>
      </c>
      <c r="F355">
        <v>40.19</v>
      </c>
      <c r="G355">
        <v>2.34</v>
      </c>
      <c r="H355">
        <v>8.32</v>
      </c>
      <c r="I355">
        <v>0.69</v>
      </c>
      <c r="J355">
        <v>42.52</v>
      </c>
      <c r="K355">
        <f t="shared" si="50"/>
        <v>50.416666666666664</v>
      </c>
      <c r="L355">
        <f t="shared" si="51"/>
        <v>64.25</v>
      </c>
      <c r="M355">
        <f t="shared" si="52"/>
        <v>50.237499999999997</v>
      </c>
      <c r="N355">
        <f t="shared" si="53"/>
        <v>0.58499999999999996</v>
      </c>
      <c r="O355">
        <f t="shared" si="54"/>
        <v>10.4</v>
      </c>
      <c r="P355">
        <f t="shared" si="55"/>
        <v>7.8409090909090899</v>
      </c>
      <c r="Q355">
        <f t="shared" si="56"/>
        <v>39.370370370370374</v>
      </c>
      <c r="R355">
        <f t="shared" si="57"/>
        <v>64.25</v>
      </c>
      <c r="S355" t="str">
        <f t="shared" si="58"/>
        <v>Satisfactory</v>
      </c>
      <c r="T355" t="str">
        <f t="shared" si="59"/>
        <v>PM10</v>
      </c>
      <c r="U355">
        <v>23.32</v>
      </c>
      <c r="V355">
        <v>74.040000000000006</v>
      </c>
    </row>
    <row r="356" spans="1:22" x14ac:dyDescent="0.3">
      <c r="A356" s="2" t="s">
        <v>15</v>
      </c>
      <c r="B356">
        <v>560026</v>
      </c>
      <c r="C356" s="3">
        <v>43832</v>
      </c>
      <c r="D356">
        <v>18.670000000000002</v>
      </c>
      <c r="E356">
        <v>50.25</v>
      </c>
      <c r="F356">
        <v>34.200000000000003</v>
      </c>
      <c r="G356">
        <v>1.92</v>
      </c>
      <c r="H356">
        <v>8.36</v>
      </c>
      <c r="I356">
        <v>0.54</v>
      </c>
      <c r="J356">
        <v>48.67</v>
      </c>
      <c r="K356">
        <f t="shared" si="50"/>
        <v>31.116666666666671</v>
      </c>
      <c r="L356">
        <f t="shared" si="51"/>
        <v>50.25</v>
      </c>
      <c r="M356">
        <f t="shared" si="52"/>
        <v>42.750000000000007</v>
      </c>
      <c r="N356">
        <f t="shared" si="53"/>
        <v>0.48</v>
      </c>
      <c r="O356">
        <f t="shared" si="54"/>
        <v>10.45</v>
      </c>
      <c r="P356">
        <f t="shared" si="55"/>
        <v>6.1363636363636367</v>
      </c>
      <c r="Q356">
        <f t="shared" si="56"/>
        <v>45.064814814814817</v>
      </c>
      <c r="R356">
        <f t="shared" si="57"/>
        <v>50.25</v>
      </c>
      <c r="S356" t="str">
        <f t="shared" si="58"/>
        <v>Satisfactory</v>
      </c>
      <c r="T356" t="str">
        <f t="shared" si="59"/>
        <v>PM10</v>
      </c>
      <c r="U356">
        <v>23.95</v>
      </c>
      <c r="V356">
        <v>69.510000000000005</v>
      </c>
    </row>
    <row r="357" spans="1:22" x14ac:dyDescent="0.3">
      <c r="A357" s="2" t="s">
        <v>15</v>
      </c>
      <c r="B357">
        <v>560026</v>
      </c>
      <c r="C357" s="3">
        <v>43833</v>
      </c>
      <c r="D357">
        <v>23.12</v>
      </c>
      <c r="E357">
        <v>59.04</v>
      </c>
      <c r="F357">
        <v>32.130000000000003</v>
      </c>
      <c r="G357">
        <v>2.35</v>
      </c>
      <c r="H357">
        <v>8.42</v>
      </c>
      <c r="I357">
        <v>0.5</v>
      </c>
      <c r="J357">
        <v>53.44</v>
      </c>
      <c r="K357">
        <f t="shared" si="50"/>
        <v>38.533333333333331</v>
      </c>
      <c r="L357">
        <f t="shared" si="51"/>
        <v>59.04</v>
      </c>
      <c r="M357">
        <f t="shared" si="52"/>
        <v>40.162500000000009</v>
      </c>
      <c r="N357">
        <f t="shared" si="53"/>
        <v>0.58750000000000002</v>
      </c>
      <c r="O357">
        <f t="shared" si="54"/>
        <v>10.525</v>
      </c>
      <c r="P357">
        <f t="shared" si="55"/>
        <v>5.6818181818181817</v>
      </c>
      <c r="Q357">
        <f t="shared" si="56"/>
        <v>49.481481481481481</v>
      </c>
      <c r="R357">
        <f t="shared" si="57"/>
        <v>59.04</v>
      </c>
      <c r="S357" t="str">
        <f t="shared" si="58"/>
        <v>Satisfactory</v>
      </c>
      <c r="T357" t="str">
        <f t="shared" si="59"/>
        <v>PM10</v>
      </c>
      <c r="U357">
        <v>25.02</v>
      </c>
      <c r="V357">
        <v>65.69</v>
      </c>
    </row>
    <row r="358" spans="1:22" x14ac:dyDescent="0.3">
      <c r="A358" s="2" t="s">
        <v>15</v>
      </c>
      <c r="B358">
        <v>560026</v>
      </c>
      <c r="C358" s="3">
        <v>43834</v>
      </c>
      <c r="D358">
        <v>46.25</v>
      </c>
      <c r="E358">
        <v>103.42</v>
      </c>
      <c r="F358">
        <v>41.37</v>
      </c>
      <c r="G358">
        <v>3.77</v>
      </c>
      <c r="H358">
        <v>8.39</v>
      </c>
      <c r="I358">
        <v>1.01</v>
      </c>
      <c r="J358">
        <v>68.319999999999993</v>
      </c>
      <c r="K358">
        <f t="shared" si="50"/>
        <v>77.083333333333329</v>
      </c>
      <c r="L358">
        <f t="shared" si="51"/>
        <v>102.28</v>
      </c>
      <c r="M358">
        <f t="shared" si="52"/>
        <v>51.712499999999999</v>
      </c>
      <c r="N358">
        <f t="shared" si="53"/>
        <v>0.9425</v>
      </c>
      <c r="O358">
        <f t="shared" si="54"/>
        <v>10.487500000000001</v>
      </c>
      <c r="P358">
        <f t="shared" si="55"/>
        <v>11.477272727272727</v>
      </c>
      <c r="Q358">
        <f t="shared" si="56"/>
        <v>94.511999999999972</v>
      </c>
      <c r="R358">
        <f t="shared" si="57"/>
        <v>102.28</v>
      </c>
      <c r="S358" t="str">
        <f t="shared" si="58"/>
        <v>Moderate</v>
      </c>
      <c r="T358" t="str">
        <f t="shared" si="59"/>
        <v>PM10</v>
      </c>
      <c r="U358">
        <v>25.31</v>
      </c>
      <c r="V358">
        <v>62.89</v>
      </c>
    </row>
    <row r="359" spans="1:22" x14ac:dyDescent="0.3">
      <c r="A359" s="2" t="s">
        <v>15</v>
      </c>
      <c r="B359">
        <v>560026</v>
      </c>
      <c r="C359" s="3">
        <v>43835</v>
      </c>
      <c r="D359">
        <v>45.02</v>
      </c>
      <c r="E359">
        <v>84.16</v>
      </c>
      <c r="F359">
        <v>29.49</v>
      </c>
      <c r="G359">
        <v>3.3</v>
      </c>
      <c r="H359">
        <v>8.5</v>
      </c>
      <c r="I359">
        <v>0.47</v>
      </c>
      <c r="J359">
        <v>89.69</v>
      </c>
      <c r="K359">
        <f t="shared" si="50"/>
        <v>75.033333333333331</v>
      </c>
      <c r="L359">
        <f t="shared" si="51"/>
        <v>84.16</v>
      </c>
      <c r="M359">
        <f t="shared" si="52"/>
        <v>36.862499999999997</v>
      </c>
      <c r="N359">
        <f t="shared" si="53"/>
        <v>0.82499999999999996</v>
      </c>
      <c r="O359">
        <f t="shared" si="54"/>
        <v>10.625</v>
      </c>
      <c r="P359">
        <f t="shared" si="55"/>
        <v>5.3409090909090908</v>
      </c>
      <c r="Q359">
        <f t="shared" si="56"/>
        <v>160.51631578947368</v>
      </c>
      <c r="R359">
        <f t="shared" si="57"/>
        <v>160.51631578947368</v>
      </c>
      <c r="S359" t="str">
        <f t="shared" si="58"/>
        <v>Moderate</v>
      </c>
      <c r="T359" t="str">
        <f t="shared" si="59"/>
        <v>OZONE</v>
      </c>
      <c r="U359">
        <v>25.66</v>
      </c>
      <c r="V359">
        <v>63.85</v>
      </c>
    </row>
    <row r="360" spans="1:22" x14ac:dyDescent="0.3">
      <c r="A360" s="2" t="s">
        <v>15</v>
      </c>
      <c r="B360">
        <v>560026</v>
      </c>
      <c r="C360" s="3">
        <v>43836</v>
      </c>
      <c r="D360">
        <v>21.93</v>
      </c>
      <c r="E360">
        <v>64.19</v>
      </c>
      <c r="F360">
        <v>50.23</v>
      </c>
      <c r="G360">
        <v>2.9</v>
      </c>
      <c r="H360">
        <v>9.51</v>
      </c>
      <c r="I360">
        <v>0.48</v>
      </c>
      <c r="J360">
        <v>20.96</v>
      </c>
      <c r="K360">
        <f t="shared" si="50"/>
        <v>36.549999999999997</v>
      </c>
      <c r="L360">
        <f t="shared" si="51"/>
        <v>64.19</v>
      </c>
      <c r="M360">
        <f t="shared" si="52"/>
        <v>62.787499999999994</v>
      </c>
      <c r="N360">
        <f t="shared" si="53"/>
        <v>0.72499999999999998</v>
      </c>
      <c r="O360">
        <f t="shared" si="54"/>
        <v>11.887499999999999</v>
      </c>
      <c r="P360">
        <f t="shared" si="55"/>
        <v>5.4545454545454541</v>
      </c>
      <c r="Q360">
        <f t="shared" si="56"/>
        <v>19.407407407407408</v>
      </c>
      <c r="R360">
        <f t="shared" si="57"/>
        <v>64.19</v>
      </c>
      <c r="S360" t="str">
        <f t="shared" si="58"/>
        <v>Satisfactory</v>
      </c>
      <c r="T360" t="str">
        <f t="shared" si="59"/>
        <v>PM10</v>
      </c>
      <c r="U360">
        <v>24.38</v>
      </c>
      <c r="V360">
        <v>68.37</v>
      </c>
    </row>
    <row r="361" spans="1:22" x14ac:dyDescent="0.3">
      <c r="A361" s="2" t="s">
        <v>15</v>
      </c>
      <c r="B361">
        <v>560026</v>
      </c>
      <c r="C361" s="3">
        <v>43837</v>
      </c>
      <c r="D361">
        <v>17.559999999999999</v>
      </c>
      <c r="E361">
        <v>56.42</v>
      </c>
      <c r="F361">
        <v>40.65</v>
      </c>
      <c r="G361">
        <v>2.06</v>
      </c>
      <c r="H361">
        <v>8.25</v>
      </c>
      <c r="I361">
        <v>0.6</v>
      </c>
      <c r="J361">
        <v>38.75</v>
      </c>
      <c r="K361">
        <f t="shared" si="50"/>
        <v>29.266666666666662</v>
      </c>
      <c r="L361">
        <f t="shared" si="51"/>
        <v>56.42</v>
      </c>
      <c r="M361">
        <f t="shared" si="52"/>
        <v>50.8125</v>
      </c>
      <c r="N361">
        <f t="shared" si="53"/>
        <v>0.51500000000000001</v>
      </c>
      <c r="O361">
        <f t="shared" si="54"/>
        <v>10.3125</v>
      </c>
      <c r="P361">
        <f t="shared" si="55"/>
        <v>6.8181818181818175</v>
      </c>
      <c r="Q361">
        <f t="shared" si="56"/>
        <v>35.879629629629633</v>
      </c>
      <c r="R361">
        <f t="shared" si="57"/>
        <v>56.42</v>
      </c>
      <c r="S361" t="str">
        <f t="shared" si="58"/>
        <v>Satisfactory</v>
      </c>
      <c r="T361" t="str">
        <f t="shared" si="59"/>
        <v>PM10</v>
      </c>
      <c r="U361">
        <v>24.54</v>
      </c>
      <c r="V361">
        <v>64.98</v>
      </c>
    </row>
    <row r="362" spans="1:22" x14ac:dyDescent="0.3">
      <c r="A362" s="2" t="s">
        <v>15</v>
      </c>
      <c r="B362">
        <v>560026</v>
      </c>
      <c r="C362" s="3">
        <v>43838</v>
      </c>
      <c r="D362">
        <v>29.31</v>
      </c>
      <c r="E362">
        <v>75.45</v>
      </c>
      <c r="F362">
        <v>48.02</v>
      </c>
      <c r="G362">
        <v>2.5</v>
      </c>
      <c r="H362">
        <v>8.98</v>
      </c>
      <c r="I362">
        <v>0.6</v>
      </c>
      <c r="J362">
        <v>62.52</v>
      </c>
      <c r="K362">
        <f t="shared" si="50"/>
        <v>48.85</v>
      </c>
      <c r="L362">
        <f t="shared" si="51"/>
        <v>75.45</v>
      </c>
      <c r="M362">
        <f t="shared" si="52"/>
        <v>60.025000000000006</v>
      </c>
      <c r="N362">
        <f t="shared" si="53"/>
        <v>0.625</v>
      </c>
      <c r="O362">
        <f t="shared" si="54"/>
        <v>11.225</v>
      </c>
      <c r="P362">
        <f t="shared" si="55"/>
        <v>6.8181818181818175</v>
      </c>
      <c r="Q362">
        <f t="shared" si="56"/>
        <v>75.565333333333342</v>
      </c>
      <c r="R362">
        <f t="shared" si="57"/>
        <v>75.565333333333342</v>
      </c>
      <c r="S362" t="str">
        <f t="shared" si="58"/>
        <v>Satisfactory</v>
      </c>
      <c r="T362" t="str">
        <f t="shared" si="59"/>
        <v>OZONE</v>
      </c>
      <c r="U362">
        <v>24.87</v>
      </c>
      <c r="V362">
        <v>60.41</v>
      </c>
    </row>
    <row r="363" spans="1:22" x14ac:dyDescent="0.3">
      <c r="A363" s="2" t="s">
        <v>15</v>
      </c>
      <c r="B363">
        <v>560026</v>
      </c>
      <c r="C363" s="3">
        <v>43839</v>
      </c>
      <c r="D363">
        <v>36.33</v>
      </c>
      <c r="E363">
        <v>91.16</v>
      </c>
      <c r="F363">
        <v>51.18</v>
      </c>
      <c r="G363">
        <v>3.05</v>
      </c>
      <c r="H363">
        <v>8.52</v>
      </c>
      <c r="I363">
        <v>0.78</v>
      </c>
      <c r="J363">
        <v>78.98</v>
      </c>
      <c r="K363">
        <f t="shared" si="50"/>
        <v>60.55</v>
      </c>
      <c r="L363">
        <f t="shared" si="51"/>
        <v>91.16</v>
      </c>
      <c r="M363">
        <f t="shared" si="52"/>
        <v>63.975000000000001</v>
      </c>
      <c r="N363">
        <f t="shared" si="53"/>
        <v>0.76249999999999996</v>
      </c>
      <c r="O363">
        <f t="shared" si="54"/>
        <v>10.65</v>
      </c>
      <c r="P363">
        <f t="shared" si="55"/>
        <v>8.8636363636363633</v>
      </c>
      <c r="Q363">
        <f t="shared" si="56"/>
        <v>128.93</v>
      </c>
      <c r="R363">
        <f t="shared" si="57"/>
        <v>128.93</v>
      </c>
      <c r="S363" t="str">
        <f t="shared" si="58"/>
        <v>Moderate</v>
      </c>
      <c r="T363" t="str">
        <f t="shared" si="59"/>
        <v>OZONE</v>
      </c>
      <c r="U363">
        <v>24.91</v>
      </c>
      <c r="V363">
        <v>59.04</v>
      </c>
    </row>
    <row r="364" spans="1:22" x14ac:dyDescent="0.3">
      <c r="A364" s="2" t="s">
        <v>15</v>
      </c>
      <c r="B364">
        <v>560026</v>
      </c>
      <c r="C364" s="3">
        <v>43840</v>
      </c>
      <c r="D364">
        <v>37.33</v>
      </c>
      <c r="E364">
        <v>94.19</v>
      </c>
      <c r="F364">
        <v>56.06</v>
      </c>
      <c r="G364">
        <v>4.25</v>
      </c>
      <c r="H364">
        <v>8.43</v>
      </c>
      <c r="I364">
        <v>0.86</v>
      </c>
      <c r="J364">
        <v>60.51</v>
      </c>
      <c r="K364">
        <f t="shared" si="50"/>
        <v>62.216666666666661</v>
      </c>
      <c r="L364">
        <f t="shared" si="51"/>
        <v>94.19</v>
      </c>
      <c r="M364">
        <f t="shared" si="52"/>
        <v>70.075000000000003</v>
      </c>
      <c r="N364">
        <f t="shared" si="53"/>
        <v>1.0625</v>
      </c>
      <c r="O364">
        <f t="shared" si="54"/>
        <v>10.5375</v>
      </c>
      <c r="P364">
        <f t="shared" si="55"/>
        <v>9.7727272727272716</v>
      </c>
      <c r="Q364">
        <f t="shared" si="56"/>
        <v>68.999333333333325</v>
      </c>
      <c r="R364">
        <f t="shared" si="57"/>
        <v>94.19</v>
      </c>
      <c r="S364" t="str">
        <f t="shared" si="58"/>
        <v>Satisfactory</v>
      </c>
      <c r="T364" t="str">
        <f t="shared" si="59"/>
        <v>PM10</v>
      </c>
      <c r="U364">
        <v>24.27</v>
      </c>
      <c r="V364">
        <v>57.31</v>
      </c>
    </row>
    <row r="365" spans="1:22" x14ac:dyDescent="0.3">
      <c r="A365" s="2" t="s">
        <v>15</v>
      </c>
      <c r="B365">
        <v>560026</v>
      </c>
      <c r="C365" s="3">
        <v>43841</v>
      </c>
      <c r="D365">
        <v>29.64</v>
      </c>
      <c r="E365">
        <v>75.06</v>
      </c>
      <c r="F365">
        <v>46.97</v>
      </c>
      <c r="G365">
        <v>2.87</v>
      </c>
      <c r="H365">
        <v>7.62</v>
      </c>
      <c r="I365">
        <v>0.59</v>
      </c>
      <c r="J365">
        <v>64.19</v>
      </c>
      <c r="K365">
        <f t="shared" si="50"/>
        <v>49.4</v>
      </c>
      <c r="L365">
        <f t="shared" si="51"/>
        <v>75.06</v>
      </c>
      <c r="M365">
        <f t="shared" si="52"/>
        <v>58.712499999999999</v>
      </c>
      <c r="N365">
        <f t="shared" si="53"/>
        <v>0.71750000000000003</v>
      </c>
      <c r="O365">
        <f t="shared" si="54"/>
        <v>9.5250000000000004</v>
      </c>
      <c r="P365">
        <f t="shared" si="55"/>
        <v>6.7045454545454541</v>
      </c>
      <c r="Q365">
        <f t="shared" si="56"/>
        <v>81.020666666666656</v>
      </c>
      <c r="R365">
        <f t="shared" si="57"/>
        <v>81.020666666666656</v>
      </c>
      <c r="S365" t="str">
        <f t="shared" si="58"/>
        <v>Satisfactory</v>
      </c>
      <c r="T365" t="str">
        <f t="shared" si="59"/>
        <v>OZONE</v>
      </c>
      <c r="U365">
        <v>23.11</v>
      </c>
      <c r="V365">
        <v>59.12</v>
      </c>
    </row>
    <row r="366" spans="1:22" x14ac:dyDescent="0.3">
      <c r="A366" s="2" t="s">
        <v>15</v>
      </c>
      <c r="B366">
        <v>560026</v>
      </c>
      <c r="C366" s="3">
        <v>43842</v>
      </c>
      <c r="D366">
        <v>36.520000000000003</v>
      </c>
      <c r="E366">
        <v>81.099999999999994</v>
      </c>
      <c r="F366">
        <v>45.97</v>
      </c>
      <c r="G366">
        <v>3.24</v>
      </c>
      <c r="H366">
        <v>8.56</v>
      </c>
      <c r="I366">
        <v>0.66</v>
      </c>
      <c r="J366">
        <v>60.27</v>
      </c>
      <c r="K366">
        <f t="shared" si="50"/>
        <v>60.866666666666674</v>
      </c>
      <c r="L366">
        <f t="shared" si="51"/>
        <v>81.099999999999994</v>
      </c>
      <c r="M366">
        <f t="shared" si="52"/>
        <v>57.462499999999999</v>
      </c>
      <c r="N366">
        <f t="shared" si="53"/>
        <v>0.81</v>
      </c>
      <c r="O366">
        <f t="shared" si="54"/>
        <v>10.7</v>
      </c>
      <c r="P366">
        <f t="shared" si="55"/>
        <v>7.5</v>
      </c>
      <c r="Q366">
        <f t="shared" si="56"/>
        <v>68.215333333333348</v>
      </c>
      <c r="R366">
        <f t="shared" si="57"/>
        <v>81.099999999999994</v>
      </c>
      <c r="S366" t="str">
        <f t="shared" si="58"/>
        <v>Satisfactory</v>
      </c>
      <c r="T366" t="str">
        <f t="shared" si="59"/>
        <v>PM10</v>
      </c>
      <c r="U366">
        <v>23.03</v>
      </c>
      <c r="V366">
        <v>61.66</v>
      </c>
    </row>
    <row r="367" spans="1:22" x14ac:dyDescent="0.3">
      <c r="A367" s="2" t="s">
        <v>15</v>
      </c>
      <c r="B367">
        <v>560026</v>
      </c>
      <c r="C367" s="3">
        <v>43843</v>
      </c>
      <c r="D367">
        <v>54.67</v>
      </c>
      <c r="E367">
        <v>114.52</v>
      </c>
      <c r="F367">
        <v>61.05</v>
      </c>
      <c r="G367">
        <v>3.49</v>
      </c>
      <c r="H367">
        <v>8.85</v>
      </c>
      <c r="I367">
        <v>1.06</v>
      </c>
      <c r="J367">
        <v>76.14</v>
      </c>
      <c r="K367">
        <f t="shared" si="50"/>
        <v>91.116666666666674</v>
      </c>
      <c r="L367">
        <f t="shared" si="51"/>
        <v>109.67999999999999</v>
      </c>
      <c r="M367">
        <f t="shared" si="52"/>
        <v>76.3125</v>
      </c>
      <c r="N367">
        <f t="shared" si="53"/>
        <v>0.87250000000000005</v>
      </c>
      <c r="O367">
        <f t="shared" si="54"/>
        <v>11.0625</v>
      </c>
      <c r="P367">
        <f t="shared" si="55"/>
        <v>12.045454545454545</v>
      </c>
      <c r="Q367">
        <f t="shared" si="56"/>
        <v>118.99000000000001</v>
      </c>
      <c r="R367">
        <f t="shared" si="57"/>
        <v>118.99000000000001</v>
      </c>
      <c r="S367" t="str">
        <f t="shared" si="58"/>
        <v>Moderate</v>
      </c>
      <c r="T367" t="str">
        <f t="shared" si="59"/>
        <v>OZONE</v>
      </c>
      <c r="U367">
        <v>23.63</v>
      </c>
      <c r="V367">
        <v>60.32</v>
      </c>
    </row>
    <row r="368" spans="1:22" x14ac:dyDescent="0.3">
      <c r="A368" s="2" t="s">
        <v>15</v>
      </c>
      <c r="B368">
        <v>560026</v>
      </c>
      <c r="C368" s="3">
        <v>43844</v>
      </c>
      <c r="D368">
        <v>62.56</v>
      </c>
      <c r="E368">
        <v>124.77</v>
      </c>
      <c r="F368">
        <v>62.88</v>
      </c>
      <c r="G368">
        <v>4.0999999999999996</v>
      </c>
      <c r="H368">
        <v>8.0399999999999991</v>
      </c>
      <c r="I368">
        <v>0.83</v>
      </c>
      <c r="J368">
        <v>72.459999999999994</v>
      </c>
      <c r="K368">
        <f t="shared" si="50"/>
        <v>108.53333333333335</v>
      </c>
      <c r="L368">
        <f t="shared" si="51"/>
        <v>116.51333333333334</v>
      </c>
      <c r="M368">
        <f t="shared" si="52"/>
        <v>78.600000000000009</v>
      </c>
      <c r="N368">
        <f t="shared" si="53"/>
        <v>1.0249999999999999</v>
      </c>
      <c r="O368">
        <f t="shared" si="54"/>
        <v>10.049999999999999</v>
      </c>
      <c r="P368">
        <f t="shared" si="55"/>
        <v>9.4318181818181817</v>
      </c>
      <c r="Q368">
        <f t="shared" si="56"/>
        <v>106.10999999999999</v>
      </c>
      <c r="R368">
        <f t="shared" si="57"/>
        <v>116.51333333333334</v>
      </c>
      <c r="S368" t="str">
        <f t="shared" si="58"/>
        <v>Moderate</v>
      </c>
      <c r="T368" t="str">
        <f t="shared" si="59"/>
        <v>PM10</v>
      </c>
      <c r="U368">
        <v>23.24</v>
      </c>
      <c r="V368">
        <v>56.45</v>
      </c>
    </row>
    <row r="369" spans="1:22" x14ac:dyDescent="0.3">
      <c r="A369" s="2" t="s">
        <v>15</v>
      </c>
      <c r="B369">
        <v>560026</v>
      </c>
      <c r="C369" s="3">
        <v>43846</v>
      </c>
      <c r="D369">
        <v>40.22</v>
      </c>
      <c r="E369">
        <v>90.08</v>
      </c>
      <c r="F369">
        <v>55.88</v>
      </c>
      <c r="G369">
        <v>3.25</v>
      </c>
      <c r="H369">
        <v>8.56</v>
      </c>
      <c r="I369">
        <v>0.74</v>
      </c>
      <c r="J369">
        <v>78.95</v>
      </c>
      <c r="K369">
        <f t="shared" si="50"/>
        <v>67.033333333333331</v>
      </c>
      <c r="L369">
        <f t="shared" si="51"/>
        <v>90.08</v>
      </c>
      <c r="M369">
        <f t="shared" si="52"/>
        <v>69.849999999999994</v>
      </c>
      <c r="N369">
        <f t="shared" si="53"/>
        <v>0.8125</v>
      </c>
      <c r="O369">
        <f t="shared" si="54"/>
        <v>10.7</v>
      </c>
      <c r="P369">
        <f t="shared" si="55"/>
        <v>8.4090909090909083</v>
      </c>
      <c r="Q369">
        <f t="shared" si="56"/>
        <v>128.82500000000002</v>
      </c>
      <c r="R369">
        <f t="shared" si="57"/>
        <v>128.82500000000002</v>
      </c>
      <c r="S369" t="str">
        <f t="shared" si="58"/>
        <v>Moderate</v>
      </c>
      <c r="T369" t="str">
        <f t="shared" si="59"/>
        <v>OZONE</v>
      </c>
      <c r="U369">
        <v>23.74</v>
      </c>
      <c r="V369">
        <v>57.6</v>
      </c>
    </row>
    <row r="370" spans="1:22" x14ac:dyDescent="0.3">
      <c r="A370" s="2" t="s">
        <v>15</v>
      </c>
      <c r="B370">
        <v>560026</v>
      </c>
      <c r="C370" s="3">
        <v>43847</v>
      </c>
      <c r="D370">
        <v>32.380000000000003</v>
      </c>
      <c r="E370">
        <v>80.239999999999995</v>
      </c>
      <c r="F370">
        <v>50.8</v>
      </c>
      <c r="G370">
        <v>2.91</v>
      </c>
      <c r="H370">
        <v>8.01</v>
      </c>
      <c r="I370">
        <v>0.82</v>
      </c>
      <c r="J370">
        <v>77.180000000000007</v>
      </c>
      <c r="K370">
        <f t="shared" si="50"/>
        <v>53.966666666666669</v>
      </c>
      <c r="L370">
        <f t="shared" si="51"/>
        <v>80.239999999999995</v>
      </c>
      <c r="M370">
        <f t="shared" si="52"/>
        <v>63.5</v>
      </c>
      <c r="N370">
        <f t="shared" si="53"/>
        <v>0.72750000000000004</v>
      </c>
      <c r="O370">
        <f t="shared" si="54"/>
        <v>10.012499999999999</v>
      </c>
      <c r="P370">
        <f t="shared" si="55"/>
        <v>9.3181818181818166</v>
      </c>
      <c r="Q370">
        <f t="shared" si="56"/>
        <v>122.63000000000002</v>
      </c>
      <c r="R370">
        <f t="shared" si="57"/>
        <v>122.63000000000002</v>
      </c>
      <c r="S370" t="str">
        <f t="shared" si="58"/>
        <v>Moderate</v>
      </c>
      <c r="T370" t="str">
        <f t="shared" si="59"/>
        <v>OZONE</v>
      </c>
      <c r="U370">
        <v>24.4</v>
      </c>
      <c r="V370">
        <v>55.28</v>
      </c>
    </row>
    <row r="371" spans="1:22" x14ac:dyDescent="0.3">
      <c r="A371" s="2" t="s">
        <v>15</v>
      </c>
      <c r="B371">
        <v>560026</v>
      </c>
      <c r="C371" s="3">
        <v>43848</v>
      </c>
      <c r="D371">
        <v>32.130000000000003</v>
      </c>
      <c r="E371">
        <v>65.53</v>
      </c>
      <c r="F371">
        <v>35.700000000000003</v>
      </c>
      <c r="G371">
        <v>2.87</v>
      </c>
      <c r="H371">
        <v>8.0500000000000007</v>
      </c>
      <c r="I371">
        <v>0.53</v>
      </c>
      <c r="J371">
        <v>40.21</v>
      </c>
      <c r="K371">
        <f t="shared" si="50"/>
        <v>53.550000000000004</v>
      </c>
      <c r="L371">
        <f t="shared" si="51"/>
        <v>65.53</v>
      </c>
      <c r="M371">
        <f t="shared" si="52"/>
        <v>44.625000000000007</v>
      </c>
      <c r="N371">
        <f t="shared" si="53"/>
        <v>0.71750000000000003</v>
      </c>
      <c r="O371">
        <f t="shared" si="54"/>
        <v>10.062500000000002</v>
      </c>
      <c r="P371">
        <f t="shared" si="55"/>
        <v>6.0227272727272725</v>
      </c>
      <c r="Q371">
        <f t="shared" si="56"/>
        <v>37.231481481481481</v>
      </c>
      <c r="R371">
        <f t="shared" si="57"/>
        <v>65.53</v>
      </c>
      <c r="S371" t="str">
        <f t="shared" si="58"/>
        <v>Satisfactory</v>
      </c>
      <c r="T371" t="str">
        <f t="shared" si="59"/>
        <v>PM10</v>
      </c>
      <c r="U371">
        <v>22.89</v>
      </c>
      <c r="V371">
        <v>75.790000000000006</v>
      </c>
    </row>
    <row r="372" spans="1:22" x14ac:dyDescent="0.3">
      <c r="A372" s="2" t="s">
        <v>15</v>
      </c>
      <c r="B372">
        <v>560026</v>
      </c>
      <c r="C372" s="3">
        <v>43849</v>
      </c>
      <c r="D372">
        <v>35.57</v>
      </c>
      <c r="E372">
        <v>83.703478259999997</v>
      </c>
      <c r="F372">
        <v>47.414090909999999</v>
      </c>
      <c r="G372">
        <v>3.13</v>
      </c>
      <c r="H372">
        <v>8.4739130429999996</v>
      </c>
      <c r="I372">
        <v>0.71863636399999997</v>
      </c>
      <c r="J372">
        <v>61.433043480000002</v>
      </c>
      <c r="K372">
        <f t="shared" si="50"/>
        <v>59.283333333333331</v>
      </c>
      <c r="L372">
        <f t="shared" si="51"/>
        <v>83.703478259999997</v>
      </c>
      <c r="M372">
        <f t="shared" si="52"/>
        <v>59.267613637499998</v>
      </c>
      <c r="N372">
        <f t="shared" si="53"/>
        <v>0.78249999999999997</v>
      </c>
      <c r="O372">
        <f t="shared" si="54"/>
        <v>10.59239130375</v>
      </c>
      <c r="P372">
        <f t="shared" si="55"/>
        <v>8.1663223181818179</v>
      </c>
      <c r="Q372">
        <f t="shared" si="56"/>
        <v>72.014608701333344</v>
      </c>
      <c r="R372">
        <f t="shared" si="57"/>
        <v>83.703478259999997</v>
      </c>
      <c r="S372" t="str">
        <f t="shared" si="58"/>
        <v>Satisfactory</v>
      </c>
      <c r="T372" t="str">
        <f t="shared" si="59"/>
        <v>PM10</v>
      </c>
      <c r="U372">
        <v>24.46956522</v>
      </c>
      <c r="V372">
        <v>58.902608700000002</v>
      </c>
    </row>
    <row r="373" spans="1:22" x14ac:dyDescent="0.3">
      <c r="A373" s="2" t="s">
        <v>15</v>
      </c>
      <c r="B373">
        <v>560026</v>
      </c>
      <c r="C373" s="3">
        <v>43850</v>
      </c>
      <c r="D373">
        <v>35.57</v>
      </c>
      <c r="E373">
        <v>83.703478259999997</v>
      </c>
      <c r="F373">
        <v>47.414090909999999</v>
      </c>
      <c r="G373">
        <v>3.13</v>
      </c>
      <c r="H373">
        <v>8.4739130429999996</v>
      </c>
      <c r="I373">
        <v>0.71863636399999997</v>
      </c>
      <c r="J373">
        <v>61.433043480000002</v>
      </c>
      <c r="K373">
        <f t="shared" ref="K373:K435" si="60">IF(ISTEXT(D373),0,IF(D373&lt;=30,D373*50/30,IF(AND(D373&gt;30,D373&lt;=60),50+(D373-30)*50/30,IF(AND(D373&gt;60,D373&lt;=90),100+(D373-60)*100/30,IF(AND(D373&gt;90,D373&lt;=120),200+(D373-90)*(100/30),IF(AND(D373&gt;120,D373&lt;=250),300+(D373-120)*(100/130),IF(D373&gt;250,400+(D373-250)*(100/130))))))))</f>
        <v>59.283333333333331</v>
      </c>
      <c r="L373">
        <f t="shared" ref="L373:L435" si="61">IF(ISTEXT(E373),0,IF(E373&lt;=50,E373,IF(AND(E373&gt;50,E373&lt;=100),E373,IF(AND(E373&gt;100,E373&lt;=250),100+(E373-100)*100/150,IF(AND(E373&gt;250,E373&lt;=350),200+(E373-250),IF(AND(E373&gt;350,E373&lt;=430),300+(E373-350)*(100/80),IF(E373&gt;430,400+(E373-430)*(100/80))))))))</f>
        <v>83.703478259999997</v>
      </c>
      <c r="M373">
        <f t="shared" ref="M373:M435" si="62">IF(ISTEXT(F373),0,IF(F373&lt;=40,F373*50/40,IF(AND(F373&gt;40,F373&lt;=80),50+(F373-40)*50/40,IF(AND(F373&gt;80,F373&lt;=180),100+(F373-80)*100/100,IF(AND(F373&gt;180,F373&lt;=280),200+(F373-180)*(100/100),IF(AND(F373&gt;280,F373&lt;=400),300+(F373-280)*(100/120),IF(F373&gt;400,400+(F373-400)*(100/120))))))))</f>
        <v>59.267613637499998</v>
      </c>
      <c r="N373">
        <f t="shared" ref="N373:N435" si="63">IF(ISTEXT(G373),0,IF(G373&lt;=200,G373*50/200,IF(AND(G373&gt;200,G373&lt;=400),50+(G373-200)*50/200,IF(AND(G373&gt;400,G373&lt;=800),100+(G373-400)*100/400,IF(AND(G373&gt;800,G373&lt;=1200),200+(G373-800)*(100/400),IF(AND(G373&gt;1200,G373&lt;=1800),300+(G373-1200)*(100/600),IF(G373&gt;1800,400+(G373-1800)*(100/600))))))))</f>
        <v>0.78249999999999997</v>
      </c>
      <c r="O373">
        <f t="shared" ref="O373:O435" si="64">IF(ISTEXT(H373),0,IF(H373&lt;=40,H373*50/40,IF(AND(H373&gt;40,H373&lt;=80),50+(H373-40)*50/40,IF(AND(H373&gt;80,H373&lt;=380),100+(H373-80)*100/300,IF(AND(H373&gt;380,H373&lt;=800),200+(H373-380)*(100/420),IF(AND(H373&gt;800,H373&lt;=1600),300+(H373-800)*(100/800),IF(H373&gt;1600,400+(H373-1600)*(100/800))))))))</f>
        <v>10.59239130375</v>
      </c>
      <c r="P373">
        <f t="shared" ref="P373:P435" si="65">IF(I373&lt;=4.4,(50-0)/(4.4-0)*(I373-0)+0,
IF(I373&lt;=9.4,(100-51)/(9.4-4.5)*(I373-4.5)+51,
IF(I373&lt;=12.4,(150-101)/(12.4-9.5)*(I373-9.5)+101,
IF(I373&lt;=15.4,(200-151)/(15.4-12.5)*(I373-12.5)+151,
IF(I373&lt;=30.4,(300-201)/(30.4-15.5)*(I373-15.5)+201,
(500-301)/(50.4-30.5)*(I373-30.5)+301)))))</f>
        <v>8.1663223181818179</v>
      </c>
      <c r="Q373">
        <f t="shared" ref="Q373:Q435" si="66">IF(J373&lt;=54,(50-0)/(54-0)*(J373-0)+0,
IF(J373&lt;=70,(100-51)/(70-55)*(J373-55)+51,
IF(J373&lt;=85,(150-101)/(85-71)*(J373-71)+101,
IF(J373&lt;=105,(200-151)/(105-86)*(J373-86)+151,
IF(J373&lt;=200,(300-201)/(200-106)*(J373-106)+201,
(500-301)/(300-201)*(J373-201)+301)))))</f>
        <v>72.014608701333344</v>
      </c>
      <c r="R373">
        <f t="shared" ref="R373:R435" si="67">MAX(K373:Q373)</f>
        <v>83.703478259999997</v>
      </c>
      <c r="S373" t="str">
        <f t="shared" ref="S373:S435" si="68">IF(R373&lt;=50,"Good",
IF(R373&lt;=100,"Satisfactory",
IF(R373&lt;=200,"Moderate",
IF(R373&lt;=300,"Poor",
IF(R373&lt;=400,"Very Poor",
"Severe")))))</f>
        <v>Satisfactory</v>
      </c>
      <c r="T373" t="str">
        <f t="shared" ref="T373:T435" si="69">IF(MAX(K373:Q373)=K373,"PM2.5",
IF(MAX(K373:Q373)=L373,"PM10",
IF(MAX(K373:Q373)=M373,"NO2",
IF(MAX(K373:Q373)=N373,"NH3",
IF(MAX(K373:Q373)=O373,"SO2",
IF(MAX(K373:Q373)=P373,"CO",
IF(MAX(K373:Q373)=Q373,"OZONE","")))))))</f>
        <v>PM10</v>
      </c>
      <c r="U373">
        <v>24.46956522</v>
      </c>
      <c r="V373">
        <v>58.902608700000002</v>
      </c>
    </row>
    <row r="374" spans="1:22" x14ac:dyDescent="0.3">
      <c r="A374" s="2" t="s">
        <v>15</v>
      </c>
      <c r="B374">
        <v>560026</v>
      </c>
      <c r="C374" s="3">
        <v>43851</v>
      </c>
      <c r="D374">
        <v>29</v>
      </c>
      <c r="E374">
        <v>84</v>
      </c>
      <c r="F374">
        <v>47.414090909999999</v>
      </c>
      <c r="G374">
        <v>3.13</v>
      </c>
      <c r="H374">
        <v>5.2</v>
      </c>
      <c r="I374">
        <v>0.71863636399999997</v>
      </c>
      <c r="J374">
        <v>39.47</v>
      </c>
      <c r="K374">
        <f t="shared" si="60"/>
        <v>48.333333333333336</v>
      </c>
      <c r="L374">
        <f t="shared" si="61"/>
        <v>84</v>
      </c>
      <c r="M374">
        <f t="shared" si="62"/>
        <v>59.267613637499998</v>
      </c>
      <c r="N374">
        <f t="shared" si="63"/>
        <v>0.78249999999999997</v>
      </c>
      <c r="O374">
        <f t="shared" si="64"/>
        <v>6.5</v>
      </c>
      <c r="P374">
        <f t="shared" si="65"/>
        <v>8.1663223181818179</v>
      </c>
      <c r="Q374">
        <f t="shared" si="66"/>
        <v>36.546296296296298</v>
      </c>
      <c r="R374">
        <f t="shared" si="67"/>
        <v>84</v>
      </c>
      <c r="S374" t="str">
        <f t="shared" si="68"/>
        <v>Satisfactory</v>
      </c>
      <c r="T374" t="str">
        <f t="shared" si="69"/>
        <v>PM10</v>
      </c>
      <c r="U374">
        <v>25.2</v>
      </c>
      <c r="V374">
        <v>42</v>
      </c>
    </row>
    <row r="375" spans="1:22" x14ac:dyDescent="0.3">
      <c r="A375" s="2" t="s">
        <v>15</v>
      </c>
      <c r="B375">
        <v>560026</v>
      </c>
      <c r="C375" s="3">
        <v>43852</v>
      </c>
      <c r="D375">
        <v>35.57</v>
      </c>
      <c r="E375">
        <v>83.703478259999997</v>
      </c>
      <c r="F375">
        <v>47.414090909999999</v>
      </c>
      <c r="G375">
        <v>3.13</v>
      </c>
      <c r="H375">
        <v>8.4739130429999996</v>
      </c>
      <c r="I375">
        <v>0.71863636399999997</v>
      </c>
      <c r="J375">
        <v>61.433043480000002</v>
      </c>
      <c r="K375">
        <f t="shared" si="60"/>
        <v>59.283333333333331</v>
      </c>
      <c r="L375">
        <f t="shared" si="61"/>
        <v>83.703478259999997</v>
      </c>
      <c r="M375">
        <f t="shared" si="62"/>
        <v>59.267613637499998</v>
      </c>
      <c r="N375">
        <f t="shared" si="63"/>
        <v>0.78249999999999997</v>
      </c>
      <c r="O375">
        <f t="shared" si="64"/>
        <v>10.59239130375</v>
      </c>
      <c r="P375">
        <f t="shared" si="65"/>
        <v>8.1663223181818179</v>
      </c>
      <c r="Q375">
        <f t="shared" si="66"/>
        <v>72.014608701333344</v>
      </c>
      <c r="R375">
        <f t="shared" si="67"/>
        <v>83.703478259999997</v>
      </c>
      <c r="S375" t="str">
        <f t="shared" si="68"/>
        <v>Satisfactory</v>
      </c>
      <c r="T375" t="str">
        <f t="shared" si="69"/>
        <v>PM10</v>
      </c>
      <c r="U375">
        <v>24.46956522</v>
      </c>
      <c r="V375">
        <v>58.902608700000002</v>
      </c>
    </row>
    <row r="376" spans="1:22" x14ac:dyDescent="0.3">
      <c r="A376" s="2" t="s">
        <v>15</v>
      </c>
      <c r="B376">
        <v>560026</v>
      </c>
      <c r="C376" s="3">
        <v>43853</v>
      </c>
      <c r="D376">
        <v>35.57</v>
      </c>
      <c r="E376">
        <v>83.703478259999997</v>
      </c>
      <c r="F376">
        <v>47.414090909999999</v>
      </c>
      <c r="G376">
        <v>3.13</v>
      </c>
      <c r="H376">
        <v>8.4739130429999996</v>
      </c>
      <c r="I376">
        <v>0.71863636399999997</v>
      </c>
      <c r="J376">
        <v>61.433043480000002</v>
      </c>
      <c r="K376">
        <f t="shared" si="60"/>
        <v>59.283333333333331</v>
      </c>
      <c r="L376">
        <f t="shared" si="61"/>
        <v>83.703478259999997</v>
      </c>
      <c r="M376">
        <f t="shared" si="62"/>
        <v>59.267613637499998</v>
      </c>
      <c r="N376">
        <f t="shared" si="63"/>
        <v>0.78249999999999997</v>
      </c>
      <c r="O376">
        <f t="shared" si="64"/>
        <v>10.59239130375</v>
      </c>
      <c r="P376">
        <f t="shared" si="65"/>
        <v>8.1663223181818179</v>
      </c>
      <c r="Q376">
        <f t="shared" si="66"/>
        <v>72.014608701333344</v>
      </c>
      <c r="R376">
        <f t="shared" si="67"/>
        <v>83.703478259999997</v>
      </c>
      <c r="S376" t="str">
        <f t="shared" si="68"/>
        <v>Satisfactory</v>
      </c>
      <c r="T376" t="str">
        <f t="shared" si="69"/>
        <v>PM10</v>
      </c>
      <c r="U376">
        <v>24.46956522</v>
      </c>
      <c r="V376">
        <v>58.902608700000002</v>
      </c>
    </row>
    <row r="377" spans="1:22" x14ac:dyDescent="0.3">
      <c r="A377" s="2" t="s">
        <v>15</v>
      </c>
      <c r="B377">
        <v>560026</v>
      </c>
      <c r="C377" s="3">
        <v>43854</v>
      </c>
      <c r="D377">
        <v>35.57</v>
      </c>
      <c r="E377">
        <v>83.703478259999997</v>
      </c>
      <c r="F377">
        <v>47.414090909999999</v>
      </c>
      <c r="G377">
        <v>3.13</v>
      </c>
      <c r="H377">
        <v>8.4739130429999996</v>
      </c>
      <c r="I377">
        <v>0.71863636399999997</v>
      </c>
      <c r="J377">
        <v>61.433043480000002</v>
      </c>
      <c r="K377">
        <f t="shared" si="60"/>
        <v>59.283333333333331</v>
      </c>
      <c r="L377">
        <f t="shared" si="61"/>
        <v>83.703478259999997</v>
      </c>
      <c r="M377">
        <f t="shared" si="62"/>
        <v>59.267613637499998</v>
      </c>
      <c r="N377">
        <f t="shared" si="63"/>
        <v>0.78249999999999997</v>
      </c>
      <c r="O377">
        <f t="shared" si="64"/>
        <v>10.59239130375</v>
      </c>
      <c r="P377">
        <f t="shared" si="65"/>
        <v>8.1663223181818179</v>
      </c>
      <c r="Q377">
        <f t="shared" si="66"/>
        <v>72.014608701333344</v>
      </c>
      <c r="R377">
        <f t="shared" si="67"/>
        <v>83.703478259999997</v>
      </c>
      <c r="S377" t="str">
        <f t="shared" si="68"/>
        <v>Satisfactory</v>
      </c>
      <c r="T377" t="str">
        <f t="shared" si="69"/>
        <v>PM10</v>
      </c>
      <c r="U377">
        <v>24.46956522</v>
      </c>
      <c r="V377">
        <v>58.902608700000002</v>
      </c>
    </row>
    <row r="378" spans="1:22" x14ac:dyDescent="0.3">
      <c r="A378" s="2" t="s">
        <v>15</v>
      </c>
      <c r="B378">
        <v>560026</v>
      </c>
      <c r="C378" s="3">
        <v>43855</v>
      </c>
      <c r="D378">
        <v>35.57</v>
      </c>
      <c r="E378">
        <v>83.703478259999997</v>
      </c>
      <c r="F378">
        <v>47.414090909999999</v>
      </c>
      <c r="G378">
        <v>3.13</v>
      </c>
      <c r="H378">
        <v>8.4739130429999996</v>
      </c>
      <c r="I378">
        <v>0.71863636399999997</v>
      </c>
      <c r="J378">
        <v>61.433043480000002</v>
      </c>
      <c r="K378">
        <f t="shared" si="60"/>
        <v>59.283333333333331</v>
      </c>
      <c r="L378">
        <f t="shared" si="61"/>
        <v>83.703478259999997</v>
      </c>
      <c r="M378">
        <f t="shared" si="62"/>
        <v>59.267613637499998</v>
      </c>
      <c r="N378">
        <f t="shared" si="63"/>
        <v>0.78249999999999997</v>
      </c>
      <c r="O378">
        <f t="shared" si="64"/>
        <v>10.59239130375</v>
      </c>
      <c r="P378">
        <f t="shared" si="65"/>
        <v>8.1663223181818179</v>
      </c>
      <c r="Q378">
        <f t="shared" si="66"/>
        <v>72.014608701333344</v>
      </c>
      <c r="R378">
        <f t="shared" si="67"/>
        <v>83.703478259999997</v>
      </c>
      <c r="S378" t="str">
        <f t="shared" si="68"/>
        <v>Satisfactory</v>
      </c>
      <c r="T378" t="str">
        <f t="shared" si="69"/>
        <v>PM10</v>
      </c>
      <c r="U378">
        <v>24.46956522</v>
      </c>
      <c r="V378">
        <v>58.902608700000002</v>
      </c>
    </row>
    <row r="379" spans="1:22" x14ac:dyDescent="0.3">
      <c r="A379" s="2" t="s">
        <v>15</v>
      </c>
      <c r="B379">
        <v>560026</v>
      </c>
      <c r="C379" s="3">
        <v>43856</v>
      </c>
      <c r="D379">
        <v>35.57</v>
      </c>
      <c r="E379">
        <v>83.703478259999997</v>
      </c>
      <c r="F379">
        <v>47.414090909999999</v>
      </c>
      <c r="G379">
        <v>3.13</v>
      </c>
      <c r="H379">
        <v>8.4739130429999996</v>
      </c>
      <c r="I379">
        <v>0.71863636399999997</v>
      </c>
      <c r="J379">
        <v>61.433043480000002</v>
      </c>
      <c r="K379">
        <f t="shared" si="60"/>
        <v>59.283333333333331</v>
      </c>
      <c r="L379">
        <f t="shared" si="61"/>
        <v>83.703478259999997</v>
      </c>
      <c r="M379">
        <f t="shared" si="62"/>
        <v>59.267613637499998</v>
      </c>
      <c r="N379">
        <f t="shared" si="63"/>
        <v>0.78249999999999997</v>
      </c>
      <c r="O379">
        <f t="shared" si="64"/>
        <v>10.59239130375</v>
      </c>
      <c r="P379">
        <f t="shared" si="65"/>
        <v>8.1663223181818179</v>
      </c>
      <c r="Q379">
        <f t="shared" si="66"/>
        <v>72.014608701333344</v>
      </c>
      <c r="R379">
        <f t="shared" si="67"/>
        <v>83.703478259999997</v>
      </c>
      <c r="S379" t="str">
        <f t="shared" si="68"/>
        <v>Satisfactory</v>
      </c>
      <c r="T379" t="str">
        <f t="shared" si="69"/>
        <v>PM10</v>
      </c>
      <c r="U379">
        <v>24.46956522</v>
      </c>
      <c r="V379">
        <v>58.902608700000002</v>
      </c>
    </row>
    <row r="380" spans="1:22" x14ac:dyDescent="0.3">
      <c r="A380" s="2" t="s">
        <v>15</v>
      </c>
      <c r="B380">
        <v>560026</v>
      </c>
      <c r="C380" s="3">
        <v>43857</v>
      </c>
      <c r="D380">
        <v>35.57</v>
      </c>
      <c r="E380">
        <v>83.703478259999997</v>
      </c>
      <c r="F380">
        <v>47.414090909999999</v>
      </c>
      <c r="G380">
        <v>3.13</v>
      </c>
      <c r="H380">
        <v>8.4739130429999996</v>
      </c>
      <c r="I380">
        <v>0.71863636399999997</v>
      </c>
      <c r="J380">
        <v>61.433043480000002</v>
      </c>
      <c r="K380">
        <f t="shared" si="60"/>
        <v>59.283333333333331</v>
      </c>
      <c r="L380">
        <f t="shared" si="61"/>
        <v>83.703478259999997</v>
      </c>
      <c r="M380">
        <f t="shared" si="62"/>
        <v>59.267613637499998</v>
      </c>
      <c r="N380">
        <f t="shared" si="63"/>
        <v>0.78249999999999997</v>
      </c>
      <c r="O380">
        <f t="shared" si="64"/>
        <v>10.59239130375</v>
      </c>
      <c r="P380">
        <f t="shared" si="65"/>
        <v>8.1663223181818179</v>
      </c>
      <c r="Q380">
        <f t="shared" si="66"/>
        <v>72.014608701333344</v>
      </c>
      <c r="R380">
        <f t="shared" si="67"/>
        <v>83.703478259999997</v>
      </c>
      <c r="S380" t="str">
        <f t="shared" si="68"/>
        <v>Satisfactory</v>
      </c>
      <c r="T380" t="str">
        <f t="shared" si="69"/>
        <v>PM10</v>
      </c>
      <c r="U380">
        <v>24.46956522</v>
      </c>
      <c r="V380">
        <v>58.902608700000002</v>
      </c>
    </row>
    <row r="381" spans="1:22" x14ac:dyDescent="0.3">
      <c r="A381" s="2" t="s">
        <v>15</v>
      </c>
      <c r="B381">
        <v>560026</v>
      </c>
      <c r="C381" s="3">
        <v>43858</v>
      </c>
      <c r="D381">
        <v>35.57</v>
      </c>
      <c r="E381">
        <v>88.62</v>
      </c>
      <c r="F381">
        <v>65.81</v>
      </c>
      <c r="G381">
        <v>3.23</v>
      </c>
      <c r="H381">
        <v>10.17</v>
      </c>
      <c r="I381">
        <v>1.82</v>
      </c>
      <c r="J381">
        <v>44.43</v>
      </c>
      <c r="K381">
        <f t="shared" si="60"/>
        <v>59.283333333333331</v>
      </c>
      <c r="L381">
        <f t="shared" si="61"/>
        <v>88.62</v>
      </c>
      <c r="M381">
        <f t="shared" si="62"/>
        <v>82.262500000000003</v>
      </c>
      <c r="N381">
        <f t="shared" si="63"/>
        <v>0.8075</v>
      </c>
      <c r="O381">
        <f t="shared" si="64"/>
        <v>12.7125</v>
      </c>
      <c r="P381">
        <f t="shared" si="65"/>
        <v>20.681818181818183</v>
      </c>
      <c r="Q381">
        <f t="shared" si="66"/>
        <v>41.138888888888886</v>
      </c>
      <c r="R381">
        <f t="shared" si="67"/>
        <v>88.62</v>
      </c>
      <c r="S381" t="str">
        <f t="shared" si="68"/>
        <v>Satisfactory</v>
      </c>
      <c r="T381" t="str">
        <f t="shared" si="69"/>
        <v>PM10</v>
      </c>
      <c r="U381">
        <v>25.03</v>
      </c>
      <c r="V381">
        <v>45.53</v>
      </c>
    </row>
    <row r="382" spans="1:22" x14ac:dyDescent="0.3">
      <c r="A382" s="2" t="s">
        <v>15</v>
      </c>
      <c r="B382">
        <v>560026</v>
      </c>
      <c r="C382" s="3">
        <v>43859</v>
      </c>
      <c r="D382">
        <v>33.75</v>
      </c>
      <c r="E382">
        <v>90.61</v>
      </c>
      <c r="F382">
        <v>49.8</v>
      </c>
      <c r="G382">
        <v>3.3</v>
      </c>
      <c r="H382">
        <v>8.7899999999999991</v>
      </c>
      <c r="I382">
        <v>0.51</v>
      </c>
      <c r="J382">
        <v>78.709999999999994</v>
      </c>
      <c r="K382">
        <f t="shared" si="60"/>
        <v>56.25</v>
      </c>
      <c r="L382">
        <f t="shared" si="61"/>
        <v>90.61</v>
      </c>
      <c r="M382">
        <f t="shared" si="62"/>
        <v>62.25</v>
      </c>
      <c r="N382">
        <f t="shared" si="63"/>
        <v>0.82499999999999996</v>
      </c>
      <c r="O382">
        <f t="shared" si="64"/>
        <v>10.987499999999999</v>
      </c>
      <c r="P382">
        <f t="shared" si="65"/>
        <v>5.795454545454545</v>
      </c>
      <c r="Q382">
        <f t="shared" si="66"/>
        <v>127.98499999999999</v>
      </c>
      <c r="R382">
        <f t="shared" si="67"/>
        <v>127.98499999999999</v>
      </c>
      <c r="S382" t="str">
        <f t="shared" si="68"/>
        <v>Moderate</v>
      </c>
      <c r="T382" t="str">
        <f t="shared" si="69"/>
        <v>OZONE</v>
      </c>
      <c r="U382">
        <v>26.1</v>
      </c>
      <c r="V382">
        <v>47.94</v>
      </c>
    </row>
    <row r="383" spans="1:22" x14ac:dyDescent="0.3">
      <c r="A383" s="2" t="s">
        <v>15</v>
      </c>
      <c r="B383">
        <v>560026</v>
      </c>
      <c r="C383" s="3">
        <v>43860</v>
      </c>
      <c r="D383">
        <v>40.04</v>
      </c>
      <c r="E383">
        <v>106.32</v>
      </c>
      <c r="F383">
        <v>56.02</v>
      </c>
      <c r="G383">
        <v>3.7</v>
      </c>
      <c r="H383">
        <v>9</v>
      </c>
      <c r="I383">
        <v>0.69</v>
      </c>
      <c r="J383">
        <v>47.34</v>
      </c>
      <c r="K383">
        <f t="shared" si="60"/>
        <v>66.733333333333334</v>
      </c>
      <c r="L383">
        <f t="shared" si="61"/>
        <v>104.21333333333332</v>
      </c>
      <c r="M383">
        <f t="shared" si="62"/>
        <v>70.025000000000006</v>
      </c>
      <c r="N383">
        <f t="shared" si="63"/>
        <v>0.92500000000000004</v>
      </c>
      <c r="O383">
        <f t="shared" si="64"/>
        <v>11.25</v>
      </c>
      <c r="P383">
        <f t="shared" si="65"/>
        <v>7.8409090909090899</v>
      </c>
      <c r="Q383">
        <f t="shared" si="66"/>
        <v>43.833333333333336</v>
      </c>
      <c r="R383">
        <f t="shared" si="67"/>
        <v>104.21333333333332</v>
      </c>
      <c r="S383" t="str">
        <f t="shared" si="68"/>
        <v>Moderate</v>
      </c>
      <c r="T383" t="str">
        <f t="shared" si="69"/>
        <v>PM10</v>
      </c>
      <c r="U383">
        <v>26.46</v>
      </c>
      <c r="V383">
        <v>45.1</v>
      </c>
    </row>
    <row r="384" spans="1:22" x14ac:dyDescent="0.3">
      <c r="A384" s="2" t="s">
        <v>15</v>
      </c>
      <c r="B384">
        <v>560026</v>
      </c>
      <c r="C384" s="3">
        <v>43861</v>
      </c>
      <c r="D384">
        <v>41.6</v>
      </c>
      <c r="E384">
        <v>94.49</v>
      </c>
      <c r="F384">
        <v>42.91</v>
      </c>
      <c r="G384">
        <v>3.87</v>
      </c>
      <c r="H384">
        <v>9.86</v>
      </c>
      <c r="I384">
        <v>0.5</v>
      </c>
      <c r="J384">
        <v>66.92</v>
      </c>
      <c r="K384">
        <f t="shared" si="60"/>
        <v>69.333333333333343</v>
      </c>
      <c r="L384">
        <f t="shared" si="61"/>
        <v>94.49</v>
      </c>
      <c r="M384">
        <f t="shared" si="62"/>
        <v>53.637499999999996</v>
      </c>
      <c r="N384">
        <f t="shared" si="63"/>
        <v>0.96750000000000003</v>
      </c>
      <c r="O384">
        <f t="shared" si="64"/>
        <v>12.324999999999999</v>
      </c>
      <c r="P384">
        <f t="shared" si="65"/>
        <v>5.6818181818181817</v>
      </c>
      <c r="Q384">
        <f t="shared" si="66"/>
        <v>89.938666666666677</v>
      </c>
      <c r="R384">
        <f t="shared" si="67"/>
        <v>94.49</v>
      </c>
      <c r="S384" t="str">
        <f t="shared" si="68"/>
        <v>Satisfactory</v>
      </c>
      <c r="T384" t="str">
        <f t="shared" si="69"/>
        <v>PM10</v>
      </c>
      <c r="U384">
        <v>26.32</v>
      </c>
      <c r="V384">
        <v>47.16</v>
      </c>
    </row>
    <row r="385" spans="1:22" x14ac:dyDescent="0.3">
      <c r="A385" s="2" t="s">
        <v>15</v>
      </c>
      <c r="B385">
        <v>560026</v>
      </c>
      <c r="C385" s="3">
        <v>43862</v>
      </c>
      <c r="D385">
        <v>45.9</v>
      </c>
      <c r="E385">
        <v>96.77</v>
      </c>
      <c r="F385">
        <v>40.42</v>
      </c>
      <c r="G385">
        <v>4.53</v>
      </c>
      <c r="H385">
        <v>10.1</v>
      </c>
      <c r="I385">
        <v>0.52</v>
      </c>
      <c r="J385">
        <v>54.28</v>
      </c>
      <c r="K385">
        <f t="shared" si="60"/>
        <v>76.5</v>
      </c>
      <c r="L385">
        <f t="shared" si="61"/>
        <v>96.77</v>
      </c>
      <c r="M385">
        <f t="shared" si="62"/>
        <v>50.525000000000006</v>
      </c>
      <c r="N385">
        <f t="shared" si="63"/>
        <v>1.1325000000000001</v>
      </c>
      <c r="O385">
        <f t="shared" si="64"/>
        <v>12.625</v>
      </c>
      <c r="P385">
        <f t="shared" si="65"/>
        <v>5.9090909090909092</v>
      </c>
      <c r="Q385">
        <f t="shared" si="66"/>
        <v>48.648000000000003</v>
      </c>
      <c r="R385">
        <f t="shared" si="67"/>
        <v>96.77</v>
      </c>
      <c r="S385" t="str">
        <f t="shared" si="68"/>
        <v>Satisfactory</v>
      </c>
      <c r="T385" t="str">
        <f t="shared" si="69"/>
        <v>PM10</v>
      </c>
      <c r="U385">
        <v>25.27</v>
      </c>
      <c r="V385">
        <v>56.87</v>
      </c>
    </row>
    <row r="386" spans="1:22" x14ac:dyDescent="0.3">
      <c r="A386" s="2" t="s">
        <v>15</v>
      </c>
      <c r="B386">
        <v>560026</v>
      </c>
      <c r="C386" s="3">
        <v>43863</v>
      </c>
      <c r="D386">
        <v>29.49</v>
      </c>
      <c r="E386">
        <v>70.760000000000005</v>
      </c>
      <c r="F386">
        <v>32</v>
      </c>
      <c r="G386">
        <v>3.22</v>
      </c>
      <c r="H386">
        <v>8.5500000000000007</v>
      </c>
      <c r="I386">
        <v>0.39</v>
      </c>
      <c r="J386">
        <v>49.18</v>
      </c>
      <c r="K386">
        <f t="shared" si="60"/>
        <v>49.15</v>
      </c>
      <c r="L386">
        <f t="shared" si="61"/>
        <v>70.760000000000005</v>
      </c>
      <c r="M386">
        <f t="shared" si="62"/>
        <v>40</v>
      </c>
      <c r="N386">
        <f t="shared" si="63"/>
        <v>0.80500000000000005</v>
      </c>
      <c r="O386">
        <f t="shared" si="64"/>
        <v>10.687500000000002</v>
      </c>
      <c r="P386">
        <f t="shared" si="65"/>
        <v>4.4318181818181817</v>
      </c>
      <c r="Q386">
        <f t="shared" si="66"/>
        <v>45.537037037037038</v>
      </c>
      <c r="R386">
        <f t="shared" si="67"/>
        <v>70.760000000000005</v>
      </c>
      <c r="S386" t="str">
        <f t="shared" si="68"/>
        <v>Satisfactory</v>
      </c>
      <c r="T386" t="str">
        <f t="shared" si="69"/>
        <v>PM10</v>
      </c>
      <c r="U386">
        <v>24.53</v>
      </c>
      <c r="V386">
        <v>59</v>
      </c>
    </row>
    <row r="387" spans="1:22" x14ac:dyDescent="0.3">
      <c r="A387" s="2" t="s">
        <v>15</v>
      </c>
      <c r="B387">
        <v>560026</v>
      </c>
      <c r="C387" s="3">
        <v>43864</v>
      </c>
      <c r="D387">
        <v>32.93</v>
      </c>
      <c r="E387">
        <v>84.7</v>
      </c>
      <c r="F387">
        <v>52.06</v>
      </c>
      <c r="G387">
        <v>4.18</v>
      </c>
      <c r="H387">
        <v>8.86</v>
      </c>
      <c r="I387">
        <v>0.72</v>
      </c>
      <c r="J387">
        <v>30.68</v>
      </c>
      <c r="K387">
        <f t="shared" si="60"/>
        <v>54.883333333333333</v>
      </c>
      <c r="L387">
        <f t="shared" si="61"/>
        <v>84.7</v>
      </c>
      <c r="M387">
        <f t="shared" si="62"/>
        <v>65.075000000000003</v>
      </c>
      <c r="N387">
        <f t="shared" si="63"/>
        <v>1.0449999999999999</v>
      </c>
      <c r="O387">
        <f t="shared" si="64"/>
        <v>11.074999999999999</v>
      </c>
      <c r="P387">
        <f t="shared" si="65"/>
        <v>8.1818181818181817</v>
      </c>
      <c r="Q387">
        <f t="shared" si="66"/>
        <v>28.407407407407408</v>
      </c>
      <c r="R387">
        <f t="shared" si="67"/>
        <v>84.7</v>
      </c>
      <c r="S387" t="str">
        <f t="shared" si="68"/>
        <v>Satisfactory</v>
      </c>
      <c r="T387" t="str">
        <f t="shared" si="69"/>
        <v>PM10</v>
      </c>
      <c r="U387">
        <v>25.05</v>
      </c>
      <c r="V387">
        <v>51.86</v>
      </c>
    </row>
    <row r="388" spans="1:22" x14ac:dyDescent="0.3">
      <c r="A388" s="2" t="s">
        <v>15</v>
      </c>
      <c r="B388">
        <v>560026</v>
      </c>
      <c r="C388" s="3">
        <v>43865</v>
      </c>
      <c r="D388">
        <v>24.82</v>
      </c>
      <c r="E388">
        <v>68.56</v>
      </c>
      <c r="F388">
        <v>39.68</v>
      </c>
      <c r="G388">
        <v>4.8099999999999996</v>
      </c>
      <c r="H388">
        <v>8.7899999999999991</v>
      </c>
      <c r="I388">
        <v>0.53</v>
      </c>
      <c r="J388">
        <v>34.81</v>
      </c>
      <c r="K388">
        <f t="shared" si="60"/>
        <v>41.366666666666667</v>
      </c>
      <c r="L388">
        <f t="shared" si="61"/>
        <v>68.56</v>
      </c>
      <c r="M388">
        <f t="shared" si="62"/>
        <v>49.6</v>
      </c>
      <c r="N388">
        <f t="shared" si="63"/>
        <v>1.2024999999999999</v>
      </c>
      <c r="O388">
        <f t="shared" si="64"/>
        <v>10.987499999999999</v>
      </c>
      <c r="P388">
        <f t="shared" si="65"/>
        <v>6.0227272727272725</v>
      </c>
      <c r="Q388">
        <f t="shared" si="66"/>
        <v>32.231481481481481</v>
      </c>
      <c r="R388">
        <f t="shared" si="67"/>
        <v>68.56</v>
      </c>
      <c r="S388" t="str">
        <f t="shared" si="68"/>
        <v>Satisfactory</v>
      </c>
      <c r="T388" t="str">
        <f t="shared" si="69"/>
        <v>PM10</v>
      </c>
      <c r="U388">
        <v>24.57</v>
      </c>
      <c r="V388">
        <v>52.76</v>
      </c>
    </row>
    <row r="389" spans="1:22" x14ac:dyDescent="0.3">
      <c r="A389" s="2" t="s">
        <v>15</v>
      </c>
      <c r="B389">
        <v>560026</v>
      </c>
      <c r="C389" s="3">
        <v>43866</v>
      </c>
      <c r="D389">
        <v>26.01</v>
      </c>
      <c r="E389">
        <v>68.11</v>
      </c>
      <c r="F389">
        <v>38.43</v>
      </c>
      <c r="G389">
        <v>5.26</v>
      </c>
      <c r="H389">
        <v>8.73</v>
      </c>
      <c r="I389">
        <v>0.57999999999999996</v>
      </c>
      <c r="J389">
        <v>41.59</v>
      </c>
      <c r="K389">
        <f t="shared" si="60"/>
        <v>43.35</v>
      </c>
      <c r="L389">
        <f t="shared" si="61"/>
        <v>68.11</v>
      </c>
      <c r="M389">
        <f t="shared" si="62"/>
        <v>48.037500000000001</v>
      </c>
      <c r="N389">
        <f t="shared" si="63"/>
        <v>1.3149999999999999</v>
      </c>
      <c r="O389">
        <f t="shared" si="64"/>
        <v>10.9125</v>
      </c>
      <c r="P389">
        <f t="shared" si="65"/>
        <v>6.5909090909090899</v>
      </c>
      <c r="Q389">
        <f t="shared" si="66"/>
        <v>38.50925925925926</v>
      </c>
      <c r="R389">
        <f t="shared" si="67"/>
        <v>68.11</v>
      </c>
      <c r="S389" t="str">
        <f t="shared" si="68"/>
        <v>Satisfactory</v>
      </c>
      <c r="T389" t="str">
        <f t="shared" si="69"/>
        <v>PM10</v>
      </c>
      <c r="U389">
        <v>25.28</v>
      </c>
      <c r="V389">
        <v>56.51</v>
      </c>
    </row>
    <row r="390" spans="1:22" x14ac:dyDescent="0.3">
      <c r="A390" s="2" t="s">
        <v>15</v>
      </c>
      <c r="B390">
        <v>560026</v>
      </c>
      <c r="C390" s="3">
        <v>43867</v>
      </c>
      <c r="D390">
        <v>28.69</v>
      </c>
      <c r="E390">
        <v>71.12</v>
      </c>
      <c r="F390">
        <v>39.21</v>
      </c>
      <c r="G390">
        <v>6.85</v>
      </c>
      <c r="H390">
        <v>8.35</v>
      </c>
      <c r="I390">
        <v>0.46</v>
      </c>
      <c r="J390">
        <v>41.49</v>
      </c>
      <c r="K390">
        <f t="shared" si="60"/>
        <v>47.81666666666667</v>
      </c>
      <c r="L390">
        <f t="shared" si="61"/>
        <v>71.12</v>
      </c>
      <c r="M390">
        <f t="shared" si="62"/>
        <v>49.012500000000003</v>
      </c>
      <c r="N390">
        <f t="shared" si="63"/>
        <v>1.7124999999999999</v>
      </c>
      <c r="O390">
        <f t="shared" si="64"/>
        <v>10.4375</v>
      </c>
      <c r="P390">
        <f t="shared" si="65"/>
        <v>5.2272727272727275</v>
      </c>
      <c r="Q390">
        <f t="shared" si="66"/>
        <v>38.416666666666671</v>
      </c>
      <c r="R390">
        <f t="shared" si="67"/>
        <v>71.12</v>
      </c>
      <c r="S390" t="str">
        <f t="shared" si="68"/>
        <v>Satisfactory</v>
      </c>
      <c r="T390" t="str">
        <f t="shared" si="69"/>
        <v>PM10</v>
      </c>
      <c r="U390">
        <v>24.59</v>
      </c>
      <c r="V390">
        <v>55.71</v>
      </c>
    </row>
    <row r="391" spans="1:22" x14ac:dyDescent="0.3">
      <c r="A391" s="2" t="s">
        <v>15</v>
      </c>
      <c r="B391">
        <v>560026</v>
      </c>
      <c r="C391" s="3">
        <v>43868</v>
      </c>
      <c r="D391">
        <v>41.54</v>
      </c>
      <c r="E391">
        <v>82.71</v>
      </c>
      <c r="F391">
        <v>31.57</v>
      </c>
      <c r="G391">
        <v>7.69</v>
      </c>
      <c r="H391">
        <v>8.86</v>
      </c>
      <c r="I391">
        <v>0.51</v>
      </c>
      <c r="J391">
        <v>54.55</v>
      </c>
      <c r="K391">
        <f t="shared" si="60"/>
        <v>69.233333333333334</v>
      </c>
      <c r="L391">
        <f t="shared" si="61"/>
        <v>82.71</v>
      </c>
      <c r="M391">
        <f t="shared" si="62"/>
        <v>39.462499999999999</v>
      </c>
      <c r="N391">
        <f t="shared" si="63"/>
        <v>1.9225000000000001</v>
      </c>
      <c r="O391">
        <f t="shared" si="64"/>
        <v>11.074999999999999</v>
      </c>
      <c r="P391">
        <f t="shared" si="65"/>
        <v>5.795454545454545</v>
      </c>
      <c r="Q391">
        <f t="shared" si="66"/>
        <v>49.529999999999994</v>
      </c>
      <c r="R391">
        <f t="shared" si="67"/>
        <v>82.71</v>
      </c>
      <c r="S391" t="str">
        <f t="shared" si="68"/>
        <v>Satisfactory</v>
      </c>
      <c r="T391" t="str">
        <f t="shared" si="69"/>
        <v>PM10</v>
      </c>
      <c r="U391">
        <v>25.51</v>
      </c>
      <c r="V391">
        <v>56.13</v>
      </c>
    </row>
    <row r="392" spans="1:22" x14ac:dyDescent="0.3">
      <c r="A392" s="2" t="s">
        <v>15</v>
      </c>
      <c r="B392">
        <v>560026</v>
      </c>
      <c r="C392" s="3">
        <v>43869</v>
      </c>
      <c r="D392">
        <v>40.729999999999997</v>
      </c>
      <c r="E392">
        <v>91.12</v>
      </c>
      <c r="F392">
        <v>36.68</v>
      </c>
      <c r="G392">
        <v>6.94</v>
      </c>
      <c r="H392">
        <v>8.69</v>
      </c>
      <c r="I392">
        <v>0.68</v>
      </c>
      <c r="J392">
        <v>42.55</v>
      </c>
      <c r="K392">
        <f t="shared" si="60"/>
        <v>67.883333333333326</v>
      </c>
      <c r="L392">
        <f t="shared" si="61"/>
        <v>91.12</v>
      </c>
      <c r="M392">
        <f t="shared" si="62"/>
        <v>45.85</v>
      </c>
      <c r="N392">
        <f t="shared" si="63"/>
        <v>1.7350000000000001</v>
      </c>
      <c r="O392">
        <f t="shared" si="64"/>
        <v>10.862500000000001</v>
      </c>
      <c r="P392">
        <f t="shared" si="65"/>
        <v>7.7272727272727275</v>
      </c>
      <c r="Q392">
        <f t="shared" si="66"/>
        <v>39.398148148148145</v>
      </c>
      <c r="R392">
        <f t="shared" si="67"/>
        <v>91.12</v>
      </c>
      <c r="S392" t="str">
        <f t="shared" si="68"/>
        <v>Satisfactory</v>
      </c>
      <c r="T392" t="str">
        <f t="shared" si="69"/>
        <v>PM10</v>
      </c>
      <c r="U392">
        <v>26.07</v>
      </c>
      <c r="V392">
        <v>50.85</v>
      </c>
    </row>
    <row r="393" spans="1:22" x14ac:dyDescent="0.3">
      <c r="A393" s="2" t="s">
        <v>15</v>
      </c>
      <c r="B393">
        <v>560026</v>
      </c>
      <c r="C393" s="3">
        <v>43870</v>
      </c>
      <c r="D393">
        <v>35.729999999999997</v>
      </c>
      <c r="E393">
        <v>82.36</v>
      </c>
      <c r="F393">
        <v>37.29</v>
      </c>
      <c r="G393">
        <v>7.88</v>
      </c>
      <c r="H393">
        <v>9.93</v>
      </c>
      <c r="I393">
        <v>0.5</v>
      </c>
      <c r="J393">
        <v>33.590000000000003</v>
      </c>
      <c r="K393">
        <f t="shared" si="60"/>
        <v>59.55</v>
      </c>
      <c r="L393">
        <f t="shared" si="61"/>
        <v>82.36</v>
      </c>
      <c r="M393">
        <f t="shared" si="62"/>
        <v>46.612499999999997</v>
      </c>
      <c r="N393">
        <f t="shared" si="63"/>
        <v>1.97</v>
      </c>
      <c r="O393">
        <f t="shared" si="64"/>
        <v>12.4125</v>
      </c>
      <c r="P393">
        <f t="shared" si="65"/>
        <v>5.6818181818181817</v>
      </c>
      <c r="Q393">
        <f t="shared" si="66"/>
        <v>31.101851851851855</v>
      </c>
      <c r="R393">
        <f t="shared" si="67"/>
        <v>82.36</v>
      </c>
      <c r="S393" t="str">
        <f t="shared" si="68"/>
        <v>Satisfactory</v>
      </c>
      <c r="T393" t="str">
        <f t="shared" si="69"/>
        <v>PM10</v>
      </c>
      <c r="U393">
        <v>25.75</v>
      </c>
      <c r="V393">
        <v>54.31</v>
      </c>
    </row>
    <row r="394" spans="1:22" x14ac:dyDescent="0.3">
      <c r="A394" s="2" t="s">
        <v>15</v>
      </c>
      <c r="B394">
        <v>560026</v>
      </c>
      <c r="C394" s="3">
        <v>43871</v>
      </c>
      <c r="D394">
        <v>28.12</v>
      </c>
      <c r="E394">
        <v>68.38</v>
      </c>
      <c r="F394">
        <v>35.81</v>
      </c>
      <c r="G394">
        <v>7.2</v>
      </c>
      <c r="H394">
        <v>8.23</v>
      </c>
      <c r="I394">
        <v>0.54</v>
      </c>
      <c r="J394">
        <v>37.22</v>
      </c>
      <c r="K394">
        <f t="shared" si="60"/>
        <v>46.866666666666667</v>
      </c>
      <c r="L394">
        <f t="shared" si="61"/>
        <v>68.38</v>
      </c>
      <c r="M394">
        <f t="shared" si="62"/>
        <v>44.762500000000003</v>
      </c>
      <c r="N394">
        <f t="shared" si="63"/>
        <v>1.8</v>
      </c>
      <c r="O394">
        <f t="shared" si="64"/>
        <v>10.2875</v>
      </c>
      <c r="P394">
        <f t="shared" si="65"/>
        <v>6.1363636363636367</v>
      </c>
      <c r="Q394">
        <f t="shared" si="66"/>
        <v>34.462962962962962</v>
      </c>
      <c r="R394">
        <f t="shared" si="67"/>
        <v>68.38</v>
      </c>
      <c r="S394" t="str">
        <f t="shared" si="68"/>
        <v>Satisfactory</v>
      </c>
      <c r="T394" t="str">
        <f t="shared" si="69"/>
        <v>PM10</v>
      </c>
      <c r="U394">
        <v>24.95</v>
      </c>
      <c r="V394">
        <v>59.88</v>
      </c>
    </row>
    <row r="395" spans="1:22" x14ac:dyDescent="0.3">
      <c r="A395" s="2" t="s">
        <v>15</v>
      </c>
      <c r="B395">
        <v>560026</v>
      </c>
      <c r="C395" s="3">
        <v>43872</v>
      </c>
      <c r="D395">
        <v>31.06</v>
      </c>
      <c r="E395">
        <v>76.98</v>
      </c>
      <c r="F395">
        <v>42.1</v>
      </c>
      <c r="G395">
        <v>7.66</v>
      </c>
      <c r="H395">
        <v>8.18</v>
      </c>
      <c r="I395">
        <v>0.55000000000000004</v>
      </c>
      <c r="J395">
        <v>34.94</v>
      </c>
      <c r="K395">
        <f t="shared" si="60"/>
        <v>51.766666666666666</v>
      </c>
      <c r="L395">
        <f t="shared" si="61"/>
        <v>76.98</v>
      </c>
      <c r="M395">
        <f t="shared" si="62"/>
        <v>52.625</v>
      </c>
      <c r="N395">
        <f t="shared" si="63"/>
        <v>1.915</v>
      </c>
      <c r="O395">
        <f t="shared" si="64"/>
        <v>10.225</v>
      </c>
      <c r="P395">
        <f t="shared" si="65"/>
        <v>6.25</v>
      </c>
      <c r="Q395">
        <f t="shared" si="66"/>
        <v>32.351851851851848</v>
      </c>
      <c r="R395">
        <f t="shared" si="67"/>
        <v>76.98</v>
      </c>
      <c r="S395" t="str">
        <f t="shared" si="68"/>
        <v>Satisfactory</v>
      </c>
      <c r="T395" t="str">
        <f t="shared" si="69"/>
        <v>PM10</v>
      </c>
      <c r="U395">
        <v>24.32</v>
      </c>
      <c r="V395">
        <v>58.87</v>
      </c>
    </row>
    <row r="396" spans="1:22" x14ac:dyDescent="0.3">
      <c r="A396" s="2" t="s">
        <v>15</v>
      </c>
      <c r="B396">
        <v>560026</v>
      </c>
      <c r="C396" s="3">
        <v>43873</v>
      </c>
      <c r="D396">
        <v>29.87</v>
      </c>
      <c r="E396">
        <v>70.62</v>
      </c>
      <c r="F396">
        <v>37.799999999999997</v>
      </c>
      <c r="G396">
        <v>8.1199999999999992</v>
      </c>
      <c r="H396">
        <v>8.23</v>
      </c>
      <c r="I396">
        <v>0.63</v>
      </c>
      <c r="J396">
        <v>32.700000000000003</v>
      </c>
      <c r="K396">
        <f t="shared" si="60"/>
        <v>49.783333333333331</v>
      </c>
      <c r="L396">
        <f t="shared" si="61"/>
        <v>70.62</v>
      </c>
      <c r="M396">
        <f t="shared" si="62"/>
        <v>47.249999999999993</v>
      </c>
      <c r="N396">
        <f t="shared" si="63"/>
        <v>2.0299999999999998</v>
      </c>
      <c r="O396">
        <f t="shared" si="64"/>
        <v>10.2875</v>
      </c>
      <c r="P396">
        <f t="shared" si="65"/>
        <v>7.1590909090909092</v>
      </c>
      <c r="Q396">
        <f t="shared" si="66"/>
        <v>30.277777777777782</v>
      </c>
      <c r="R396">
        <f t="shared" si="67"/>
        <v>70.62</v>
      </c>
      <c r="S396" t="str">
        <f t="shared" si="68"/>
        <v>Satisfactory</v>
      </c>
      <c r="T396" t="str">
        <f t="shared" si="69"/>
        <v>PM10</v>
      </c>
      <c r="U396">
        <v>24.77</v>
      </c>
      <c r="V396">
        <v>58.87</v>
      </c>
    </row>
    <row r="397" spans="1:22" x14ac:dyDescent="0.3">
      <c r="A397" s="2" t="s">
        <v>15</v>
      </c>
      <c r="B397">
        <v>560026</v>
      </c>
      <c r="C397" s="3">
        <v>43874</v>
      </c>
      <c r="D397">
        <v>35.520000000000003</v>
      </c>
      <c r="E397">
        <v>86.83</v>
      </c>
      <c r="F397">
        <v>49.98</v>
      </c>
      <c r="G397">
        <v>8.65</v>
      </c>
      <c r="H397">
        <v>8.1</v>
      </c>
      <c r="I397">
        <v>0.79</v>
      </c>
      <c r="J397">
        <v>23.45</v>
      </c>
      <c r="K397">
        <f t="shared" si="60"/>
        <v>59.2</v>
      </c>
      <c r="L397">
        <f t="shared" si="61"/>
        <v>86.83</v>
      </c>
      <c r="M397">
        <f t="shared" si="62"/>
        <v>62.474999999999994</v>
      </c>
      <c r="N397">
        <f t="shared" si="63"/>
        <v>2.1625000000000001</v>
      </c>
      <c r="O397">
        <f t="shared" si="64"/>
        <v>10.125</v>
      </c>
      <c r="P397">
        <f t="shared" si="65"/>
        <v>8.9772727272727266</v>
      </c>
      <c r="Q397">
        <f t="shared" si="66"/>
        <v>21.712962962962962</v>
      </c>
      <c r="R397">
        <f t="shared" si="67"/>
        <v>86.83</v>
      </c>
      <c r="S397" t="str">
        <f t="shared" si="68"/>
        <v>Satisfactory</v>
      </c>
      <c r="T397" t="str">
        <f t="shared" si="69"/>
        <v>PM10</v>
      </c>
      <c r="U397">
        <v>25.48</v>
      </c>
      <c r="V397">
        <v>55.9</v>
      </c>
    </row>
    <row r="398" spans="1:22" x14ac:dyDescent="0.3">
      <c r="A398" s="2" t="s">
        <v>15</v>
      </c>
      <c r="B398">
        <v>560026</v>
      </c>
      <c r="C398" s="3">
        <v>43875</v>
      </c>
      <c r="D398">
        <v>46.46</v>
      </c>
      <c r="E398">
        <v>116.27</v>
      </c>
      <c r="F398">
        <v>62.6</v>
      </c>
      <c r="G398">
        <v>11.88</v>
      </c>
      <c r="H398">
        <v>8.51</v>
      </c>
      <c r="I398">
        <v>1.1000000000000001</v>
      </c>
      <c r="J398">
        <v>34.36</v>
      </c>
      <c r="K398">
        <f t="shared" si="60"/>
        <v>77.433333333333337</v>
      </c>
      <c r="L398">
        <f t="shared" si="61"/>
        <v>110.84666666666666</v>
      </c>
      <c r="M398">
        <f t="shared" si="62"/>
        <v>78.25</v>
      </c>
      <c r="N398">
        <f t="shared" si="63"/>
        <v>2.97</v>
      </c>
      <c r="O398">
        <f t="shared" si="64"/>
        <v>10.637499999999999</v>
      </c>
      <c r="P398">
        <f t="shared" si="65"/>
        <v>12.5</v>
      </c>
      <c r="Q398">
        <f t="shared" si="66"/>
        <v>31.814814814814813</v>
      </c>
      <c r="R398">
        <f t="shared" si="67"/>
        <v>110.84666666666666</v>
      </c>
      <c r="S398" t="str">
        <f t="shared" si="68"/>
        <v>Moderate</v>
      </c>
      <c r="T398" t="str">
        <f t="shared" si="69"/>
        <v>PM10</v>
      </c>
      <c r="U398">
        <v>25.89</v>
      </c>
      <c r="V398">
        <v>52.71</v>
      </c>
    </row>
    <row r="399" spans="1:22" x14ac:dyDescent="0.3">
      <c r="A399" s="2" t="s">
        <v>15</v>
      </c>
      <c r="B399">
        <v>560026</v>
      </c>
      <c r="C399" s="3">
        <v>43876</v>
      </c>
      <c r="D399">
        <v>46.94</v>
      </c>
      <c r="E399">
        <v>123.79</v>
      </c>
      <c r="F399">
        <v>68.959999999999994</v>
      </c>
      <c r="G399">
        <v>13.19</v>
      </c>
      <c r="H399">
        <v>8.35</v>
      </c>
      <c r="I399">
        <v>0.95</v>
      </c>
      <c r="J399">
        <v>46.36</v>
      </c>
      <c r="K399">
        <f t="shared" si="60"/>
        <v>78.233333333333334</v>
      </c>
      <c r="L399">
        <f t="shared" si="61"/>
        <v>115.86</v>
      </c>
      <c r="M399">
        <f t="shared" si="62"/>
        <v>86.199999999999989</v>
      </c>
      <c r="N399">
        <f t="shared" si="63"/>
        <v>3.2974999999999999</v>
      </c>
      <c r="O399">
        <f t="shared" si="64"/>
        <v>10.4375</v>
      </c>
      <c r="P399">
        <f t="shared" si="65"/>
        <v>10.795454545454545</v>
      </c>
      <c r="Q399">
        <f t="shared" si="66"/>
        <v>42.925925925925924</v>
      </c>
      <c r="R399">
        <f t="shared" si="67"/>
        <v>115.86</v>
      </c>
      <c r="S399" t="str">
        <f t="shared" si="68"/>
        <v>Moderate</v>
      </c>
      <c r="T399" t="str">
        <f t="shared" si="69"/>
        <v>PM10</v>
      </c>
      <c r="U399">
        <v>26.37</v>
      </c>
      <c r="V399">
        <v>39.06</v>
      </c>
    </row>
    <row r="400" spans="1:22" x14ac:dyDescent="0.3">
      <c r="A400" s="2" t="s">
        <v>15</v>
      </c>
      <c r="B400">
        <v>560026</v>
      </c>
      <c r="C400" s="3">
        <v>43877</v>
      </c>
      <c r="D400">
        <v>29.35</v>
      </c>
      <c r="E400">
        <v>91.48</v>
      </c>
      <c r="F400">
        <v>54.32</v>
      </c>
      <c r="G400">
        <v>12.22</v>
      </c>
      <c r="H400">
        <v>9.1</v>
      </c>
      <c r="I400">
        <v>0.75</v>
      </c>
      <c r="J400">
        <v>50.8</v>
      </c>
      <c r="K400">
        <f t="shared" si="60"/>
        <v>48.916666666666664</v>
      </c>
      <c r="L400">
        <f t="shared" si="61"/>
        <v>91.48</v>
      </c>
      <c r="M400">
        <f t="shared" si="62"/>
        <v>67.900000000000006</v>
      </c>
      <c r="N400">
        <f t="shared" si="63"/>
        <v>3.0550000000000002</v>
      </c>
      <c r="O400">
        <f t="shared" si="64"/>
        <v>11.375</v>
      </c>
      <c r="P400">
        <f t="shared" si="65"/>
        <v>8.5227272727272734</v>
      </c>
      <c r="Q400">
        <f t="shared" si="66"/>
        <v>47.037037037037038</v>
      </c>
      <c r="R400">
        <f t="shared" si="67"/>
        <v>91.48</v>
      </c>
      <c r="S400" t="str">
        <f t="shared" si="68"/>
        <v>Satisfactory</v>
      </c>
      <c r="T400" t="str">
        <f t="shared" si="69"/>
        <v>PM10</v>
      </c>
      <c r="U400">
        <v>27.05</v>
      </c>
      <c r="V400">
        <v>32.07</v>
      </c>
    </row>
    <row r="401" spans="1:22" x14ac:dyDescent="0.3">
      <c r="A401" s="2" t="s">
        <v>15</v>
      </c>
      <c r="B401">
        <v>560026</v>
      </c>
      <c r="C401" s="3">
        <v>43878</v>
      </c>
      <c r="D401">
        <v>32.909999999999997</v>
      </c>
      <c r="E401">
        <v>101.25</v>
      </c>
      <c r="F401">
        <v>55.9</v>
      </c>
      <c r="G401">
        <v>12.94</v>
      </c>
      <c r="H401">
        <v>9.0299999999999994</v>
      </c>
      <c r="I401">
        <v>0.99</v>
      </c>
      <c r="J401">
        <v>35.450000000000003</v>
      </c>
      <c r="K401">
        <f t="shared" si="60"/>
        <v>54.849999999999994</v>
      </c>
      <c r="L401">
        <f t="shared" si="61"/>
        <v>100.83333333333333</v>
      </c>
      <c r="M401">
        <f t="shared" si="62"/>
        <v>69.875</v>
      </c>
      <c r="N401">
        <f t="shared" si="63"/>
        <v>3.2349999999999999</v>
      </c>
      <c r="O401">
        <f t="shared" si="64"/>
        <v>11.287499999999998</v>
      </c>
      <c r="P401">
        <f t="shared" si="65"/>
        <v>11.25</v>
      </c>
      <c r="Q401">
        <f t="shared" si="66"/>
        <v>32.824074074074076</v>
      </c>
      <c r="R401">
        <f t="shared" si="67"/>
        <v>100.83333333333333</v>
      </c>
      <c r="S401" t="str">
        <f t="shared" si="68"/>
        <v>Moderate</v>
      </c>
      <c r="T401" t="str">
        <f t="shared" si="69"/>
        <v>PM10</v>
      </c>
      <c r="U401">
        <v>26.22</v>
      </c>
      <c r="V401">
        <v>37.479999999999997</v>
      </c>
    </row>
    <row r="402" spans="1:22" x14ac:dyDescent="0.3">
      <c r="A402" s="2" t="s">
        <v>15</v>
      </c>
      <c r="B402">
        <v>560026</v>
      </c>
      <c r="C402" s="3">
        <v>43879</v>
      </c>
      <c r="D402">
        <v>26.8</v>
      </c>
      <c r="E402">
        <v>96.7</v>
      </c>
      <c r="F402">
        <v>58.74</v>
      </c>
      <c r="G402">
        <v>11.51</v>
      </c>
      <c r="H402">
        <v>8.48</v>
      </c>
      <c r="I402">
        <v>0.87</v>
      </c>
      <c r="J402">
        <v>40.090000000000003</v>
      </c>
      <c r="K402">
        <f t="shared" si="60"/>
        <v>44.666666666666664</v>
      </c>
      <c r="L402">
        <f t="shared" si="61"/>
        <v>96.7</v>
      </c>
      <c r="M402">
        <f t="shared" si="62"/>
        <v>73.425000000000011</v>
      </c>
      <c r="N402">
        <f t="shared" si="63"/>
        <v>2.8774999999999999</v>
      </c>
      <c r="O402">
        <f t="shared" si="64"/>
        <v>10.6</v>
      </c>
      <c r="P402">
        <f t="shared" si="65"/>
        <v>9.8863636363636367</v>
      </c>
      <c r="Q402">
        <f t="shared" si="66"/>
        <v>37.120370370370374</v>
      </c>
      <c r="R402">
        <f t="shared" si="67"/>
        <v>96.7</v>
      </c>
      <c r="S402" t="str">
        <f t="shared" si="68"/>
        <v>Satisfactory</v>
      </c>
      <c r="T402" t="str">
        <f t="shared" si="69"/>
        <v>PM10</v>
      </c>
      <c r="U402">
        <v>28.21</v>
      </c>
      <c r="V402">
        <v>34.56</v>
      </c>
    </row>
    <row r="403" spans="1:22" x14ac:dyDescent="0.3">
      <c r="A403" s="2" t="s">
        <v>15</v>
      </c>
      <c r="B403">
        <v>560026</v>
      </c>
      <c r="C403" s="3">
        <v>43880</v>
      </c>
      <c r="D403">
        <v>44.21</v>
      </c>
      <c r="E403">
        <v>92.79</v>
      </c>
      <c r="F403">
        <v>57.49</v>
      </c>
      <c r="G403">
        <v>15.52</v>
      </c>
      <c r="H403">
        <v>8.2100000000000009</v>
      </c>
      <c r="I403">
        <v>0.75</v>
      </c>
      <c r="J403">
        <v>38.67</v>
      </c>
      <c r="K403">
        <f t="shared" si="60"/>
        <v>73.683333333333337</v>
      </c>
      <c r="L403">
        <f t="shared" si="61"/>
        <v>92.79</v>
      </c>
      <c r="M403">
        <f t="shared" si="62"/>
        <v>71.862500000000011</v>
      </c>
      <c r="N403">
        <f t="shared" si="63"/>
        <v>3.88</v>
      </c>
      <c r="O403">
        <f t="shared" si="64"/>
        <v>10.262500000000001</v>
      </c>
      <c r="P403">
        <f t="shared" si="65"/>
        <v>8.5227272727272734</v>
      </c>
      <c r="Q403">
        <f t="shared" si="66"/>
        <v>35.805555555555557</v>
      </c>
      <c r="R403">
        <f t="shared" si="67"/>
        <v>92.79</v>
      </c>
      <c r="S403" t="str">
        <f t="shared" si="68"/>
        <v>Satisfactory</v>
      </c>
      <c r="T403" t="str">
        <f t="shared" si="69"/>
        <v>PM10</v>
      </c>
      <c r="U403">
        <v>24.04</v>
      </c>
      <c r="V403">
        <v>56.03</v>
      </c>
    </row>
    <row r="404" spans="1:22" x14ac:dyDescent="0.3">
      <c r="A404" s="2" t="s">
        <v>15</v>
      </c>
      <c r="B404">
        <v>560026</v>
      </c>
      <c r="C404" s="3">
        <v>43881</v>
      </c>
      <c r="D404">
        <v>51.53</v>
      </c>
      <c r="E404">
        <v>103.25</v>
      </c>
      <c r="F404">
        <v>72.14</v>
      </c>
      <c r="G404">
        <v>19.329999999999998</v>
      </c>
      <c r="H404">
        <v>8.0500000000000007</v>
      </c>
      <c r="I404">
        <v>0.81</v>
      </c>
      <c r="J404">
        <v>39.68</v>
      </c>
      <c r="K404">
        <f t="shared" si="60"/>
        <v>85.883333333333326</v>
      </c>
      <c r="L404">
        <f t="shared" si="61"/>
        <v>102.16666666666667</v>
      </c>
      <c r="M404">
        <f t="shared" si="62"/>
        <v>90.174999999999997</v>
      </c>
      <c r="N404">
        <f t="shared" si="63"/>
        <v>4.8324999999999996</v>
      </c>
      <c r="O404">
        <f t="shared" si="64"/>
        <v>10.062500000000002</v>
      </c>
      <c r="P404">
        <f t="shared" si="65"/>
        <v>9.204545454545455</v>
      </c>
      <c r="Q404">
        <f t="shared" si="66"/>
        <v>36.74074074074074</v>
      </c>
      <c r="R404">
        <f t="shared" si="67"/>
        <v>102.16666666666667</v>
      </c>
      <c r="S404" t="str">
        <f t="shared" si="68"/>
        <v>Moderate</v>
      </c>
      <c r="T404" t="str">
        <f t="shared" si="69"/>
        <v>PM10</v>
      </c>
      <c r="U404">
        <v>24.9</v>
      </c>
      <c r="V404">
        <v>53.03</v>
      </c>
    </row>
    <row r="405" spans="1:22" x14ac:dyDescent="0.3">
      <c r="A405" s="2" t="s">
        <v>15</v>
      </c>
      <c r="B405">
        <v>560026</v>
      </c>
      <c r="C405" s="3">
        <v>43882</v>
      </c>
      <c r="D405">
        <v>34.654583330000001</v>
      </c>
      <c r="E405">
        <v>85.928749999999994</v>
      </c>
      <c r="F405">
        <v>47.782916669999999</v>
      </c>
      <c r="G405">
        <v>9.5387500000000003</v>
      </c>
      <c r="H405">
        <v>9.4725000000000001</v>
      </c>
      <c r="I405">
        <v>0.69916666699999996</v>
      </c>
      <c r="J405">
        <v>44.019130429999997</v>
      </c>
      <c r="K405">
        <f t="shared" si="60"/>
        <v>57.757638883333335</v>
      </c>
      <c r="L405">
        <f t="shared" si="61"/>
        <v>85.928749999999994</v>
      </c>
      <c r="M405">
        <f t="shared" si="62"/>
        <v>59.728645837499997</v>
      </c>
      <c r="N405">
        <f t="shared" si="63"/>
        <v>2.3846875000000001</v>
      </c>
      <c r="O405">
        <f t="shared" si="64"/>
        <v>11.840624999999999</v>
      </c>
      <c r="P405">
        <f t="shared" si="65"/>
        <v>7.9450757613636354</v>
      </c>
      <c r="Q405">
        <f t="shared" si="66"/>
        <v>40.758454101851846</v>
      </c>
      <c r="R405">
        <f t="shared" si="67"/>
        <v>85.928749999999994</v>
      </c>
      <c r="S405" t="str">
        <f t="shared" si="68"/>
        <v>Satisfactory</v>
      </c>
      <c r="T405" t="str">
        <f t="shared" si="69"/>
        <v>PM10</v>
      </c>
      <c r="U405">
        <v>26.06291667</v>
      </c>
      <c r="V405">
        <v>49.134583329999998</v>
      </c>
    </row>
    <row r="406" spans="1:22" x14ac:dyDescent="0.3">
      <c r="A406" s="2" t="s">
        <v>15</v>
      </c>
      <c r="B406">
        <v>560026</v>
      </c>
      <c r="C406" s="3">
        <v>43883</v>
      </c>
      <c r="D406">
        <v>19.670000000000002</v>
      </c>
      <c r="E406">
        <v>62.67</v>
      </c>
      <c r="F406">
        <v>50.78</v>
      </c>
      <c r="G406">
        <v>11.82</v>
      </c>
      <c r="H406">
        <v>15.47</v>
      </c>
      <c r="I406">
        <v>0.62</v>
      </c>
      <c r="J406">
        <v>49.89</v>
      </c>
      <c r="K406">
        <f t="shared" si="60"/>
        <v>32.783333333333339</v>
      </c>
      <c r="L406">
        <f t="shared" si="61"/>
        <v>62.67</v>
      </c>
      <c r="M406">
        <f t="shared" si="62"/>
        <v>63.475000000000001</v>
      </c>
      <c r="N406">
        <f t="shared" si="63"/>
        <v>2.9550000000000001</v>
      </c>
      <c r="O406">
        <f t="shared" si="64"/>
        <v>19.337499999999999</v>
      </c>
      <c r="P406">
        <f t="shared" si="65"/>
        <v>7.045454545454545</v>
      </c>
      <c r="Q406">
        <f t="shared" si="66"/>
        <v>46.194444444444443</v>
      </c>
      <c r="R406">
        <f t="shared" si="67"/>
        <v>63.475000000000001</v>
      </c>
      <c r="S406" t="str">
        <f t="shared" si="68"/>
        <v>Satisfactory</v>
      </c>
      <c r="T406" t="str">
        <f t="shared" si="69"/>
        <v>NO2</v>
      </c>
      <c r="U406">
        <v>30</v>
      </c>
      <c r="V406">
        <v>30.67</v>
      </c>
    </row>
    <row r="407" spans="1:22" x14ac:dyDescent="0.3">
      <c r="A407" s="2" t="s">
        <v>15</v>
      </c>
      <c r="B407">
        <v>560026</v>
      </c>
      <c r="C407" s="3">
        <v>43884</v>
      </c>
      <c r="D407">
        <v>34.654583330000001</v>
      </c>
      <c r="E407">
        <v>85.928749999999994</v>
      </c>
      <c r="F407">
        <v>47.782916669999999</v>
      </c>
      <c r="G407">
        <v>9.5387500000000003</v>
      </c>
      <c r="H407">
        <v>9.4725000000000001</v>
      </c>
      <c r="I407">
        <v>0.69916666699999996</v>
      </c>
      <c r="J407">
        <v>44.019130429999997</v>
      </c>
      <c r="K407">
        <f t="shared" si="60"/>
        <v>57.757638883333335</v>
      </c>
      <c r="L407">
        <f t="shared" si="61"/>
        <v>85.928749999999994</v>
      </c>
      <c r="M407">
        <f t="shared" si="62"/>
        <v>59.728645837499997</v>
      </c>
      <c r="N407">
        <f t="shared" si="63"/>
        <v>2.3846875000000001</v>
      </c>
      <c r="O407">
        <f t="shared" si="64"/>
        <v>11.840624999999999</v>
      </c>
      <c r="P407">
        <f t="shared" si="65"/>
        <v>7.9450757613636354</v>
      </c>
      <c r="Q407">
        <f t="shared" si="66"/>
        <v>40.758454101851846</v>
      </c>
      <c r="R407">
        <f t="shared" si="67"/>
        <v>85.928749999999994</v>
      </c>
      <c r="S407" t="str">
        <f t="shared" si="68"/>
        <v>Satisfactory</v>
      </c>
      <c r="T407" t="str">
        <f t="shared" si="69"/>
        <v>PM10</v>
      </c>
      <c r="U407">
        <v>26.06291667</v>
      </c>
      <c r="V407">
        <v>49.134583329999998</v>
      </c>
    </row>
    <row r="408" spans="1:22" x14ac:dyDescent="0.3">
      <c r="A408" s="2" t="s">
        <v>15</v>
      </c>
      <c r="B408">
        <v>560026</v>
      </c>
      <c r="C408" s="3">
        <v>43885</v>
      </c>
      <c r="D408">
        <v>29.4</v>
      </c>
      <c r="E408">
        <v>76</v>
      </c>
      <c r="F408">
        <v>54.24</v>
      </c>
      <c r="G408">
        <v>12.45</v>
      </c>
      <c r="H408">
        <v>10.61</v>
      </c>
      <c r="I408">
        <v>0.86</v>
      </c>
      <c r="J408">
        <v>66.510000000000005</v>
      </c>
      <c r="K408">
        <f t="shared" si="60"/>
        <v>49</v>
      </c>
      <c r="L408">
        <f t="shared" si="61"/>
        <v>76</v>
      </c>
      <c r="M408">
        <f t="shared" si="62"/>
        <v>67.800000000000011</v>
      </c>
      <c r="N408">
        <f t="shared" si="63"/>
        <v>3.1124999999999998</v>
      </c>
      <c r="O408">
        <f t="shared" si="64"/>
        <v>13.262499999999999</v>
      </c>
      <c r="P408">
        <f t="shared" si="65"/>
        <v>9.7727272727272716</v>
      </c>
      <c r="Q408">
        <f t="shared" si="66"/>
        <v>88.599333333333348</v>
      </c>
      <c r="R408">
        <f t="shared" si="67"/>
        <v>88.599333333333348</v>
      </c>
      <c r="S408" t="str">
        <f t="shared" si="68"/>
        <v>Satisfactory</v>
      </c>
      <c r="T408" t="str">
        <f t="shared" si="69"/>
        <v>OZONE</v>
      </c>
      <c r="U408">
        <v>28.01</v>
      </c>
      <c r="V408">
        <v>39.6</v>
      </c>
    </row>
    <row r="409" spans="1:22" x14ac:dyDescent="0.3">
      <c r="A409" s="2" t="s">
        <v>15</v>
      </c>
      <c r="B409">
        <v>560026</v>
      </c>
      <c r="C409" s="3">
        <v>43887</v>
      </c>
      <c r="D409">
        <v>34.654583330000001</v>
      </c>
      <c r="E409">
        <v>85.928749999999994</v>
      </c>
      <c r="F409">
        <v>47.782916669999999</v>
      </c>
      <c r="G409">
        <v>9.5387500000000003</v>
      </c>
      <c r="H409">
        <v>9.4725000000000001</v>
      </c>
      <c r="I409">
        <v>0.69916666699999996</v>
      </c>
      <c r="J409">
        <v>44.019130429999997</v>
      </c>
      <c r="K409">
        <f t="shared" si="60"/>
        <v>57.757638883333335</v>
      </c>
      <c r="L409">
        <f t="shared" si="61"/>
        <v>85.928749999999994</v>
      </c>
      <c r="M409">
        <f t="shared" si="62"/>
        <v>59.728645837499997</v>
      </c>
      <c r="N409">
        <f t="shared" si="63"/>
        <v>2.3846875000000001</v>
      </c>
      <c r="O409">
        <f t="shared" si="64"/>
        <v>11.840624999999999</v>
      </c>
      <c r="P409">
        <f t="shared" si="65"/>
        <v>7.9450757613636354</v>
      </c>
      <c r="Q409">
        <f t="shared" si="66"/>
        <v>40.758454101851846</v>
      </c>
      <c r="R409">
        <f t="shared" si="67"/>
        <v>85.928749999999994</v>
      </c>
      <c r="S409" t="str">
        <f t="shared" si="68"/>
        <v>Satisfactory</v>
      </c>
      <c r="T409" t="str">
        <f t="shared" si="69"/>
        <v>PM10</v>
      </c>
      <c r="U409">
        <v>26.06291667</v>
      </c>
      <c r="V409">
        <v>49.134583329999998</v>
      </c>
    </row>
    <row r="410" spans="1:22" x14ac:dyDescent="0.3">
      <c r="A410" s="2" t="s">
        <v>15</v>
      </c>
      <c r="B410">
        <v>560026</v>
      </c>
      <c r="C410" s="3">
        <v>43888</v>
      </c>
      <c r="D410">
        <v>34.200000000000003</v>
      </c>
      <c r="E410">
        <v>94.4</v>
      </c>
      <c r="F410">
        <v>57.87</v>
      </c>
      <c r="G410">
        <v>13.33</v>
      </c>
      <c r="H410">
        <v>14.9</v>
      </c>
      <c r="I410">
        <v>1.01</v>
      </c>
      <c r="J410">
        <v>44.019130429999997</v>
      </c>
      <c r="K410">
        <f t="shared" si="60"/>
        <v>57.000000000000007</v>
      </c>
      <c r="L410">
        <f t="shared" si="61"/>
        <v>94.4</v>
      </c>
      <c r="M410">
        <f t="shared" si="62"/>
        <v>72.337500000000006</v>
      </c>
      <c r="N410">
        <f t="shared" si="63"/>
        <v>3.3325</v>
      </c>
      <c r="O410">
        <f t="shared" si="64"/>
        <v>18.625</v>
      </c>
      <c r="P410">
        <f t="shared" si="65"/>
        <v>11.477272727272727</v>
      </c>
      <c r="Q410">
        <f t="shared" si="66"/>
        <v>40.758454101851846</v>
      </c>
      <c r="R410">
        <f t="shared" si="67"/>
        <v>94.4</v>
      </c>
      <c r="S410" t="str">
        <f t="shared" si="68"/>
        <v>Satisfactory</v>
      </c>
      <c r="T410" t="str">
        <f t="shared" si="69"/>
        <v>PM10</v>
      </c>
      <c r="U410">
        <v>30.3</v>
      </c>
      <c r="V410">
        <v>33.67</v>
      </c>
    </row>
    <row r="411" spans="1:22" x14ac:dyDescent="0.3">
      <c r="A411" s="2" t="s">
        <v>15</v>
      </c>
      <c r="B411">
        <v>560026</v>
      </c>
      <c r="C411" s="3">
        <v>43889</v>
      </c>
      <c r="D411">
        <v>34.654583330000001</v>
      </c>
      <c r="E411">
        <v>85.928749999999994</v>
      </c>
      <c r="F411">
        <v>47.782916669999999</v>
      </c>
      <c r="G411">
        <v>9.5387500000000003</v>
      </c>
      <c r="H411">
        <v>9.4725000000000001</v>
      </c>
      <c r="I411">
        <v>0.69916666699999996</v>
      </c>
      <c r="J411">
        <v>44.019130429999997</v>
      </c>
      <c r="K411">
        <f t="shared" si="60"/>
        <v>57.757638883333335</v>
      </c>
      <c r="L411">
        <f t="shared" si="61"/>
        <v>85.928749999999994</v>
      </c>
      <c r="M411">
        <f t="shared" si="62"/>
        <v>59.728645837499997</v>
      </c>
      <c r="N411">
        <f t="shared" si="63"/>
        <v>2.3846875000000001</v>
      </c>
      <c r="O411">
        <f t="shared" si="64"/>
        <v>11.840624999999999</v>
      </c>
      <c r="P411">
        <f t="shared" si="65"/>
        <v>7.9450757613636354</v>
      </c>
      <c r="Q411">
        <f t="shared" si="66"/>
        <v>40.758454101851846</v>
      </c>
      <c r="R411">
        <f t="shared" si="67"/>
        <v>85.928749999999994</v>
      </c>
      <c r="S411" t="str">
        <f t="shared" si="68"/>
        <v>Satisfactory</v>
      </c>
      <c r="T411" t="str">
        <f t="shared" si="69"/>
        <v>PM10</v>
      </c>
      <c r="U411">
        <v>26.06291667</v>
      </c>
      <c r="V411">
        <v>49.134583329999998</v>
      </c>
    </row>
    <row r="412" spans="1:22" x14ac:dyDescent="0.3">
      <c r="A412" s="2" t="s">
        <v>15</v>
      </c>
      <c r="B412">
        <v>560026</v>
      </c>
      <c r="C412" s="3">
        <v>43890</v>
      </c>
      <c r="D412">
        <v>34.654583330000001</v>
      </c>
      <c r="E412">
        <v>85.928749999999994</v>
      </c>
      <c r="F412">
        <v>47.782916669999999</v>
      </c>
      <c r="G412">
        <v>9.5387500000000003</v>
      </c>
      <c r="H412">
        <v>9.4725000000000001</v>
      </c>
      <c r="I412">
        <v>0.69916666699999996</v>
      </c>
      <c r="J412">
        <v>44.019130429999997</v>
      </c>
      <c r="K412">
        <f t="shared" si="60"/>
        <v>57.757638883333335</v>
      </c>
      <c r="L412">
        <f t="shared" si="61"/>
        <v>85.928749999999994</v>
      </c>
      <c r="M412">
        <f t="shared" si="62"/>
        <v>59.728645837499997</v>
      </c>
      <c r="N412">
        <f t="shared" si="63"/>
        <v>2.3846875000000001</v>
      </c>
      <c r="O412">
        <f t="shared" si="64"/>
        <v>11.840624999999999</v>
      </c>
      <c r="P412">
        <f t="shared" si="65"/>
        <v>7.9450757613636354</v>
      </c>
      <c r="Q412">
        <f t="shared" si="66"/>
        <v>40.758454101851846</v>
      </c>
      <c r="R412">
        <f t="shared" si="67"/>
        <v>85.928749999999994</v>
      </c>
      <c r="S412" t="str">
        <f t="shared" si="68"/>
        <v>Satisfactory</v>
      </c>
      <c r="T412" t="str">
        <f t="shared" si="69"/>
        <v>PM10</v>
      </c>
      <c r="U412">
        <v>26.06291667</v>
      </c>
      <c r="V412">
        <v>49.134583329999998</v>
      </c>
    </row>
    <row r="413" spans="1:22" x14ac:dyDescent="0.3">
      <c r="A413" s="2" t="s">
        <v>15</v>
      </c>
      <c r="B413">
        <v>560026</v>
      </c>
      <c r="C413" s="3">
        <v>43891</v>
      </c>
      <c r="D413">
        <v>32.447894740000002</v>
      </c>
      <c r="E413">
        <v>68.395789469999997</v>
      </c>
      <c r="F413">
        <v>22.64</v>
      </c>
      <c r="G413">
        <v>10.47894737</v>
      </c>
      <c r="H413">
        <v>10.56</v>
      </c>
      <c r="I413">
        <v>0.604736842</v>
      </c>
      <c r="J413">
        <v>59.797894739999997</v>
      </c>
      <c r="K413">
        <f t="shared" si="60"/>
        <v>54.079824566666673</v>
      </c>
      <c r="L413">
        <f t="shared" si="61"/>
        <v>68.395789469999997</v>
      </c>
      <c r="M413">
        <f t="shared" si="62"/>
        <v>28.3</v>
      </c>
      <c r="N413">
        <f t="shared" si="63"/>
        <v>2.6197368425000001</v>
      </c>
      <c r="O413">
        <f t="shared" si="64"/>
        <v>13.2</v>
      </c>
      <c r="P413">
        <f t="shared" si="65"/>
        <v>6.8720095681818183</v>
      </c>
      <c r="Q413">
        <f t="shared" si="66"/>
        <v>66.673122817333322</v>
      </c>
      <c r="R413">
        <f t="shared" si="67"/>
        <v>68.395789469999997</v>
      </c>
      <c r="S413" t="str">
        <f t="shared" si="68"/>
        <v>Satisfactory</v>
      </c>
      <c r="T413" t="str">
        <f t="shared" si="69"/>
        <v>PM10</v>
      </c>
      <c r="U413">
        <v>25.230526319999999</v>
      </c>
      <c r="V413">
        <v>51.268947369999999</v>
      </c>
    </row>
    <row r="414" spans="1:22" x14ac:dyDescent="0.3">
      <c r="A414" s="2" t="s">
        <v>15</v>
      </c>
      <c r="B414">
        <v>560026</v>
      </c>
      <c r="C414" s="3">
        <v>43892</v>
      </c>
      <c r="D414">
        <v>32.447894740000002</v>
      </c>
      <c r="E414">
        <v>68.395789469999997</v>
      </c>
      <c r="F414">
        <v>22.64</v>
      </c>
      <c r="G414">
        <v>10.47894737</v>
      </c>
      <c r="H414">
        <v>10.56</v>
      </c>
      <c r="I414">
        <v>0.604736842</v>
      </c>
      <c r="J414">
        <v>59.797894739999997</v>
      </c>
      <c r="K414">
        <f t="shared" si="60"/>
        <v>54.079824566666673</v>
      </c>
      <c r="L414">
        <f t="shared" si="61"/>
        <v>68.395789469999997</v>
      </c>
      <c r="M414">
        <f t="shared" si="62"/>
        <v>28.3</v>
      </c>
      <c r="N414">
        <f t="shared" si="63"/>
        <v>2.6197368425000001</v>
      </c>
      <c r="O414">
        <f t="shared" si="64"/>
        <v>13.2</v>
      </c>
      <c r="P414">
        <f t="shared" si="65"/>
        <v>6.8720095681818183</v>
      </c>
      <c r="Q414">
        <f t="shared" si="66"/>
        <v>66.673122817333322</v>
      </c>
      <c r="R414">
        <f t="shared" si="67"/>
        <v>68.395789469999997</v>
      </c>
      <c r="S414" t="str">
        <f t="shared" si="68"/>
        <v>Satisfactory</v>
      </c>
      <c r="T414" t="str">
        <f t="shared" si="69"/>
        <v>PM10</v>
      </c>
      <c r="U414">
        <v>25.230526319999999</v>
      </c>
      <c r="V414">
        <v>51.268947369999999</v>
      </c>
    </row>
    <row r="415" spans="1:22" x14ac:dyDescent="0.3">
      <c r="A415" s="2" t="s">
        <v>15</v>
      </c>
      <c r="B415">
        <v>560026</v>
      </c>
      <c r="C415" s="3">
        <v>43893</v>
      </c>
      <c r="D415">
        <v>32.447894740000002</v>
      </c>
      <c r="E415">
        <v>68.395789469999997</v>
      </c>
      <c r="F415">
        <v>22.64</v>
      </c>
      <c r="G415">
        <v>10.47894737</v>
      </c>
      <c r="H415">
        <v>10.56</v>
      </c>
      <c r="I415">
        <v>0.604736842</v>
      </c>
      <c r="J415">
        <v>59.797894739999997</v>
      </c>
      <c r="K415">
        <f t="shared" si="60"/>
        <v>54.079824566666673</v>
      </c>
      <c r="L415">
        <f t="shared" si="61"/>
        <v>68.395789469999997</v>
      </c>
      <c r="M415">
        <f t="shared" si="62"/>
        <v>28.3</v>
      </c>
      <c r="N415">
        <f t="shared" si="63"/>
        <v>2.6197368425000001</v>
      </c>
      <c r="O415">
        <f t="shared" si="64"/>
        <v>13.2</v>
      </c>
      <c r="P415">
        <f t="shared" si="65"/>
        <v>6.8720095681818183</v>
      </c>
      <c r="Q415">
        <f t="shared" si="66"/>
        <v>66.673122817333322</v>
      </c>
      <c r="R415">
        <f t="shared" si="67"/>
        <v>68.395789469999997</v>
      </c>
      <c r="S415" t="str">
        <f t="shared" si="68"/>
        <v>Satisfactory</v>
      </c>
      <c r="T415" t="str">
        <f t="shared" si="69"/>
        <v>PM10</v>
      </c>
      <c r="U415">
        <v>25.230526319999999</v>
      </c>
      <c r="V415">
        <v>51.268947369999999</v>
      </c>
    </row>
    <row r="416" spans="1:22" x14ac:dyDescent="0.3">
      <c r="A416" s="2" t="s">
        <v>15</v>
      </c>
      <c r="B416">
        <v>560026</v>
      </c>
      <c r="C416" s="3">
        <v>43894</v>
      </c>
      <c r="D416">
        <v>32.447894740000002</v>
      </c>
      <c r="E416">
        <v>68.395789469999997</v>
      </c>
      <c r="F416">
        <v>22.64</v>
      </c>
      <c r="G416">
        <v>10.47894737</v>
      </c>
      <c r="H416">
        <v>10.56</v>
      </c>
      <c r="I416">
        <v>0.604736842</v>
      </c>
      <c r="J416">
        <v>59.797894739999997</v>
      </c>
      <c r="K416">
        <f t="shared" si="60"/>
        <v>54.079824566666673</v>
      </c>
      <c r="L416">
        <f t="shared" si="61"/>
        <v>68.395789469999997</v>
      </c>
      <c r="M416">
        <f t="shared" si="62"/>
        <v>28.3</v>
      </c>
      <c r="N416">
        <f t="shared" si="63"/>
        <v>2.6197368425000001</v>
      </c>
      <c r="O416">
        <f t="shared" si="64"/>
        <v>13.2</v>
      </c>
      <c r="P416">
        <f t="shared" si="65"/>
        <v>6.8720095681818183</v>
      </c>
      <c r="Q416">
        <f t="shared" si="66"/>
        <v>66.673122817333322</v>
      </c>
      <c r="R416">
        <f t="shared" si="67"/>
        <v>68.395789469999997</v>
      </c>
      <c r="S416" t="str">
        <f t="shared" si="68"/>
        <v>Satisfactory</v>
      </c>
      <c r="T416" t="str">
        <f t="shared" si="69"/>
        <v>PM10</v>
      </c>
      <c r="U416">
        <v>25.230526319999999</v>
      </c>
      <c r="V416">
        <v>51.268947369999999</v>
      </c>
    </row>
    <row r="417" spans="1:22" x14ac:dyDescent="0.3">
      <c r="A417" s="2" t="s">
        <v>15</v>
      </c>
      <c r="B417">
        <v>560026</v>
      </c>
      <c r="C417" s="3">
        <v>43895</v>
      </c>
      <c r="D417">
        <v>35.15</v>
      </c>
      <c r="E417">
        <v>74</v>
      </c>
      <c r="F417">
        <v>22.18</v>
      </c>
      <c r="G417">
        <v>12.93</v>
      </c>
      <c r="H417">
        <v>12.06</v>
      </c>
      <c r="I417">
        <v>0.41</v>
      </c>
      <c r="J417">
        <v>85.21</v>
      </c>
      <c r="K417">
        <f t="shared" si="60"/>
        <v>58.583333333333329</v>
      </c>
      <c r="L417">
        <f t="shared" si="61"/>
        <v>74</v>
      </c>
      <c r="M417">
        <f t="shared" si="62"/>
        <v>27.725000000000001</v>
      </c>
      <c r="N417">
        <f t="shared" si="63"/>
        <v>3.2324999999999999</v>
      </c>
      <c r="O417">
        <f t="shared" si="64"/>
        <v>15.074999999999999</v>
      </c>
      <c r="P417">
        <f t="shared" si="65"/>
        <v>4.6590909090909083</v>
      </c>
      <c r="Q417">
        <f t="shared" si="66"/>
        <v>148.96263157894737</v>
      </c>
      <c r="R417">
        <f t="shared" si="67"/>
        <v>148.96263157894737</v>
      </c>
      <c r="S417" t="str">
        <f t="shared" si="68"/>
        <v>Moderate</v>
      </c>
      <c r="T417" t="str">
        <f t="shared" si="69"/>
        <v>OZONE</v>
      </c>
      <c r="U417">
        <v>26.24</v>
      </c>
      <c r="V417">
        <v>46.11</v>
      </c>
    </row>
    <row r="418" spans="1:22" x14ac:dyDescent="0.3">
      <c r="A418" s="2" t="s">
        <v>15</v>
      </c>
      <c r="B418">
        <v>560026</v>
      </c>
      <c r="C418" s="3">
        <v>43896</v>
      </c>
      <c r="D418">
        <v>35.97</v>
      </c>
      <c r="E418">
        <v>67.39</v>
      </c>
      <c r="F418">
        <v>26.83</v>
      </c>
      <c r="G418">
        <v>12.75</v>
      </c>
      <c r="H418">
        <v>15.27</v>
      </c>
      <c r="I418">
        <v>0.55000000000000004</v>
      </c>
      <c r="J418">
        <v>56.3</v>
      </c>
      <c r="K418">
        <f t="shared" si="60"/>
        <v>59.949999999999996</v>
      </c>
      <c r="L418">
        <f t="shared" si="61"/>
        <v>67.39</v>
      </c>
      <c r="M418">
        <f t="shared" si="62"/>
        <v>33.537500000000001</v>
      </c>
      <c r="N418">
        <f t="shared" si="63"/>
        <v>3.1875</v>
      </c>
      <c r="O418">
        <f t="shared" si="64"/>
        <v>19.087499999999999</v>
      </c>
      <c r="P418">
        <f t="shared" si="65"/>
        <v>6.25</v>
      </c>
      <c r="Q418">
        <f t="shared" si="66"/>
        <v>55.246666666666655</v>
      </c>
      <c r="R418">
        <f t="shared" si="67"/>
        <v>67.39</v>
      </c>
      <c r="S418" t="str">
        <f t="shared" si="68"/>
        <v>Satisfactory</v>
      </c>
      <c r="T418" t="str">
        <f t="shared" si="69"/>
        <v>PM10</v>
      </c>
      <c r="U418">
        <v>20.75</v>
      </c>
      <c r="V418">
        <v>59</v>
      </c>
    </row>
    <row r="419" spans="1:22" x14ac:dyDescent="0.3">
      <c r="A419" s="2" t="s">
        <v>15</v>
      </c>
      <c r="B419">
        <v>560026</v>
      </c>
      <c r="C419" s="3">
        <v>43897</v>
      </c>
      <c r="D419">
        <v>38.32</v>
      </c>
      <c r="E419">
        <v>67.290000000000006</v>
      </c>
      <c r="F419">
        <v>25.17</v>
      </c>
      <c r="G419">
        <v>12.54</v>
      </c>
      <c r="H419">
        <v>11.48</v>
      </c>
      <c r="I419">
        <v>0.55000000000000004</v>
      </c>
      <c r="J419">
        <v>49.15</v>
      </c>
      <c r="K419">
        <f t="shared" si="60"/>
        <v>63.866666666666667</v>
      </c>
      <c r="L419">
        <f t="shared" si="61"/>
        <v>67.290000000000006</v>
      </c>
      <c r="M419">
        <f t="shared" si="62"/>
        <v>31.462499999999999</v>
      </c>
      <c r="N419">
        <f t="shared" si="63"/>
        <v>3.1349999999999998</v>
      </c>
      <c r="O419">
        <f t="shared" si="64"/>
        <v>14.35</v>
      </c>
      <c r="P419">
        <f t="shared" si="65"/>
        <v>6.25</v>
      </c>
      <c r="Q419">
        <f t="shared" si="66"/>
        <v>45.50925925925926</v>
      </c>
      <c r="R419">
        <f t="shared" si="67"/>
        <v>67.290000000000006</v>
      </c>
      <c r="S419" t="str">
        <f t="shared" si="68"/>
        <v>Satisfactory</v>
      </c>
      <c r="T419" t="str">
        <f t="shared" si="69"/>
        <v>PM10</v>
      </c>
      <c r="U419">
        <v>18.760000000000002</v>
      </c>
      <c r="V419">
        <v>59.72</v>
      </c>
    </row>
    <row r="420" spans="1:22" x14ac:dyDescent="0.3">
      <c r="A420" s="2" t="s">
        <v>15</v>
      </c>
      <c r="B420">
        <v>560026</v>
      </c>
      <c r="C420" s="3">
        <v>43898</v>
      </c>
      <c r="D420">
        <v>33.6</v>
      </c>
      <c r="E420">
        <v>61.16</v>
      </c>
      <c r="F420">
        <v>20.56</v>
      </c>
      <c r="G420">
        <v>10.55</v>
      </c>
      <c r="H420">
        <v>8.84</v>
      </c>
      <c r="I420">
        <v>0.63</v>
      </c>
      <c r="J420">
        <v>54.24</v>
      </c>
      <c r="K420">
        <f t="shared" si="60"/>
        <v>56</v>
      </c>
      <c r="L420">
        <f t="shared" si="61"/>
        <v>61.16</v>
      </c>
      <c r="M420">
        <f t="shared" si="62"/>
        <v>25.7</v>
      </c>
      <c r="N420">
        <f t="shared" si="63"/>
        <v>2.6375000000000002</v>
      </c>
      <c r="O420">
        <f t="shared" si="64"/>
        <v>11.05</v>
      </c>
      <c r="P420">
        <f t="shared" si="65"/>
        <v>7.1590909090909092</v>
      </c>
      <c r="Q420">
        <f t="shared" si="66"/>
        <v>48.51733333333334</v>
      </c>
      <c r="R420">
        <f t="shared" si="67"/>
        <v>61.16</v>
      </c>
      <c r="S420" t="str">
        <f t="shared" si="68"/>
        <v>Satisfactory</v>
      </c>
      <c r="T420" t="str">
        <f t="shared" si="69"/>
        <v>PM10</v>
      </c>
      <c r="U420">
        <v>16.03</v>
      </c>
      <c r="V420">
        <v>56.82</v>
      </c>
    </row>
    <row r="421" spans="1:22" x14ac:dyDescent="0.3">
      <c r="A421" s="2" t="s">
        <v>15</v>
      </c>
      <c r="B421">
        <v>560026</v>
      </c>
      <c r="C421" s="3">
        <v>43899</v>
      </c>
      <c r="D421">
        <v>37.24</v>
      </c>
      <c r="E421">
        <v>69.099999999999994</v>
      </c>
      <c r="F421">
        <v>26.15</v>
      </c>
      <c r="G421">
        <v>9.9499999999999993</v>
      </c>
      <c r="H421">
        <v>10.48</v>
      </c>
      <c r="I421">
        <v>0.56999999999999995</v>
      </c>
      <c r="J421">
        <v>55.39</v>
      </c>
      <c r="K421">
        <f t="shared" si="60"/>
        <v>62.06666666666667</v>
      </c>
      <c r="L421">
        <f t="shared" si="61"/>
        <v>69.099999999999994</v>
      </c>
      <c r="M421">
        <f t="shared" si="62"/>
        <v>32.6875</v>
      </c>
      <c r="N421">
        <f t="shared" si="63"/>
        <v>2.4874999999999998</v>
      </c>
      <c r="O421">
        <f t="shared" si="64"/>
        <v>13.1</v>
      </c>
      <c r="P421">
        <f t="shared" si="65"/>
        <v>6.4772727272727266</v>
      </c>
      <c r="Q421">
        <f t="shared" si="66"/>
        <v>52.274000000000001</v>
      </c>
      <c r="R421">
        <f t="shared" si="67"/>
        <v>69.099999999999994</v>
      </c>
      <c r="S421" t="str">
        <f t="shared" si="68"/>
        <v>Satisfactory</v>
      </c>
      <c r="T421" t="str">
        <f t="shared" si="69"/>
        <v>PM10</v>
      </c>
      <c r="U421">
        <v>21.19</v>
      </c>
      <c r="V421">
        <v>59.31</v>
      </c>
    </row>
    <row r="422" spans="1:22" x14ac:dyDescent="0.3">
      <c r="A422" s="2" t="s">
        <v>15</v>
      </c>
      <c r="B422">
        <v>560026</v>
      </c>
      <c r="C422" s="3">
        <v>43900</v>
      </c>
      <c r="D422">
        <v>37.64</v>
      </c>
      <c r="E422">
        <v>71.58</v>
      </c>
      <c r="F422">
        <v>21.72</v>
      </c>
      <c r="G422">
        <v>9.76</v>
      </c>
      <c r="H422">
        <v>10.5</v>
      </c>
      <c r="I422">
        <v>0.5</v>
      </c>
      <c r="J422">
        <v>66.63</v>
      </c>
      <c r="K422">
        <f t="shared" si="60"/>
        <v>62.733333333333334</v>
      </c>
      <c r="L422">
        <f t="shared" si="61"/>
        <v>71.58</v>
      </c>
      <c r="M422">
        <f t="shared" si="62"/>
        <v>27.15</v>
      </c>
      <c r="N422">
        <f t="shared" si="63"/>
        <v>2.44</v>
      </c>
      <c r="O422">
        <f t="shared" si="64"/>
        <v>13.125</v>
      </c>
      <c r="P422">
        <f t="shared" si="65"/>
        <v>5.6818181818181817</v>
      </c>
      <c r="Q422">
        <f t="shared" si="66"/>
        <v>88.991333333333316</v>
      </c>
      <c r="R422">
        <f t="shared" si="67"/>
        <v>88.991333333333316</v>
      </c>
      <c r="S422" t="str">
        <f t="shared" si="68"/>
        <v>Satisfactory</v>
      </c>
      <c r="T422" t="str">
        <f t="shared" si="69"/>
        <v>OZONE</v>
      </c>
      <c r="U422">
        <v>27.78</v>
      </c>
      <c r="V422">
        <v>51.44</v>
      </c>
    </row>
    <row r="423" spans="1:22" x14ac:dyDescent="0.3">
      <c r="A423" s="2" t="s">
        <v>15</v>
      </c>
      <c r="B423">
        <v>560026</v>
      </c>
      <c r="C423" s="3">
        <v>43901</v>
      </c>
      <c r="D423">
        <v>30.45</v>
      </c>
      <c r="E423">
        <v>66.78</v>
      </c>
      <c r="F423">
        <v>22.65</v>
      </c>
      <c r="G423">
        <v>7.28</v>
      </c>
      <c r="H423">
        <v>11.97</v>
      </c>
      <c r="I423">
        <v>0.64</v>
      </c>
      <c r="J423">
        <v>69.59</v>
      </c>
      <c r="K423">
        <f t="shared" si="60"/>
        <v>50.75</v>
      </c>
      <c r="L423">
        <f t="shared" si="61"/>
        <v>66.78</v>
      </c>
      <c r="M423">
        <f t="shared" si="62"/>
        <v>28.3125</v>
      </c>
      <c r="N423">
        <f t="shared" si="63"/>
        <v>1.82</v>
      </c>
      <c r="O423">
        <f t="shared" si="64"/>
        <v>14.9625</v>
      </c>
      <c r="P423">
        <f t="shared" si="65"/>
        <v>7.2727272727272725</v>
      </c>
      <c r="Q423">
        <f t="shared" si="66"/>
        <v>98.660666666666685</v>
      </c>
      <c r="R423">
        <f t="shared" si="67"/>
        <v>98.660666666666685</v>
      </c>
      <c r="S423" t="str">
        <f t="shared" si="68"/>
        <v>Satisfactory</v>
      </c>
      <c r="T423" t="str">
        <f t="shared" si="69"/>
        <v>OZONE</v>
      </c>
      <c r="U423">
        <v>27.49</v>
      </c>
      <c r="V423">
        <v>45.98</v>
      </c>
    </row>
    <row r="424" spans="1:22" x14ac:dyDescent="0.3">
      <c r="A424" s="2" t="s">
        <v>15</v>
      </c>
      <c r="B424">
        <v>560026</v>
      </c>
      <c r="C424" s="3">
        <v>43902</v>
      </c>
      <c r="D424">
        <v>30.65</v>
      </c>
      <c r="E424">
        <v>76.88</v>
      </c>
      <c r="F424">
        <v>30.52</v>
      </c>
      <c r="G424">
        <v>7.69</v>
      </c>
      <c r="H424">
        <v>9.08</v>
      </c>
      <c r="I424">
        <v>0.54</v>
      </c>
      <c r="J424">
        <v>66.680000000000007</v>
      </c>
      <c r="K424">
        <f t="shared" si="60"/>
        <v>51.083333333333329</v>
      </c>
      <c r="L424">
        <f t="shared" si="61"/>
        <v>76.88</v>
      </c>
      <c r="M424">
        <f t="shared" si="62"/>
        <v>38.15</v>
      </c>
      <c r="N424">
        <f t="shared" si="63"/>
        <v>1.9225000000000001</v>
      </c>
      <c r="O424">
        <f t="shared" si="64"/>
        <v>11.35</v>
      </c>
      <c r="P424">
        <f t="shared" si="65"/>
        <v>6.1363636363636367</v>
      </c>
      <c r="Q424">
        <f t="shared" si="66"/>
        <v>89.154666666666685</v>
      </c>
      <c r="R424">
        <f t="shared" si="67"/>
        <v>89.154666666666685</v>
      </c>
      <c r="S424" t="str">
        <f t="shared" si="68"/>
        <v>Satisfactory</v>
      </c>
      <c r="T424" t="str">
        <f t="shared" si="69"/>
        <v>OZONE</v>
      </c>
      <c r="U424">
        <v>27.99</v>
      </c>
      <c r="V424">
        <v>43.7</v>
      </c>
    </row>
    <row r="425" spans="1:22" x14ac:dyDescent="0.3">
      <c r="A425" s="2" t="s">
        <v>15</v>
      </c>
      <c r="B425">
        <v>560026</v>
      </c>
      <c r="C425" s="3">
        <v>43903</v>
      </c>
      <c r="D425">
        <v>29.09</v>
      </c>
      <c r="E425">
        <v>69.5</v>
      </c>
      <c r="F425">
        <v>26.66</v>
      </c>
      <c r="G425">
        <v>7.45</v>
      </c>
      <c r="H425">
        <v>13.42</v>
      </c>
      <c r="I425">
        <v>0.54</v>
      </c>
      <c r="J425">
        <v>59.71</v>
      </c>
      <c r="K425">
        <f t="shared" si="60"/>
        <v>48.483333333333334</v>
      </c>
      <c r="L425">
        <f t="shared" si="61"/>
        <v>69.5</v>
      </c>
      <c r="M425">
        <f t="shared" si="62"/>
        <v>33.325000000000003</v>
      </c>
      <c r="N425">
        <f t="shared" si="63"/>
        <v>1.8625</v>
      </c>
      <c r="O425">
        <f t="shared" si="64"/>
        <v>16.774999999999999</v>
      </c>
      <c r="P425">
        <f t="shared" si="65"/>
        <v>6.1363636363636367</v>
      </c>
      <c r="Q425">
        <f t="shared" si="66"/>
        <v>66.385999999999996</v>
      </c>
      <c r="R425">
        <f t="shared" si="67"/>
        <v>69.5</v>
      </c>
      <c r="S425" t="str">
        <f t="shared" si="68"/>
        <v>Satisfactory</v>
      </c>
      <c r="T425" t="str">
        <f t="shared" si="69"/>
        <v>PM10</v>
      </c>
      <c r="U425">
        <v>28.01</v>
      </c>
      <c r="V425">
        <v>42.94</v>
      </c>
    </row>
    <row r="426" spans="1:22" x14ac:dyDescent="0.3">
      <c r="A426" s="2" t="s">
        <v>15</v>
      </c>
      <c r="B426">
        <v>560026</v>
      </c>
      <c r="C426" s="3">
        <v>43904</v>
      </c>
      <c r="D426">
        <v>27.31</v>
      </c>
      <c r="E426">
        <v>70.52</v>
      </c>
      <c r="F426">
        <v>25.85</v>
      </c>
      <c r="G426">
        <v>7.36</v>
      </c>
      <c r="H426">
        <v>8.67</v>
      </c>
      <c r="I426">
        <v>0.7</v>
      </c>
      <c r="J426">
        <v>61.79</v>
      </c>
      <c r="K426">
        <f t="shared" si="60"/>
        <v>45.516666666666666</v>
      </c>
      <c r="L426">
        <f t="shared" si="61"/>
        <v>70.52</v>
      </c>
      <c r="M426">
        <f t="shared" si="62"/>
        <v>32.3125</v>
      </c>
      <c r="N426">
        <f t="shared" si="63"/>
        <v>1.84</v>
      </c>
      <c r="O426">
        <f t="shared" si="64"/>
        <v>10.8375</v>
      </c>
      <c r="P426">
        <f t="shared" si="65"/>
        <v>7.9545454545454541</v>
      </c>
      <c r="Q426">
        <f t="shared" si="66"/>
        <v>73.180666666666667</v>
      </c>
      <c r="R426">
        <f t="shared" si="67"/>
        <v>73.180666666666667</v>
      </c>
      <c r="S426" t="str">
        <f t="shared" si="68"/>
        <v>Satisfactory</v>
      </c>
      <c r="T426" t="str">
        <f t="shared" si="69"/>
        <v>OZONE</v>
      </c>
      <c r="U426">
        <v>27.9</v>
      </c>
      <c r="V426">
        <v>46.15</v>
      </c>
    </row>
    <row r="427" spans="1:22" x14ac:dyDescent="0.3">
      <c r="A427" s="2" t="s">
        <v>15</v>
      </c>
      <c r="B427">
        <v>560026</v>
      </c>
      <c r="C427" s="3">
        <v>43905</v>
      </c>
      <c r="D427">
        <v>35.21</v>
      </c>
      <c r="E427">
        <v>78.23</v>
      </c>
      <c r="F427">
        <v>25.65</v>
      </c>
      <c r="G427">
        <v>8.7899999999999991</v>
      </c>
      <c r="H427">
        <v>9.31</v>
      </c>
      <c r="I427">
        <v>0.54</v>
      </c>
      <c r="J427">
        <v>62.73</v>
      </c>
      <c r="K427">
        <f t="shared" si="60"/>
        <v>58.683333333333337</v>
      </c>
      <c r="L427">
        <f t="shared" si="61"/>
        <v>78.23</v>
      </c>
      <c r="M427">
        <f t="shared" si="62"/>
        <v>32.0625</v>
      </c>
      <c r="N427">
        <f t="shared" si="63"/>
        <v>2.1974999999999998</v>
      </c>
      <c r="O427">
        <f t="shared" si="64"/>
        <v>11.637499999999999</v>
      </c>
      <c r="P427">
        <f t="shared" si="65"/>
        <v>6.1363636363636367</v>
      </c>
      <c r="Q427">
        <f t="shared" si="66"/>
        <v>76.251333333333321</v>
      </c>
      <c r="R427">
        <f t="shared" si="67"/>
        <v>78.23</v>
      </c>
      <c r="S427" t="str">
        <f t="shared" si="68"/>
        <v>Satisfactory</v>
      </c>
      <c r="T427" t="str">
        <f t="shared" si="69"/>
        <v>PM10</v>
      </c>
      <c r="U427">
        <v>27.48</v>
      </c>
      <c r="V427">
        <v>50</v>
      </c>
    </row>
    <row r="428" spans="1:22" x14ac:dyDescent="0.3">
      <c r="A428" s="2" t="s">
        <v>15</v>
      </c>
      <c r="B428">
        <v>560026</v>
      </c>
      <c r="C428" s="3">
        <v>43906</v>
      </c>
      <c r="D428">
        <v>21.8</v>
      </c>
      <c r="E428">
        <v>55.32</v>
      </c>
      <c r="F428">
        <v>18.079999999999998</v>
      </c>
      <c r="G428">
        <v>8.6199999999999992</v>
      </c>
      <c r="H428">
        <v>9.52</v>
      </c>
      <c r="I428">
        <v>0.42</v>
      </c>
      <c r="J428">
        <v>53.2</v>
      </c>
      <c r="K428">
        <f t="shared" si="60"/>
        <v>36.333333333333336</v>
      </c>
      <c r="L428">
        <f t="shared" si="61"/>
        <v>55.32</v>
      </c>
      <c r="M428">
        <f t="shared" si="62"/>
        <v>22.599999999999998</v>
      </c>
      <c r="N428">
        <f t="shared" si="63"/>
        <v>2.1549999999999998</v>
      </c>
      <c r="O428">
        <f t="shared" si="64"/>
        <v>11.9</v>
      </c>
      <c r="P428">
        <f t="shared" si="65"/>
        <v>4.7727272727272725</v>
      </c>
      <c r="Q428">
        <f t="shared" si="66"/>
        <v>49.25925925925926</v>
      </c>
      <c r="R428">
        <f t="shared" si="67"/>
        <v>55.32</v>
      </c>
      <c r="S428" t="str">
        <f t="shared" si="68"/>
        <v>Satisfactory</v>
      </c>
      <c r="T428" t="str">
        <f t="shared" si="69"/>
        <v>PM10</v>
      </c>
      <c r="U428">
        <v>27.44</v>
      </c>
      <c r="V428">
        <v>52.65</v>
      </c>
    </row>
    <row r="429" spans="1:22" x14ac:dyDescent="0.3">
      <c r="A429" s="2" t="s">
        <v>15</v>
      </c>
      <c r="B429">
        <v>560026</v>
      </c>
      <c r="C429" s="3">
        <v>43907</v>
      </c>
      <c r="D429">
        <v>22.75</v>
      </c>
      <c r="E429">
        <v>56.73</v>
      </c>
      <c r="F429">
        <v>19.07</v>
      </c>
      <c r="G429">
        <v>8.7200000000000006</v>
      </c>
      <c r="H429">
        <v>8.68</v>
      </c>
      <c r="I429">
        <v>0.71</v>
      </c>
      <c r="J429">
        <v>37.57</v>
      </c>
      <c r="K429">
        <f t="shared" si="60"/>
        <v>37.916666666666664</v>
      </c>
      <c r="L429">
        <f t="shared" si="61"/>
        <v>56.73</v>
      </c>
      <c r="M429">
        <f t="shared" si="62"/>
        <v>23.837499999999999</v>
      </c>
      <c r="N429">
        <f t="shared" si="63"/>
        <v>2.1800000000000002</v>
      </c>
      <c r="O429">
        <f t="shared" si="64"/>
        <v>10.85</v>
      </c>
      <c r="P429">
        <f t="shared" si="65"/>
        <v>8.0681818181818183</v>
      </c>
      <c r="Q429">
        <f t="shared" si="66"/>
        <v>34.787037037037038</v>
      </c>
      <c r="R429">
        <f t="shared" si="67"/>
        <v>56.73</v>
      </c>
      <c r="S429" t="str">
        <f t="shared" si="68"/>
        <v>Satisfactory</v>
      </c>
      <c r="T429" t="str">
        <f t="shared" si="69"/>
        <v>PM10</v>
      </c>
      <c r="U429">
        <v>27.45</v>
      </c>
      <c r="V429">
        <v>50.13</v>
      </c>
    </row>
    <row r="430" spans="1:22" x14ac:dyDescent="0.3">
      <c r="A430" s="2" t="s">
        <v>15</v>
      </c>
      <c r="B430">
        <v>560026</v>
      </c>
      <c r="C430" s="3">
        <v>43908</v>
      </c>
      <c r="D430">
        <v>22.3</v>
      </c>
      <c r="E430">
        <v>58.85</v>
      </c>
      <c r="F430">
        <v>22.63</v>
      </c>
      <c r="G430">
        <v>10.87</v>
      </c>
      <c r="H430">
        <v>10.18</v>
      </c>
      <c r="I430">
        <v>0.84</v>
      </c>
      <c r="J430">
        <v>50.27</v>
      </c>
      <c r="K430">
        <f t="shared" si="60"/>
        <v>37.166666666666664</v>
      </c>
      <c r="L430">
        <f t="shared" si="61"/>
        <v>58.85</v>
      </c>
      <c r="M430">
        <f t="shared" si="62"/>
        <v>28.287500000000001</v>
      </c>
      <c r="N430">
        <f t="shared" si="63"/>
        <v>2.7174999999999998</v>
      </c>
      <c r="O430">
        <f t="shared" si="64"/>
        <v>12.725</v>
      </c>
      <c r="P430">
        <f t="shared" si="65"/>
        <v>9.545454545454545</v>
      </c>
      <c r="Q430">
        <f t="shared" si="66"/>
        <v>46.546296296296298</v>
      </c>
      <c r="R430">
        <f t="shared" si="67"/>
        <v>58.85</v>
      </c>
      <c r="S430" t="str">
        <f t="shared" si="68"/>
        <v>Satisfactory</v>
      </c>
      <c r="T430" t="str">
        <f t="shared" si="69"/>
        <v>PM10</v>
      </c>
      <c r="U430">
        <v>27.63</v>
      </c>
      <c r="V430">
        <v>42.57</v>
      </c>
    </row>
    <row r="431" spans="1:22" x14ac:dyDescent="0.3">
      <c r="A431" s="2" t="s">
        <v>15</v>
      </c>
      <c r="B431">
        <v>560026</v>
      </c>
      <c r="C431" s="3">
        <v>43909</v>
      </c>
      <c r="D431">
        <v>32.56</v>
      </c>
      <c r="E431">
        <v>65.819999999999993</v>
      </c>
      <c r="F431">
        <v>19.95</v>
      </c>
      <c r="G431">
        <v>11.6</v>
      </c>
      <c r="H431">
        <v>14.85</v>
      </c>
      <c r="I431">
        <v>0.52</v>
      </c>
      <c r="J431">
        <v>82.08</v>
      </c>
      <c r="K431">
        <f t="shared" si="60"/>
        <v>54.266666666666673</v>
      </c>
      <c r="L431">
        <f t="shared" si="61"/>
        <v>65.819999999999993</v>
      </c>
      <c r="M431">
        <f t="shared" si="62"/>
        <v>24.9375</v>
      </c>
      <c r="N431">
        <f t="shared" si="63"/>
        <v>2.9</v>
      </c>
      <c r="O431">
        <f t="shared" si="64"/>
        <v>18.5625</v>
      </c>
      <c r="P431">
        <f t="shared" si="65"/>
        <v>5.9090909090909092</v>
      </c>
      <c r="Q431">
        <f t="shared" si="66"/>
        <v>139.78</v>
      </c>
      <c r="R431">
        <f t="shared" si="67"/>
        <v>139.78</v>
      </c>
      <c r="S431" t="str">
        <f t="shared" si="68"/>
        <v>Moderate</v>
      </c>
      <c r="T431" t="str">
        <f t="shared" si="69"/>
        <v>OZONE</v>
      </c>
      <c r="U431">
        <v>27.77</v>
      </c>
      <c r="V431">
        <v>47.03</v>
      </c>
    </row>
    <row r="432" spans="1:22" x14ac:dyDescent="0.3">
      <c r="A432" s="2" t="s">
        <v>15</v>
      </c>
      <c r="B432">
        <v>560026</v>
      </c>
      <c r="C432" s="3">
        <v>43910</v>
      </c>
      <c r="D432">
        <v>39.74</v>
      </c>
      <c r="E432">
        <v>80.489999999999995</v>
      </c>
      <c r="F432">
        <v>19.98</v>
      </c>
      <c r="G432">
        <v>12.52</v>
      </c>
      <c r="H432">
        <v>11.64</v>
      </c>
      <c r="I432">
        <v>0.92</v>
      </c>
      <c r="J432">
        <v>60.41</v>
      </c>
      <c r="K432">
        <f t="shared" si="60"/>
        <v>66.233333333333334</v>
      </c>
      <c r="L432">
        <f t="shared" si="61"/>
        <v>80.489999999999995</v>
      </c>
      <c r="M432">
        <f t="shared" si="62"/>
        <v>24.975000000000001</v>
      </c>
      <c r="N432">
        <f t="shared" si="63"/>
        <v>3.13</v>
      </c>
      <c r="O432">
        <f t="shared" si="64"/>
        <v>14.55</v>
      </c>
      <c r="P432">
        <f t="shared" si="65"/>
        <v>10.454545454545455</v>
      </c>
      <c r="Q432">
        <f t="shared" si="66"/>
        <v>68.672666666666657</v>
      </c>
      <c r="R432">
        <f t="shared" si="67"/>
        <v>80.489999999999995</v>
      </c>
      <c r="S432" t="str">
        <f t="shared" si="68"/>
        <v>Satisfactory</v>
      </c>
      <c r="T432" t="str">
        <f t="shared" si="69"/>
        <v>PM10</v>
      </c>
      <c r="U432">
        <v>26.8</v>
      </c>
      <c r="V432">
        <v>59.11</v>
      </c>
    </row>
    <row r="433" spans="1:22" x14ac:dyDescent="0.3">
      <c r="A433" s="2" t="s">
        <v>15</v>
      </c>
      <c r="B433">
        <v>560026</v>
      </c>
      <c r="C433" s="3">
        <v>43911</v>
      </c>
      <c r="D433">
        <v>48.65</v>
      </c>
      <c r="E433">
        <v>101.04</v>
      </c>
      <c r="F433">
        <v>31.64</v>
      </c>
      <c r="G433">
        <v>12.91</v>
      </c>
      <c r="H433">
        <v>7.92</v>
      </c>
      <c r="I433">
        <v>0.85</v>
      </c>
      <c r="J433">
        <v>71.37</v>
      </c>
      <c r="K433">
        <f t="shared" si="60"/>
        <v>81.083333333333329</v>
      </c>
      <c r="L433">
        <f t="shared" si="61"/>
        <v>100.69333333333334</v>
      </c>
      <c r="M433">
        <f t="shared" si="62"/>
        <v>39.549999999999997</v>
      </c>
      <c r="N433">
        <f t="shared" si="63"/>
        <v>3.2275</v>
      </c>
      <c r="O433">
        <f t="shared" si="64"/>
        <v>9.9</v>
      </c>
      <c r="P433">
        <f t="shared" si="65"/>
        <v>9.6590909090909083</v>
      </c>
      <c r="Q433">
        <f t="shared" si="66"/>
        <v>102.29500000000002</v>
      </c>
      <c r="R433">
        <f t="shared" si="67"/>
        <v>102.29500000000002</v>
      </c>
      <c r="S433" t="str">
        <f t="shared" si="68"/>
        <v>Moderate</v>
      </c>
      <c r="T433" t="str">
        <f t="shared" si="69"/>
        <v>OZONE</v>
      </c>
      <c r="U433">
        <v>25.8</v>
      </c>
      <c r="V433">
        <v>53.02</v>
      </c>
    </row>
    <row r="434" spans="1:22" x14ac:dyDescent="0.3">
      <c r="A434" s="2" t="s">
        <v>15</v>
      </c>
      <c r="B434">
        <v>560026</v>
      </c>
      <c r="C434" s="3">
        <v>43912</v>
      </c>
      <c r="D434">
        <v>23.25</v>
      </c>
      <c r="E434">
        <v>43.67</v>
      </c>
      <c r="F434">
        <v>8.9700000000000006</v>
      </c>
      <c r="G434">
        <v>13</v>
      </c>
      <c r="H434">
        <v>8.92</v>
      </c>
      <c r="I434">
        <v>0.36</v>
      </c>
      <c r="J434">
        <v>51.76</v>
      </c>
      <c r="K434">
        <f t="shared" si="60"/>
        <v>38.75</v>
      </c>
      <c r="L434">
        <f t="shared" si="61"/>
        <v>43.67</v>
      </c>
      <c r="M434">
        <f t="shared" si="62"/>
        <v>11.212500000000002</v>
      </c>
      <c r="N434">
        <f t="shared" si="63"/>
        <v>3.25</v>
      </c>
      <c r="O434">
        <f t="shared" si="64"/>
        <v>11.15</v>
      </c>
      <c r="P434">
        <f t="shared" si="65"/>
        <v>4.0909090909090908</v>
      </c>
      <c r="Q434">
        <f t="shared" si="66"/>
        <v>47.925925925925924</v>
      </c>
      <c r="R434">
        <f t="shared" si="67"/>
        <v>47.925925925925924</v>
      </c>
      <c r="S434" t="str">
        <f t="shared" si="68"/>
        <v>Good</v>
      </c>
      <c r="T434" t="str">
        <f t="shared" si="69"/>
        <v>OZONE</v>
      </c>
      <c r="U434">
        <v>25.11</v>
      </c>
      <c r="V434">
        <v>48.28</v>
      </c>
    </row>
    <row r="435" spans="1:22" x14ac:dyDescent="0.3">
      <c r="A435" s="2" t="s">
        <v>15</v>
      </c>
      <c r="B435">
        <v>560026</v>
      </c>
      <c r="C435" s="3">
        <v>43913</v>
      </c>
      <c r="D435">
        <v>34.83</v>
      </c>
      <c r="E435">
        <v>65.17</v>
      </c>
      <c r="F435">
        <v>15.9</v>
      </c>
      <c r="G435">
        <v>13.81</v>
      </c>
      <c r="H435">
        <v>7.85</v>
      </c>
      <c r="I435">
        <v>0.7</v>
      </c>
      <c r="J435">
        <v>42.08</v>
      </c>
      <c r="K435">
        <f t="shared" si="60"/>
        <v>58.05</v>
      </c>
      <c r="L435">
        <f t="shared" si="61"/>
        <v>65.17</v>
      </c>
      <c r="M435">
        <f t="shared" si="62"/>
        <v>19.875</v>
      </c>
      <c r="N435">
        <f t="shared" si="63"/>
        <v>3.4525000000000001</v>
      </c>
      <c r="O435">
        <f t="shared" si="64"/>
        <v>9.8125</v>
      </c>
      <c r="P435">
        <f t="shared" si="65"/>
        <v>7.9545454545454541</v>
      </c>
      <c r="Q435">
        <f t="shared" si="66"/>
        <v>38.962962962962962</v>
      </c>
      <c r="R435">
        <f t="shared" si="67"/>
        <v>65.17</v>
      </c>
      <c r="S435" t="str">
        <f t="shared" si="68"/>
        <v>Satisfactory</v>
      </c>
      <c r="T435" t="str">
        <f t="shared" si="69"/>
        <v>PM10</v>
      </c>
      <c r="U435">
        <v>21.76</v>
      </c>
      <c r="V435">
        <v>60.15</v>
      </c>
    </row>
    <row r="436" spans="1:22" x14ac:dyDescent="0.3">
      <c r="A436" s="2" t="s">
        <v>15</v>
      </c>
      <c r="B436">
        <v>560026</v>
      </c>
      <c r="C436" s="3">
        <v>43914</v>
      </c>
      <c r="D436">
        <v>32.447894740000002</v>
      </c>
      <c r="E436">
        <v>68.395789469999997</v>
      </c>
      <c r="F436">
        <v>22.64</v>
      </c>
      <c r="G436">
        <v>10.47894737</v>
      </c>
      <c r="H436">
        <v>10.56</v>
      </c>
      <c r="I436">
        <v>0.604736842</v>
      </c>
      <c r="J436">
        <v>59.797894739999997</v>
      </c>
      <c r="K436">
        <f t="shared" ref="K436:K499" si="70">IF(ISTEXT(D436),0,IF(D436&lt;=30,D436*50/30,IF(AND(D436&gt;30,D436&lt;=60),50+(D436-30)*50/30,IF(AND(D436&gt;60,D436&lt;=90),100+(D436-60)*100/30,IF(AND(D436&gt;90,D436&lt;=120),200+(D436-90)*(100/30),IF(AND(D436&gt;120,D436&lt;=250),300+(D436-120)*(100/130),IF(D436&gt;250,400+(D436-250)*(100/130))))))))</f>
        <v>54.079824566666673</v>
      </c>
      <c r="L436">
        <f t="shared" ref="L436:L499" si="71">IF(ISTEXT(E436),0,IF(E436&lt;=50,E436,IF(AND(E436&gt;50,E436&lt;=100),E436,IF(AND(E436&gt;100,E436&lt;=250),100+(E436-100)*100/150,IF(AND(E436&gt;250,E436&lt;=350),200+(E436-250),IF(AND(E436&gt;350,E436&lt;=430),300+(E436-350)*(100/80),IF(E436&gt;430,400+(E436-430)*(100/80))))))))</f>
        <v>68.395789469999997</v>
      </c>
      <c r="M436">
        <f t="shared" ref="M436:M499" si="72">IF(ISTEXT(F436),0,IF(F436&lt;=40,F436*50/40,IF(AND(F436&gt;40,F436&lt;=80),50+(F436-40)*50/40,IF(AND(F436&gt;80,F436&lt;=180),100+(F436-80)*100/100,IF(AND(F436&gt;180,F436&lt;=280),200+(F436-180)*(100/100),IF(AND(F436&gt;280,F436&lt;=400),300+(F436-280)*(100/120),IF(F436&gt;400,400+(F436-400)*(100/120))))))))</f>
        <v>28.3</v>
      </c>
      <c r="N436">
        <f t="shared" ref="N436:N499" si="73">IF(ISTEXT(G436),0,IF(G436&lt;=200,G436*50/200,IF(AND(G436&gt;200,G436&lt;=400),50+(G436-200)*50/200,IF(AND(G436&gt;400,G436&lt;=800),100+(G436-400)*100/400,IF(AND(G436&gt;800,G436&lt;=1200),200+(G436-800)*(100/400),IF(AND(G436&gt;1200,G436&lt;=1800),300+(G436-1200)*(100/600),IF(G436&gt;1800,400+(G436-1800)*(100/600))))))))</f>
        <v>2.6197368425000001</v>
      </c>
      <c r="O436">
        <f t="shared" ref="O436:O499" si="74">IF(ISTEXT(H436),0,IF(H436&lt;=40,H436*50/40,IF(AND(H436&gt;40,H436&lt;=80),50+(H436-40)*50/40,IF(AND(H436&gt;80,H436&lt;=380),100+(H436-80)*100/300,IF(AND(H436&gt;380,H436&lt;=800),200+(H436-380)*(100/420),IF(AND(H436&gt;800,H436&lt;=1600),300+(H436-800)*(100/800),IF(H436&gt;1600,400+(H436-1600)*(100/800))))))))</f>
        <v>13.2</v>
      </c>
      <c r="P436">
        <f t="shared" ref="P436:P499" si="75">IF(I436&lt;=4.4,(50-0)/(4.4-0)*(I436-0)+0,
IF(I436&lt;=9.4,(100-51)/(9.4-4.5)*(I436-4.5)+51,
IF(I436&lt;=12.4,(150-101)/(12.4-9.5)*(I436-9.5)+101,
IF(I436&lt;=15.4,(200-151)/(15.4-12.5)*(I436-12.5)+151,
IF(I436&lt;=30.4,(300-201)/(30.4-15.5)*(I436-15.5)+201,
(500-301)/(50.4-30.5)*(I436-30.5)+301)))))</f>
        <v>6.8720095681818183</v>
      </c>
      <c r="Q436">
        <f t="shared" ref="Q436:Q499" si="76">IF(J436&lt;=54,(50-0)/(54-0)*(J436-0)+0,
IF(J436&lt;=70,(100-51)/(70-55)*(J436-55)+51,
IF(J436&lt;=85,(150-101)/(85-71)*(J436-71)+101,
IF(J436&lt;=105,(200-151)/(105-86)*(J436-86)+151,
IF(J436&lt;=200,(300-201)/(200-106)*(J436-106)+201,
(500-301)/(300-201)*(J436-201)+301)))))</f>
        <v>66.673122817333322</v>
      </c>
      <c r="R436">
        <f t="shared" ref="R436:R499" si="77">MAX(K436:Q436)</f>
        <v>68.395789469999997</v>
      </c>
      <c r="S436" t="str">
        <f t="shared" ref="S436:S499" si="78">IF(R436&lt;=50,"Good",
IF(R436&lt;=100,"Satisfactory",
IF(R436&lt;=200,"Moderate",
IF(R436&lt;=300,"Poor",
IF(R436&lt;=400,"Very Poor",
"Severe")))))</f>
        <v>Satisfactory</v>
      </c>
      <c r="T436" t="str">
        <f t="shared" ref="T436:T499" si="79">IF(MAX(K436:Q436)=K436,"PM2.5",
IF(MAX(K436:Q436)=L436,"PM10",
IF(MAX(K436:Q436)=M436,"NO2",
IF(MAX(K436:Q436)=N436,"NH3",
IF(MAX(K436:Q436)=O436,"SO2",
IF(MAX(K436:Q436)=P436,"CO",
IF(MAX(K436:Q436)=Q436,"OZONE","")))))))</f>
        <v>PM10</v>
      </c>
      <c r="U436">
        <v>25.230526319999999</v>
      </c>
      <c r="V436">
        <v>51.268947369999999</v>
      </c>
    </row>
    <row r="437" spans="1:22" x14ac:dyDescent="0.3">
      <c r="A437" s="2" t="s">
        <v>15</v>
      </c>
      <c r="B437">
        <v>560026</v>
      </c>
      <c r="C437" s="3">
        <v>43915</v>
      </c>
      <c r="D437">
        <v>32.447894740000002</v>
      </c>
      <c r="E437">
        <v>68.395789469999997</v>
      </c>
      <c r="F437">
        <v>22.64</v>
      </c>
      <c r="G437">
        <v>10.47894737</v>
      </c>
      <c r="H437">
        <v>10.56</v>
      </c>
      <c r="I437">
        <v>0.604736842</v>
      </c>
      <c r="J437">
        <v>59.797894739999997</v>
      </c>
      <c r="K437">
        <f t="shared" si="70"/>
        <v>54.079824566666673</v>
      </c>
      <c r="L437">
        <f t="shared" si="71"/>
        <v>68.395789469999997</v>
      </c>
      <c r="M437">
        <f t="shared" si="72"/>
        <v>28.3</v>
      </c>
      <c r="N437">
        <f t="shared" si="73"/>
        <v>2.6197368425000001</v>
      </c>
      <c r="O437">
        <f t="shared" si="74"/>
        <v>13.2</v>
      </c>
      <c r="P437">
        <f t="shared" si="75"/>
        <v>6.8720095681818183</v>
      </c>
      <c r="Q437">
        <f t="shared" si="76"/>
        <v>66.673122817333322</v>
      </c>
      <c r="R437">
        <f t="shared" si="77"/>
        <v>68.395789469999997</v>
      </c>
      <c r="S437" t="str">
        <f t="shared" si="78"/>
        <v>Satisfactory</v>
      </c>
      <c r="T437" t="str">
        <f t="shared" si="79"/>
        <v>PM10</v>
      </c>
      <c r="U437">
        <v>25.230526319999999</v>
      </c>
      <c r="V437">
        <v>51.268947369999999</v>
      </c>
    </row>
    <row r="438" spans="1:22" x14ac:dyDescent="0.3">
      <c r="A438" s="2" t="s">
        <v>15</v>
      </c>
      <c r="B438">
        <v>560026</v>
      </c>
      <c r="C438" s="3">
        <v>43916</v>
      </c>
      <c r="D438">
        <v>32.447894740000002</v>
      </c>
      <c r="E438">
        <v>68.395789469999997</v>
      </c>
      <c r="F438">
        <v>22.64</v>
      </c>
      <c r="G438">
        <v>10.47894737</v>
      </c>
      <c r="H438">
        <v>10.56</v>
      </c>
      <c r="I438">
        <v>0.604736842</v>
      </c>
      <c r="J438">
        <v>59.797894739999997</v>
      </c>
      <c r="K438">
        <f t="shared" si="70"/>
        <v>54.079824566666673</v>
      </c>
      <c r="L438">
        <f t="shared" si="71"/>
        <v>68.395789469999997</v>
      </c>
      <c r="M438">
        <f t="shared" si="72"/>
        <v>28.3</v>
      </c>
      <c r="N438">
        <f t="shared" si="73"/>
        <v>2.6197368425000001</v>
      </c>
      <c r="O438">
        <f t="shared" si="74"/>
        <v>13.2</v>
      </c>
      <c r="P438">
        <f t="shared" si="75"/>
        <v>6.8720095681818183</v>
      </c>
      <c r="Q438">
        <f t="shared" si="76"/>
        <v>66.673122817333322</v>
      </c>
      <c r="R438">
        <f t="shared" si="77"/>
        <v>68.395789469999997</v>
      </c>
      <c r="S438" t="str">
        <f t="shared" si="78"/>
        <v>Satisfactory</v>
      </c>
      <c r="T438" t="str">
        <f t="shared" si="79"/>
        <v>PM10</v>
      </c>
      <c r="U438">
        <v>25.230526319999999</v>
      </c>
      <c r="V438">
        <v>51.268947369999999</v>
      </c>
    </row>
    <row r="439" spans="1:22" x14ac:dyDescent="0.3">
      <c r="A439" s="2" t="s">
        <v>15</v>
      </c>
      <c r="B439">
        <v>560026</v>
      </c>
      <c r="C439" s="3">
        <v>43917</v>
      </c>
      <c r="D439">
        <v>32.447894740000002</v>
      </c>
      <c r="E439">
        <v>68.395789469999997</v>
      </c>
      <c r="F439">
        <v>22.64</v>
      </c>
      <c r="G439">
        <v>10.47894737</v>
      </c>
      <c r="H439">
        <v>10.56</v>
      </c>
      <c r="I439">
        <v>0.604736842</v>
      </c>
      <c r="J439">
        <v>59.797894739999997</v>
      </c>
      <c r="K439">
        <f t="shared" si="70"/>
        <v>54.079824566666673</v>
      </c>
      <c r="L439">
        <f t="shared" si="71"/>
        <v>68.395789469999997</v>
      </c>
      <c r="M439">
        <f t="shared" si="72"/>
        <v>28.3</v>
      </c>
      <c r="N439">
        <f t="shared" si="73"/>
        <v>2.6197368425000001</v>
      </c>
      <c r="O439">
        <f t="shared" si="74"/>
        <v>13.2</v>
      </c>
      <c r="P439">
        <f t="shared" si="75"/>
        <v>6.8720095681818183</v>
      </c>
      <c r="Q439">
        <f t="shared" si="76"/>
        <v>66.673122817333322</v>
      </c>
      <c r="R439">
        <f t="shared" si="77"/>
        <v>68.395789469999997</v>
      </c>
      <c r="S439" t="str">
        <f t="shared" si="78"/>
        <v>Satisfactory</v>
      </c>
      <c r="T439" t="str">
        <f t="shared" si="79"/>
        <v>PM10</v>
      </c>
      <c r="U439">
        <v>25.230526319999999</v>
      </c>
      <c r="V439">
        <v>51.268947369999999</v>
      </c>
    </row>
    <row r="440" spans="1:22" x14ac:dyDescent="0.3">
      <c r="A440" s="2" t="s">
        <v>15</v>
      </c>
      <c r="B440">
        <v>560026</v>
      </c>
      <c r="C440" s="3">
        <v>43918</v>
      </c>
      <c r="D440">
        <v>32.447894740000002</v>
      </c>
      <c r="E440">
        <v>68.395789469999997</v>
      </c>
      <c r="F440">
        <v>22.64</v>
      </c>
      <c r="G440">
        <v>10.47894737</v>
      </c>
      <c r="H440">
        <v>10.56</v>
      </c>
      <c r="I440">
        <v>0.604736842</v>
      </c>
      <c r="J440">
        <v>59.797894739999997</v>
      </c>
      <c r="K440">
        <f t="shared" si="70"/>
        <v>54.079824566666673</v>
      </c>
      <c r="L440">
        <f t="shared" si="71"/>
        <v>68.395789469999997</v>
      </c>
      <c r="M440">
        <f t="shared" si="72"/>
        <v>28.3</v>
      </c>
      <c r="N440">
        <f t="shared" si="73"/>
        <v>2.6197368425000001</v>
      </c>
      <c r="O440">
        <f t="shared" si="74"/>
        <v>13.2</v>
      </c>
      <c r="P440">
        <f t="shared" si="75"/>
        <v>6.8720095681818183</v>
      </c>
      <c r="Q440">
        <f t="shared" si="76"/>
        <v>66.673122817333322</v>
      </c>
      <c r="R440">
        <f t="shared" si="77"/>
        <v>68.395789469999997</v>
      </c>
      <c r="S440" t="str">
        <f t="shared" si="78"/>
        <v>Satisfactory</v>
      </c>
      <c r="T440" t="str">
        <f t="shared" si="79"/>
        <v>PM10</v>
      </c>
      <c r="U440">
        <v>25.230526319999999</v>
      </c>
      <c r="V440">
        <v>51.268947369999999</v>
      </c>
    </row>
    <row r="441" spans="1:22" x14ac:dyDescent="0.3">
      <c r="A441" s="2" t="s">
        <v>15</v>
      </c>
      <c r="B441">
        <v>560026</v>
      </c>
      <c r="C441" s="3">
        <v>43919</v>
      </c>
      <c r="D441">
        <v>32.447894740000002</v>
      </c>
      <c r="E441">
        <v>68.395789469999997</v>
      </c>
      <c r="F441">
        <v>22.64</v>
      </c>
      <c r="G441">
        <v>10.47894737</v>
      </c>
      <c r="H441">
        <v>10.56</v>
      </c>
      <c r="I441">
        <v>0.604736842</v>
      </c>
      <c r="J441">
        <v>59.797894739999997</v>
      </c>
      <c r="K441">
        <f t="shared" si="70"/>
        <v>54.079824566666673</v>
      </c>
      <c r="L441">
        <f t="shared" si="71"/>
        <v>68.395789469999997</v>
      </c>
      <c r="M441">
        <f t="shared" si="72"/>
        <v>28.3</v>
      </c>
      <c r="N441">
        <f t="shared" si="73"/>
        <v>2.6197368425000001</v>
      </c>
      <c r="O441">
        <f t="shared" si="74"/>
        <v>13.2</v>
      </c>
      <c r="P441">
        <f t="shared" si="75"/>
        <v>6.8720095681818183</v>
      </c>
      <c r="Q441">
        <f t="shared" si="76"/>
        <v>66.673122817333322</v>
      </c>
      <c r="R441">
        <f t="shared" si="77"/>
        <v>68.395789469999997</v>
      </c>
      <c r="S441" t="str">
        <f t="shared" si="78"/>
        <v>Satisfactory</v>
      </c>
      <c r="T441" t="str">
        <f t="shared" si="79"/>
        <v>PM10</v>
      </c>
      <c r="U441">
        <v>25.230526319999999</v>
      </c>
      <c r="V441">
        <v>51.268947369999999</v>
      </c>
    </row>
    <row r="442" spans="1:22" x14ac:dyDescent="0.3">
      <c r="A442" s="2" t="s">
        <v>15</v>
      </c>
      <c r="B442">
        <v>560026</v>
      </c>
      <c r="C442" s="3">
        <v>43920</v>
      </c>
      <c r="D442">
        <v>32.447894740000002</v>
      </c>
      <c r="E442">
        <v>68.395789469999997</v>
      </c>
      <c r="F442">
        <v>22.64</v>
      </c>
      <c r="G442">
        <v>10.47894737</v>
      </c>
      <c r="H442">
        <v>10.56</v>
      </c>
      <c r="I442">
        <v>0.604736842</v>
      </c>
      <c r="J442">
        <v>59.797894739999997</v>
      </c>
      <c r="K442">
        <f t="shared" si="70"/>
        <v>54.079824566666673</v>
      </c>
      <c r="L442">
        <f t="shared" si="71"/>
        <v>68.395789469999997</v>
      </c>
      <c r="M442">
        <f t="shared" si="72"/>
        <v>28.3</v>
      </c>
      <c r="N442">
        <f t="shared" si="73"/>
        <v>2.6197368425000001</v>
      </c>
      <c r="O442">
        <f t="shared" si="74"/>
        <v>13.2</v>
      </c>
      <c r="P442">
        <f t="shared" si="75"/>
        <v>6.8720095681818183</v>
      </c>
      <c r="Q442">
        <f t="shared" si="76"/>
        <v>66.673122817333322</v>
      </c>
      <c r="R442">
        <f t="shared" si="77"/>
        <v>68.395789469999997</v>
      </c>
      <c r="S442" t="str">
        <f t="shared" si="78"/>
        <v>Satisfactory</v>
      </c>
      <c r="T442" t="str">
        <f t="shared" si="79"/>
        <v>PM10</v>
      </c>
      <c r="U442">
        <v>25.230526319999999</v>
      </c>
      <c r="V442">
        <v>51.268947369999999</v>
      </c>
    </row>
    <row r="443" spans="1:22" x14ac:dyDescent="0.3">
      <c r="A443" s="2" t="s">
        <v>15</v>
      </c>
      <c r="B443">
        <v>560026</v>
      </c>
      <c r="C443" s="3">
        <v>43921</v>
      </c>
      <c r="D443">
        <v>32.447894740000002</v>
      </c>
      <c r="E443">
        <v>68.395789469999997</v>
      </c>
      <c r="F443">
        <v>22.64</v>
      </c>
      <c r="G443">
        <v>10.47894737</v>
      </c>
      <c r="H443">
        <v>10.56</v>
      </c>
      <c r="I443">
        <v>0.604736842</v>
      </c>
      <c r="J443">
        <v>59.797894739999997</v>
      </c>
      <c r="K443">
        <f t="shared" si="70"/>
        <v>54.079824566666673</v>
      </c>
      <c r="L443">
        <f t="shared" si="71"/>
        <v>68.395789469999997</v>
      </c>
      <c r="M443">
        <f t="shared" si="72"/>
        <v>28.3</v>
      </c>
      <c r="N443">
        <f t="shared" si="73"/>
        <v>2.6197368425000001</v>
      </c>
      <c r="O443">
        <f t="shared" si="74"/>
        <v>13.2</v>
      </c>
      <c r="P443">
        <f t="shared" si="75"/>
        <v>6.8720095681818183</v>
      </c>
      <c r="Q443">
        <f t="shared" si="76"/>
        <v>66.673122817333322</v>
      </c>
      <c r="R443">
        <f t="shared" si="77"/>
        <v>68.395789469999997</v>
      </c>
      <c r="S443" t="str">
        <f t="shared" si="78"/>
        <v>Satisfactory</v>
      </c>
      <c r="T443" t="str">
        <f t="shared" si="79"/>
        <v>PM10</v>
      </c>
      <c r="U443">
        <v>25.230526319999999</v>
      </c>
      <c r="V443">
        <v>51.268947369999999</v>
      </c>
    </row>
    <row r="444" spans="1:22" x14ac:dyDescent="0.3">
      <c r="A444" s="2" t="s">
        <v>15</v>
      </c>
      <c r="B444">
        <v>560026</v>
      </c>
      <c r="C444" s="3">
        <v>43922</v>
      </c>
      <c r="D444">
        <v>23.895624999999999</v>
      </c>
      <c r="E444">
        <v>41.8048</v>
      </c>
      <c r="F444">
        <v>9.7012</v>
      </c>
      <c r="G444">
        <v>12.7408</v>
      </c>
      <c r="H444">
        <v>8.3648000000000007</v>
      </c>
      <c r="I444">
        <v>0.42959999999999998</v>
      </c>
      <c r="J444">
        <v>54.3536</v>
      </c>
      <c r="K444">
        <f t="shared" si="70"/>
        <v>39.826041666666669</v>
      </c>
      <c r="L444">
        <f t="shared" si="71"/>
        <v>41.8048</v>
      </c>
      <c r="M444">
        <f t="shared" si="72"/>
        <v>12.1265</v>
      </c>
      <c r="N444">
        <f t="shared" si="73"/>
        <v>3.1852</v>
      </c>
      <c r="O444">
        <f t="shared" si="74"/>
        <v>10.456</v>
      </c>
      <c r="P444">
        <f t="shared" si="75"/>
        <v>4.8818181818181818</v>
      </c>
      <c r="Q444">
        <f t="shared" si="76"/>
        <v>48.888426666666668</v>
      </c>
      <c r="R444">
        <f t="shared" si="77"/>
        <v>48.888426666666668</v>
      </c>
      <c r="S444" t="str">
        <f t="shared" si="78"/>
        <v>Good</v>
      </c>
      <c r="T444" t="str">
        <f t="shared" si="79"/>
        <v>OZONE</v>
      </c>
      <c r="U444">
        <v>26.9312</v>
      </c>
      <c r="V444">
        <v>54.511200000000002</v>
      </c>
    </row>
    <row r="445" spans="1:22" x14ac:dyDescent="0.3">
      <c r="A445" s="2" t="s">
        <v>15</v>
      </c>
      <c r="B445">
        <v>560026</v>
      </c>
      <c r="C445" s="3">
        <v>43923</v>
      </c>
      <c r="D445">
        <v>23.895624999999999</v>
      </c>
      <c r="E445">
        <v>41.8048</v>
      </c>
      <c r="F445">
        <v>9.7012</v>
      </c>
      <c r="G445">
        <v>12.7408</v>
      </c>
      <c r="H445">
        <v>8.3648000000000007</v>
      </c>
      <c r="I445">
        <v>0.42959999999999998</v>
      </c>
      <c r="J445">
        <v>54.3536</v>
      </c>
      <c r="K445">
        <f t="shared" si="70"/>
        <v>39.826041666666669</v>
      </c>
      <c r="L445">
        <f t="shared" si="71"/>
        <v>41.8048</v>
      </c>
      <c r="M445">
        <f t="shared" si="72"/>
        <v>12.1265</v>
      </c>
      <c r="N445">
        <f t="shared" si="73"/>
        <v>3.1852</v>
      </c>
      <c r="O445">
        <f t="shared" si="74"/>
        <v>10.456</v>
      </c>
      <c r="P445">
        <f t="shared" si="75"/>
        <v>4.8818181818181818</v>
      </c>
      <c r="Q445">
        <f t="shared" si="76"/>
        <v>48.888426666666668</v>
      </c>
      <c r="R445">
        <f t="shared" si="77"/>
        <v>48.888426666666668</v>
      </c>
      <c r="S445" t="str">
        <f t="shared" si="78"/>
        <v>Good</v>
      </c>
      <c r="T445" t="str">
        <f t="shared" si="79"/>
        <v>OZONE</v>
      </c>
      <c r="U445">
        <v>26.9312</v>
      </c>
      <c r="V445">
        <v>54.511200000000002</v>
      </c>
    </row>
    <row r="446" spans="1:22" x14ac:dyDescent="0.3">
      <c r="A446" s="2" t="s">
        <v>15</v>
      </c>
      <c r="B446">
        <v>560026</v>
      </c>
      <c r="C446" s="3">
        <v>43924</v>
      </c>
      <c r="D446">
        <v>23.895624999999999</v>
      </c>
      <c r="E446">
        <v>41.8048</v>
      </c>
      <c r="F446">
        <v>9.7012</v>
      </c>
      <c r="G446">
        <v>12.7408</v>
      </c>
      <c r="H446">
        <v>8.3648000000000007</v>
      </c>
      <c r="I446">
        <v>0.42959999999999998</v>
      </c>
      <c r="J446">
        <v>54.3536</v>
      </c>
      <c r="K446">
        <f t="shared" si="70"/>
        <v>39.826041666666669</v>
      </c>
      <c r="L446">
        <f t="shared" si="71"/>
        <v>41.8048</v>
      </c>
      <c r="M446">
        <f t="shared" si="72"/>
        <v>12.1265</v>
      </c>
      <c r="N446">
        <f t="shared" si="73"/>
        <v>3.1852</v>
      </c>
      <c r="O446">
        <f t="shared" si="74"/>
        <v>10.456</v>
      </c>
      <c r="P446">
        <f t="shared" si="75"/>
        <v>4.8818181818181818</v>
      </c>
      <c r="Q446">
        <f t="shared" si="76"/>
        <v>48.888426666666668</v>
      </c>
      <c r="R446">
        <f t="shared" si="77"/>
        <v>48.888426666666668</v>
      </c>
      <c r="S446" t="str">
        <f t="shared" si="78"/>
        <v>Good</v>
      </c>
      <c r="T446" t="str">
        <f t="shared" si="79"/>
        <v>OZONE</v>
      </c>
      <c r="U446">
        <v>26.9312</v>
      </c>
      <c r="V446">
        <v>54.511200000000002</v>
      </c>
    </row>
    <row r="447" spans="1:22" x14ac:dyDescent="0.3">
      <c r="A447" s="2" t="s">
        <v>15</v>
      </c>
      <c r="B447">
        <v>560026</v>
      </c>
      <c r="C447" s="3">
        <v>43925</v>
      </c>
      <c r="D447">
        <v>23.895624999999999</v>
      </c>
      <c r="E447">
        <v>41.8048</v>
      </c>
      <c r="F447">
        <v>9.7012</v>
      </c>
      <c r="G447">
        <v>12.7408</v>
      </c>
      <c r="H447">
        <v>8.3648000000000007</v>
      </c>
      <c r="I447">
        <v>0.42959999999999998</v>
      </c>
      <c r="J447">
        <v>54.3536</v>
      </c>
      <c r="K447">
        <f t="shared" si="70"/>
        <v>39.826041666666669</v>
      </c>
      <c r="L447">
        <f t="shared" si="71"/>
        <v>41.8048</v>
      </c>
      <c r="M447">
        <f t="shared" si="72"/>
        <v>12.1265</v>
      </c>
      <c r="N447">
        <f t="shared" si="73"/>
        <v>3.1852</v>
      </c>
      <c r="O447">
        <f t="shared" si="74"/>
        <v>10.456</v>
      </c>
      <c r="P447">
        <f t="shared" si="75"/>
        <v>4.8818181818181818</v>
      </c>
      <c r="Q447">
        <f t="shared" si="76"/>
        <v>48.888426666666668</v>
      </c>
      <c r="R447">
        <f t="shared" si="77"/>
        <v>48.888426666666668</v>
      </c>
      <c r="S447" t="str">
        <f t="shared" si="78"/>
        <v>Good</v>
      </c>
      <c r="T447" t="str">
        <f t="shared" si="79"/>
        <v>OZONE</v>
      </c>
      <c r="U447">
        <v>26.9312</v>
      </c>
      <c r="V447">
        <v>54.511200000000002</v>
      </c>
    </row>
    <row r="448" spans="1:22" x14ac:dyDescent="0.3">
      <c r="A448" s="2" t="s">
        <v>15</v>
      </c>
      <c r="B448">
        <v>560026</v>
      </c>
      <c r="C448" s="3">
        <v>43926</v>
      </c>
      <c r="D448">
        <v>23.895624999999999</v>
      </c>
      <c r="E448">
        <v>41.8048</v>
      </c>
      <c r="F448">
        <v>9.7012</v>
      </c>
      <c r="G448">
        <v>12.7408</v>
      </c>
      <c r="H448">
        <v>8.3648000000000007</v>
      </c>
      <c r="I448">
        <v>0.42959999999999998</v>
      </c>
      <c r="J448">
        <v>54.3536</v>
      </c>
      <c r="K448">
        <f t="shared" si="70"/>
        <v>39.826041666666669</v>
      </c>
      <c r="L448">
        <f t="shared" si="71"/>
        <v>41.8048</v>
      </c>
      <c r="M448">
        <f t="shared" si="72"/>
        <v>12.1265</v>
      </c>
      <c r="N448">
        <f t="shared" si="73"/>
        <v>3.1852</v>
      </c>
      <c r="O448">
        <f t="shared" si="74"/>
        <v>10.456</v>
      </c>
      <c r="P448">
        <f t="shared" si="75"/>
        <v>4.8818181818181818</v>
      </c>
      <c r="Q448">
        <f t="shared" si="76"/>
        <v>48.888426666666668</v>
      </c>
      <c r="R448">
        <f t="shared" si="77"/>
        <v>48.888426666666668</v>
      </c>
      <c r="S448" t="str">
        <f t="shared" si="78"/>
        <v>Good</v>
      </c>
      <c r="T448" t="str">
        <f t="shared" si="79"/>
        <v>OZONE</v>
      </c>
      <c r="U448">
        <v>26.9312</v>
      </c>
      <c r="V448">
        <v>54.511200000000002</v>
      </c>
    </row>
    <row r="449" spans="1:22" x14ac:dyDescent="0.3">
      <c r="A449" s="2" t="s">
        <v>15</v>
      </c>
      <c r="B449">
        <v>560026</v>
      </c>
      <c r="C449" s="3">
        <v>43927</v>
      </c>
      <c r="D449">
        <v>30</v>
      </c>
      <c r="E449">
        <v>74</v>
      </c>
      <c r="F449">
        <v>11.58</v>
      </c>
      <c r="G449">
        <v>11.85</v>
      </c>
      <c r="H449">
        <v>8.1199999999999992</v>
      </c>
      <c r="I449">
        <v>0.56000000000000005</v>
      </c>
      <c r="J449">
        <v>72.61</v>
      </c>
      <c r="K449">
        <f t="shared" si="70"/>
        <v>50</v>
      </c>
      <c r="L449">
        <f t="shared" si="71"/>
        <v>74</v>
      </c>
      <c r="M449">
        <f t="shared" si="72"/>
        <v>14.475</v>
      </c>
      <c r="N449">
        <f t="shared" si="73"/>
        <v>2.9624999999999999</v>
      </c>
      <c r="O449">
        <f t="shared" si="74"/>
        <v>10.149999999999999</v>
      </c>
      <c r="P449">
        <f t="shared" si="75"/>
        <v>6.3636363636363642</v>
      </c>
      <c r="Q449">
        <f t="shared" si="76"/>
        <v>106.63499999999999</v>
      </c>
      <c r="R449">
        <f t="shared" si="77"/>
        <v>106.63499999999999</v>
      </c>
      <c r="S449" t="str">
        <f t="shared" si="78"/>
        <v>Moderate</v>
      </c>
      <c r="T449" t="str">
        <f t="shared" si="79"/>
        <v>OZONE</v>
      </c>
      <c r="U449">
        <v>30.72</v>
      </c>
      <c r="V449">
        <v>42.25</v>
      </c>
    </row>
    <row r="450" spans="1:22" x14ac:dyDescent="0.3">
      <c r="A450" s="2" t="s">
        <v>15</v>
      </c>
      <c r="B450">
        <v>560026</v>
      </c>
      <c r="C450" s="3">
        <v>43928</v>
      </c>
      <c r="D450">
        <v>19.87</v>
      </c>
      <c r="E450">
        <v>30.37</v>
      </c>
      <c r="F450">
        <v>8.8699999999999992</v>
      </c>
      <c r="G450">
        <v>12.13</v>
      </c>
      <c r="H450">
        <v>6.82</v>
      </c>
      <c r="I450">
        <v>0.64</v>
      </c>
      <c r="J450">
        <v>57.38</v>
      </c>
      <c r="K450">
        <f t="shared" si="70"/>
        <v>33.116666666666667</v>
      </c>
      <c r="L450">
        <f t="shared" si="71"/>
        <v>30.37</v>
      </c>
      <c r="M450">
        <f t="shared" si="72"/>
        <v>11.087499999999999</v>
      </c>
      <c r="N450">
        <f t="shared" si="73"/>
        <v>3.0325000000000002</v>
      </c>
      <c r="O450">
        <f t="shared" si="74"/>
        <v>8.5250000000000004</v>
      </c>
      <c r="P450">
        <f t="shared" si="75"/>
        <v>7.2727272727272725</v>
      </c>
      <c r="Q450">
        <f t="shared" si="76"/>
        <v>58.774666666666675</v>
      </c>
      <c r="R450">
        <f t="shared" si="77"/>
        <v>58.774666666666675</v>
      </c>
      <c r="S450" t="str">
        <f t="shared" si="78"/>
        <v>Satisfactory</v>
      </c>
      <c r="T450" t="str">
        <f t="shared" si="79"/>
        <v>OZONE</v>
      </c>
      <c r="U450">
        <v>27.97</v>
      </c>
      <c r="V450">
        <v>57.7</v>
      </c>
    </row>
    <row r="451" spans="1:22" x14ac:dyDescent="0.3">
      <c r="A451" s="2" t="s">
        <v>15</v>
      </c>
      <c r="B451">
        <v>560026</v>
      </c>
      <c r="C451" s="3">
        <v>43929</v>
      </c>
      <c r="D451">
        <v>18.420000000000002</v>
      </c>
      <c r="E451">
        <v>31.57</v>
      </c>
      <c r="F451">
        <v>10.19</v>
      </c>
      <c r="G451">
        <v>12</v>
      </c>
      <c r="H451">
        <v>8.32</v>
      </c>
      <c r="I451">
        <v>0.43</v>
      </c>
      <c r="J451">
        <v>64.77</v>
      </c>
      <c r="K451">
        <f t="shared" si="70"/>
        <v>30.700000000000003</v>
      </c>
      <c r="L451">
        <f t="shared" si="71"/>
        <v>31.57</v>
      </c>
      <c r="M451">
        <f t="shared" si="72"/>
        <v>12.737500000000001</v>
      </c>
      <c r="N451">
        <f t="shared" si="73"/>
        <v>3</v>
      </c>
      <c r="O451">
        <f t="shared" si="74"/>
        <v>10.4</v>
      </c>
      <c r="P451">
        <f t="shared" si="75"/>
        <v>4.8863636363636358</v>
      </c>
      <c r="Q451">
        <f t="shared" si="76"/>
        <v>82.915333333333322</v>
      </c>
      <c r="R451">
        <f t="shared" si="77"/>
        <v>82.915333333333322</v>
      </c>
      <c r="S451" t="str">
        <f t="shared" si="78"/>
        <v>Satisfactory</v>
      </c>
      <c r="T451" t="str">
        <f t="shared" si="79"/>
        <v>OZONE</v>
      </c>
      <c r="U451">
        <v>27.61</v>
      </c>
      <c r="V451">
        <v>57.58</v>
      </c>
    </row>
    <row r="452" spans="1:22" x14ac:dyDescent="0.3">
      <c r="A452" s="2" t="s">
        <v>15</v>
      </c>
      <c r="B452">
        <v>560026</v>
      </c>
      <c r="C452" s="3">
        <v>43930</v>
      </c>
      <c r="D452">
        <v>21.24</v>
      </c>
      <c r="E452">
        <v>33.69</v>
      </c>
      <c r="F452">
        <v>9.11</v>
      </c>
      <c r="G452">
        <v>14.05</v>
      </c>
      <c r="H452">
        <v>9.0399999999999991</v>
      </c>
      <c r="I452">
        <v>0.39</v>
      </c>
      <c r="J452">
        <v>56.95</v>
      </c>
      <c r="K452">
        <f t="shared" si="70"/>
        <v>35.4</v>
      </c>
      <c r="L452">
        <f t="shared" si="71"/>
        <v>33.69</v>
      </c>
      <c r="M452">
        <f t="shared" si="72"/>
        <v>11.387499999999999</v>
      </c>
      <c r="N452">
        <f t="shared" si="73"/>
        <v>3.5125000000000002</v>
      </c>
      <c r="O452">
        <f t="shared" si="74"/>
        <v>11.299999999999999</v>
      </c>
      <c r="P452">
        <f t="shared" si="75"/>
        <v>4.4318181818181817</v>
      </c>
      <c r="Q452">
        <f t="shared" si="76"/>
        <v>57.370000000000012</v>
      </c>
      <c r="R452">
        <f t="shared" si="77"/>
        <v>57.370000000000012</v>
      </c>
      <c r="S452" t="str">
        <f t="shared" si="78"/>
        <v>Satisfactory</v>
      </c>
      <c r="T452" t="str">
        <f t="shared" si="79"/>
        <v>OZONE</v>
      </c>
      <c r="U452">
        <v>26.44</v>
      </c>
      <c r="V452">
        <v>66.61</v>
      </c>
    </row>
    <row r="453" spans="1:22" x14ac:dyDescent="0.3">
      <c r="A453" s="2" t="s">
        <v>15</v>
      </c>
      <c r="B453">
        <v>560026</v>
      </c>
      <c r="C453" s="3">
        <v>43931</v>
      </c>
      <c r="D453">
        <v>16.52</v>
      </c>
      <c r="E453">
        <v>27.42</v>
      </c>
      <c r="F453">
        <v>10.17</v>
      </c>
      <c r="G453">
        <v>12.96</v>
      </c>
      <c r="H453">
        <v>5.59</v>
      </c>
      <c r="I453">
        <v>0.28000000000000003</v>
      </c>
      <c r="J453">
        <v>56.18</v>
      </c>
      <c r="K453">
        <f t="shared" si="70"/>
        <v>27.533333333333335</v>
      </c>
      <c r="L453">
        <f t="shared" si="71"/>
        <v>27.42</v>
      </c>
      <c r="M453">
        <f t="shared" si="72"/>
        <v>12.7125</v>
      </c>
      <c r="N453">
        <f t="shared" si="73"/>
        <v>3.24</v>
      </c>
      <c r="O453">
        <f t="shared" si="74"/>
        <v>6.9874999999999998</v>
      </c>
      <c r="P453">
        <f t="shared" si="75"/>
        <v>3.1818181818181821</v>
      </c>
      <c r="Q453">
        <f t="shared" si="76"/>
        <v>54.854666666666667</v>
      </c>
      <c r="R453">
        <f t="shared" si="77"/>
        <v>54.854666666666667</v>
      </c>
      <c r="S453" t="str">
        <f t="shared" si="78"/>
        <v>Satisfactory</v>
      </c>
      <c r="T453" t="str">
        <f t="shared" si="79"/>
        <v>OZONE</v>
      </c>
      <c r="U453">
        <v>19.16</v>
      </c>
      <c r="V453">
        <v>60.29</v>
      </c>
    </row>
    <row r="454" spans="1:22" x14ac:dyDescent="0.3">
      <c r="A454" s="2" t="s">
        <v>15</v>
      </c>
      <c r="B454">
        <v>560026</v>
      </c>
      <c r="C454" s="3">
        <v>43932</v>
      </c>
      <c r="D454">
        <v>28.13</v>
      </c>
      <c r="E454">
        <v>40.340000000000003</v>
      </c>
      <c r="F454">
        <v>8.73</v>
      </c>
      <c r="G454">
        <v>14.22</v>
      </c>
      <c r="H454">
        <v>7.2</v>
      </c>
      <c r="I454">
        <v>0.48</v>
      </c>
      <c r="J454">
        <v>53.61</v>
      </c>
      <c r="K454">
        <f t="shared" si="70"/>
        <v>46.883333333333333</v>
      </c>
      <c r="L454">
        <f t="shared" si="71"/>
        <v>40.340000000000003</v>
      </c>
      <c r="M454">
        <f t="shared" si="72"/>
        <v>10.9125</v>
      </c>
      <c r="N454">
        <f t="shared" si="73"/>
        <v>3.5550000000000002</v>
      </c>
      <c r="O454">
        <f t="shared" si="74"/>
        <v>9</v>
      </c>
      <c r="P454">
        <f t="shared" si="75"/>
        <v>5.4545454545454541</v>
      </c>
      <c r="Q454">
        <f t="shared" si="76"/>
        <v>49.638888888888886</v>
      </c>
      <c r="R454">
        <f t="shared" si="77"/>
        <v>49.638888888888886</v>
      </c>
      <c r="S454" t="str">
        <f t="shared" si="78"/>
        <v>Good</v>
      </c>
      <c r="T454" t="str">
        <f t="shared" si="79"/>
        <v>OZONE</v>
      </c>
      <c r="U454">
        <v>11.77</v>
      </c>
      <c r="V454">
        <v>57.02</v>
      </c>
    </row>
    <row r="455" spans="1:22" x14ac:dyDescent="0.3">
      <c r="A455" s="2" t="s">
        <v>15</v>
      </c>
      <c r="B455">
        <v>560026</v>
      </c>
      <c r="C455" s="3">
        <v>43933</v>
      </c>
      <c r="D455">
        <v>24.1</v>
      </c>
      <c r="E455">
        <v>41.85</v>
      </c>
      <c r="F455">
        <v>8.4700000000000006</v>
      </c>
      <c r="G455">
        <v>12.36</v>
      </c>
      <c r="H455">
        <v>6.83</v>
      </c>
      <c r="I455">
        <v>0.39</v>
      </c>
      <c r="J455">
        <v>61.91</v>
      </c>
      <c r="K455">
        <f t="shared" si="70"/>
        <v>40.166666666666664</v>
      </c>
      <c r="L455">
        <f t="shared" si="71"/>
        <v>41.85</v>
      </c>
      <c r="M455">
        <f t="shared" si="72"/>
        <v>10.587500000000002</v>
      </c>
      <c r="N455">
        <f t="shared" si="73"/>
        <v>3.09</v>
      </c>
      <c r="O455">
        <f t="shared" si="74"/>
        <v>8.5374999999999996</v>
      </c>
      <c r="P455">
        <f t="shared" si="75"/>
        <v>4.4318181818181817</v>
      </c>
      <c r="Q455">
        <f t="shared" si="76"/>
        <v>73.572666666666663</v>
      </c>
      <c r="R455">
        <f t="shared" si="77"/>
        <v>73.572666666666663</v>
      </c>
      <c r="S455" t="str">
        <f t="shared" si="78"/>
        <v>Satisfactory</v>
      </c>
      <c r="T455" t="str">
        <f t="shared" si="79"/>
        <v>OZONE</v>
      </c>
      <c r="U455">
        <v>28.7</v>
      </c>
      <c r="V455">
        <v>46</v>
      </c>
    </row>
    <row r="456" spans="1:22" x14ac:dyDescent="0.3">
      <c r="A456" s="2" t="s">
        <v>15</v>
      </c>
      <c r="B456">
        <v>560026</v>
      </c>
      <c r="C456" s="3">
        <v>43934</v>
      </c>
      <c r="D456">
        <v>28.57</v>
      </c>
      <c r="E456">
        <v>50.9</v>
      </c>
      <c r="F456">
        <v>11.12</v>
      </c>
      <c r="G456">
        <v>13.33</v>
      </c>
      <c r="H456">
        <v>9.74</v>
      </c>
      <c r="I456">
        <v>0.5</v>
      </c>
      <c r="J456">
        <v>66.16</v>
      </c>
      <c r="K456">
        <f t="shared" si="70"/>
        <v>47.616666666666667</v>
      </c>
      <c r="L456">
        <f t="shared" si="71"/>
        <v>50.9</v>
      </c>
      <c r="M456">
        <f t="shared" si="72"/>
        <v>13.9</v>
      </c>
      <c r="N456">
        <f t="shared" si="73"/>
        <v>3.3325</v>
      </c>
      <c r="O456">
        <f t="shared" si="74"/>
        <v>12.175000000000001</v>
      </c>
      <c r="P456">
        <f t="shared" si="75"/>
        <v>5.6818181818181817</v>
      </c>
      <c r="Q456">
        <f t="shared" si="76"/>
        <v>87.455999999999989</v>
      </c>
      <c r="R456">
        <f t="shared" si="77"/>
        <v>87.455999999999989</v>
      </c>
      <c r="S456" t="str">
        <f t="shared" si="78"/>
        <v>Satisfactory</v>
      </c>
      <c r="T456" t="str">
        <f t="shared" si="79"/>
        <v>OZONE</v>
      </c>
      <c r="U456">
        <v>29.13</v>
      </c>
      <c r="V456">
        <v>38.76</v>
      </c>
    </row>
    <row r="457" spans="1:22" x14ac:dyDescent="0.3">
      <c r="A457" s="2" t="s">
        <v>15</v>
      </c>
      <c r="B457">
        <v>560026</v>
      </c>
      <c r="C457" s="3">
        <v>43935</v>
      </c>
      <c r="D457">
        <v>32.65</v>
      </c>
      <c r="E457">
        <v>62.36</v>
      </c>
      <c r="F457">
        <v>12.44</v>
      </c>
      <c r="G457">
        <v>13.37</v>
      </c>
      <c r="H457">
        <v>12.13</v>
      </c>
      <c r="I457">
        <v>0.51</v>
      </c>
      <c r="J457">
        <v>65.39</v>
      </c>
      <c r="K457">
        <f t="shared" si="70"/>
        <v>54.416666666666664</v>
      </c>
      <c r="L457">
        <f t="shared" si="71"/>
        <v>62.36</v>
      </c>
      <c r="M457">
        <f t="shared" si="72"/>
        <v>15.55</v>
      </c>
      <c r="N457">
        <f t="shared" si="73"/>
        <v>3.3424999999999998</v>
      </c>
      <c r="O457">
        <f t="shared" si="74"/>
        <v>15.1625</v>
      </c>
      <c r="P457">
        <f t="shared" si="75"/>
        <v>5.795454545454545</v>
      </c>
      <c r="Q457">
        <f t="shared" si="76"/>
        <v>84.940666666666658</v>
      </c>
      <c r="R457">
        <f t="shared" si="77"/>
        <v>84.940666666666658</v>
      </c>
      <c r="S457" t="str">
        <f t="shared" si="78"/>
        <v>Satisfactory</v>
      </c>
      <c r="T457" t="str">
        <f t="shared" si="79"/>
        <v>OZONE</v>
      </c>
      <c r="U457">
        <v>28.61</v>
      </c>
      <c r="V457">
        <v>33.08</v>
      </c>
    </row>
    <row r="458" spans="1:22" x14ac:dyDescent="0.3">
      <c r="A458" s="2" t="s">
        <v>15</v>
      </c>
      <c r="B458">
        <v>560026</v>
      </c>
      <c r="C458" s="3">
        <v>43936</v>
      </c>
      <c r="D458">
        <v>33.020000000000003</v>
      </c>
      <c r="E458">
        <v>56.27</v>
      </c>
      <c r="F458">
        <v>9.73</v>
      </c>
      <c r="G458">
        <v>13.91</v>
      </c>
      <c r="H458">
        <v>17.3</v>
      </c>
      <c r="I458">
        <v>0.33</v>
      </c>
      <c r="J458">
        <v>60.84</v>
      </c>
      <c r="K458">
        <f t="shared" si="70"/>
        <v>55.033333333333339</v>
      </c>
      <c r="L458">
        <f t="shared" si="71"/>
        <v>56.27</v>
      </c>
      <c r="M458">
        <f t="shared" si="72"/>
        <v>12.1625</v>
      </c>
      <c r="N458">
        <f t="shared" si="73"/>
        <v>3.4775</v>
      </c>
      <c r="O458">
        <f t="shared" si="74"/>
        <v>21.625</v>
      </c>
      <c r="P458">
        <f t="shared" si="75"/>
        <v>3.75</v>
      </c>
      <c r="Q458">
        <f t="shared" si="76"/>
        <v>70.077333333333343</v>
      </c>
      <c r="R458">
        <f t="shared" si="77"/>
        <v>70.077333333333343</v>
      </c>
      <c r="S458" t="str">
        <f t="shared" si="78"/>
        <v>Satisfactory</v>
      </c>
      <c r="T458" t="str">
        <f t="shared" si="79"/>
        <v>OZONE</v>
      </c>
      <c r="U458">
        <v>28.49</v>
      </c>
      <c r="V458">
        <v>42.16</v>
      </c>
    </row>
    <row r="459" spans="1:22" x14ac:dyDescent="0.3">
      <c r="A459" s="2" t="s">
        <v>15</v>
      </c>
      <c r="B459">
        <v>560026</v>
      </c>
      <c r="C459" s="3">
        <v>43937</v>
      </c>
      <c r="D459">
        <v>25.55</v>
      </c>
      <c r="E459">
        <v>45.76</v>
      </c>
      <c r="F459">
        <v>9.61</v>
      </c>
      <c r="G459">
        <v>12.44</v>
      </c>
      <c r="H459">
        <v>9.8699999999999992</v>
      </c>
      <c r="I459">
        <v>0.34</v>
      </c>
      <c r="J459">
        <v>56.92</v>
      </c>
      <c r="K459">
        <f t="shared" si="70"/>
        <v>42.583333333333336</v>
      </c>
      <c r="L459">
        <f t="shared" si="71"/>
        <v>45.76</v>
      </c>
      <c r="M459">
        <f t="shared" si="72"/>
        <v>12.012499999999999</v>
      </c>
      <c r="N459">
        <f t="shared" si="73"/>
        <v>3.11</v>
      </c>
      <c r="O459">
        <f t="shared" si="74"/>
        <v>12.337499999999999</v>
      </c>
      <c r="P459">
        <f t="shared" si="75"/>
        <v>3.8636363636363638</v>
      </c>
      <c r="Q459">
        <f t="shared" si="76"/>
        <v>57.272000000000006</v>
      </c>
      <c r="R459">
        <f t="shared" si="77"/>
        <v>57.272000000000006</v>
      </c>
      <c r="S459" t="str">
        <f t="shared" si="78"/>
        <v>Satisfactory</v>
      </c>
      <c r="T459" t="str">
        <f t="shared" si="79"/>
        <v>OZONE</v>
      </c>
      <c r="U459">
        <v>28.87</v>
      </c>
      <c r="V459">
        <v>45.86</v>
      </c>
    </row>
    <row r="460" spans="1:22" x14ac:dyDescent="0.3">
      <c r="A460" s="2" t="s">
        <v>15</v>
      </c>
      <c r="B460">
        <v>560026</v>
      </c>
      <c r="C460" s="3">
        <v>43938</v>
      </c>
      <c r="D460">
        <v>29.4</v>
      </c>
      <c r="E460">
        <v>54.28</v>
      </c>
      <c r="F460">
        <v>8.32</v>
      </c>
      <c r="G460">
        <v>13.45</v>
      </c>
      <c r="H460">
        <v>9.5399999999999991</v>
      </c>
      <c r="I460">
        <v>0.34</v>
      </c>
      <c r="J460">
        <v>58.64</v>
      </c>
      <c r="K460">
        <f t="shared" si="70"/>
        <v>49</v>
      </c>
      <c r="L460">
        <f t="shared" si="71"/>
        <v>54.28</v>
      </c>
      <c r="M460">
        <f t="shared" si="72"/>
        <v>10.4</v>
      </c>
      <c r="N460">
        <f t="shared" si="73"/>
        <v>3.3624999999999998</v>
      </c>
      <c r="O460">
        <f t="shared" si="74"/>
        <v>11.924999999999999</v>
      </c>
      <c r="P460">
        <f t="shared" si="75"/>
        <v>3.8636363636363638</v>
      </c>
      <c r="Q460">
        <f t="shared" si="76"/>
        <v>62.890666666666668</v>
      </c>
      <c r="R460">
        <f t="shared" si="77"/>
        <v>62.890666666666668</v>
      </c>
      <c r="S460" t="str">
        <f t="shared" si="78"/>
        <v>Satisfactory</v>
      </c>
      <c r="T460" t="str">
        <f t="shared" si="79"/>
        <v>OZONE</v>
      </c>
      <c r="U460">
        <v>28.95</v>
      </c>
      <c r="V460">
        <v>52.61</v>
      </c>
    </row>
    <row r="461" spans="1:22" x14ac:dyDescent="0.3">
      <c r="A461" s="2" t="s">
        <v>15</v>
      </c>
      <c r="B461">
        <v>560026</v>
      </c>
      <c r="C461" s="3">
        <v>43939</v>
      </c>
      <c r="D461">
        <v>26.02</v>
      </c>
      <c r="E461">
        <v>50.29</v>
      </c>
      <c r="F461">
        <v>7.41</v>
      </c>
      <c r="G461">
        <v>13.14</v>
      </c>
      <c r="H461">
        <v>8.94</v>
      </c>
      <c r="I461">
        <v>0.27</v>
      </c>
      <c r="J461">
        <v>55.72</v>
      </c>
      <c r="K461">
        <f t="shared" si="70"/>
        <v>43.366666666666667</v>
      </c>
      <c r="L461">
        <f t="shared" si="71"/>
        <v>50.29</v>
      </c>
      <c r="M461">
        <f t="shared" si="72"/>
        <v>9.2624999999999993</v>
      </c>
      <c r="N461">
        <f t="shared" si="73"/>
        <v>3.2850000000000001</v>
      </c>
      <c r="O461">
        <f t="shared" si="74"/>
        <v>11.175000000000001</v>
      </c>
      <c r="P461">
        <f t="shared" si="75"/>
        <v>3.0681818181818183</v>
      </c>
      <c r="Q461">
        <f t="shared" si="76"/>
        <v>53.351999999999997</v>
      </c>
      <c r="R461">
        <f t="shared" si="77"/>
        <v>53.351999999999997</v>
      </c>
      <c r="S461" t="str">
        <f t="shared" si="78"/>
        <v>Satisfactory</v>
      </c>
      <c r="T461" t="str">
        <f t="shared" si="79"/>
        <v>OZONE</v>
      </c>
      <c r="U461">
        <v>29.03</v>
      </c>
      <c r="V461">
        <v>50.52</v>
      </c>
    </row>
    <row r="462" spans="1:22" x14ac:dyDescent="0.3">
      <c r="A462" s="2" t="s">
        <v>15</v>
      </c>
      <c r="B462">
        <v>560026</v>
      </c>
      <c r="C462" s="3">
        <v>43940</v>
      </c>
      <c r="D462">
        <v>26.26</v>
      </c>
      <c r="E462">
        <v>49.05</v>
      </c>
      <c r="F462">
        <v>6.48</v>
      </c>
      <c r="G462">
        <v>12.28</v>
      </c>
      <c r="H462">
        <v>8.8699999999999992</v>
      </c>
      <c r="I462">
        <v>0.43</v>
      </c>
      <c r="J462">
        <v>50.26</v>
      </c>
      <c r="K462">
        <f t="shared" si="70"/>
        <v>43.766666666666666</v>
      </c>
      <c r="L462">
        <f t="shared" si="71"/>
        <v>49.05</v>
      </c>
      <c r="M462">
        <f t="shared" si="72"/>
        <v>8.1</v>
      </c>
      <c r="N462">
        <f t="shared" si="73"/>
        <v>3.07</v>
      </c>
      <c r="O462">
        <f t="shared" si="74"/>
        <v>11.087499999999999</v>
      </c>
      <c r="P462">
        <f t="shared" si="75"/>
        <v>4.8863636363636358</v>
      </c>
      <c r="Q462">
        <f t="shared" si="76"/>
        <v>46.537037037037038</v>
      </c>
      <c r="R462">
        <f t="shared" si="77"/>
        <v>49.05</v>
      </c>
      <c r="S462" t="str">
        <f t="shared" si="78"/>
        <v>Good</v>
      </c>
      <c r="T462" t="str">
        <f t="shared" si="79"/>
        <v>PM10</v>
      </c>
      <c r="U462">
        <v>28.71</v>
      </c>
      <c r="V462">
        <v>51.43</v>
      </c>
    </row>
    <row r="463" spans="1:22" x14ac:dyDescent="0.3">
      <c r="A463" s="2" t="s">
        <v>15</v>
      </c>
      <c r="B463">
        <v>560026</v>
      </c>
      <c r="C463" s="3">
        <v>43941</v>
      </c>
      <c r="D463">
        <v>12.05</v>
      </c>
      <c r="E463">
        <v>30.98</v>
      </c>
      <c r="F463">
        <v>7.12</v>
      </c>
      <c r="G463">
        <v>12</v>
      </c>
      <c r="H463">
        <v>9.92</v>
      </c>
      <c r="I463">
        <v>0.28999999999999998</v>
      </c>
      <c r="J463">
        <v>44.77</v>
      </c>
      <c r="K463">
        <f t="shared" si="70"/>
        <v>20.083333333333332</v>
      </c>
      <c r="L463">
        <f t="shared" si="71"/>
        <v>30.98</v>
      </c>
      <c r="M463">
        <f t="shared" si="72"/>
        <v>8.9</v>
      </c>
      <c r="N463">
        <f t="shared" si="73"/>
        <v>3</v>
      </c>
      <c r="O463">
        <f t="shared" si="74"/>
        <v>12.4</v>
      </c>
      <c r="P463">
        <f t="shared" si="75"/>
        <v>3.295454545454545</v>
      </c>
      <c r="Q463">
        <f t="shared" si="76"/>
        <v>41.453703703703709</v>
      </c>
      <c r="R463">
        <f t="shared" si="77"/>
        <v>41.453703703703709</v>
      </c>
      <c r="S463" t="str">
        <f t="shared" si="78"/>
        <v>Good</v>
      </c>
      <c r="T463" t="str">
        <f t="shared" si="79"/>
        <v>OZONE</v>
      </c>
      <c r="U463">
        <v>27.95</v>
      </c>
      <c r="V463">
        <v>49.68</v>
      </c>
    </row>
    <row r="464" spans="1:22" x14ac:dyDescent="0.3">
      <c r="A464" s="2" t="s">
        <v>15</v>
      </c>
      <c r="B464">
        <v>560026</v>
      </c>
      <c r="C464" s="3">
        <v>43942</v>
      </c>
      <c r="D464">
        <v>10.53</v>
      </c>
      <c r="E464">
        <v>32.39</v>
      </c>
      <c r="F464">
        <v>9.15</v>
      </c>
      <c r="G464">
        <v>11.15</v>
      </c>
      <c r="H464">
        <v>6.55</v>
      </c>
      <c r="I464">
        <v>0.35</v>
      </c>
      <c r="J464">
        <v>44.21</v>
      </c>
      <c r="K464">
        <f t="shared" si="70"/>
        <v>17.55</v>
      </c>
      <c r="L464">
        <f t="shared" si="71"/>
        <v>32.39</v>
      </c>
      <c r="M464">
        <f t="shared" si="72"/>
        <v>11.4375</v>
      </c>
      <c r="N464">
        <f t="shared" si="73"/>
        <v>2.7875000000000001</v>
      </c>
      <c r="O464">
        <f t="shared" si="74"/>
        <v>8.1875</v>
      </c>
      <c r="P464">
        <f t="shared" si="75"/>
        <v>3.9772727272727271</v>
      </c>
      <c r="Q464">
        <f t="shared" si="76"/>
        <v>40.935185185185183</v>
      </c>
      <c r="R464">
        <f t="shared" si="77"/>
        <v>40.935185185185183</v>
      </c>
      <c r="S464" t="str">
        <f t="shared" si="78"/>
        <v>Good</v>
      </c>
      <c r="T464" t="str">
        <f t="shared" si="79"/>
        <v>OZONE</v>
      </c>
      <c r="U464">
        <v>28.63</v>
      </c>
      <c r="V464">
        <v>47.02</v>
      </c>
    </row>
    <row r="465" spans="1:22" x14ac:dyDescent="0.3">
      <c r="A465" s="2" t="s">
        <v>15</v>
      </c>
      <c r="B465">
        <v>560026</v>
      </c>
      <c r="C465" s="3">
        <v>43943</v>
      </c>
      <c r="D465">
        <v>23.895624999999999</v>
      </c>
      <c r="E465">
        <v>33.630000000000003</v>
      </c>
      <c r="F465">
        <v>6.26</v>
      </c>
      <c r="G465">
        <v>11.58</v>
      </c>
      <c r="H465">
        <v>9.94</v>
      </c>
      <c r="I465">
        <v>0.39</v>
      </c>
      <c r="J465">
        <v>49.17</v>
      </c>
      <c r="K465">
        <f t="shared" si="70"/>
        <v>39.826041666666669</v>
      </c>
      <c r="L465">
        <f t="shared" si="71"/>
        <v>33.630000000000003</v>
      </c>
      <c r="M465">
        <f t="shared" si="72"/>
        <v>7.8250000000000002</v>
      </c>
      <c r="N465">
        <f t="shared" si="73"/>
        <v>2.895</v>
      </c>
      <c r="O465">
        <f t="shared" si="74"/>
        <v>12.425000000000001</v>
      </c>
      <c r="P465">
        <f t="shared" si="75"/>
        <v>4.4318181818181817</v>
      </c>
      <c r="Q465">
        <f t="shared" si="76"/>
        <v>45.527777777777779</v>
      </c>
      <c r="R465">
        <f t="shared" si="77"/>
        <v>45.527777777777779</v>
      </c>
      <c r="S465" t="str">
        <f t="shared" si="78"/>
        <v>Good</v>
      </c>
      <c r="T465" t="str">
        <f t="shared" si="79"/>
        <v>OZONE</v>
      </c>
      <c r="U465">
        <v>28.94</v>
      </c>
      <c r="V465">
        <v>52.77</v>
      </c>
    </row>
    <row r="466" spans="1:22" x14ac:dyDescent="0.3">
      <c r="A466" s="2" t="s">
        <v>15</v>
      </c>
      <c r="B466">
        <v>560026</v>
      </c>
      <c r="C466" s="3">
        <v>43944</v>
      </c>
      <c r="D466">
        <v>23.895624999999999</v>
      </c>
      <c r="E466">
        <v>35.5</v>
      </c>
      <c r="F466">
        <v>7.53</v>
      </c>
      <c r="G466">
        <v>11.87</v>
      </c>
      <c r="H466">
        <v>5.39</v>
      </c>
      <c r="I466">
        <v>0.39</v>
      </c>
      <c r="J466">
        <v>56.4</v>
      </c>
      <c r="K466">
        <f t="shared" si="70"/>
        <v>39.826041666666669</v>
      </c>
      <c r="L466">
        <f t="shared" si="71"/>
        <v>35.5</v>
      </c>
      <c r="M466">
        <f t="shared" si="72"/>
        <v>9.4124999999999996</v>
      </c>
      <c r="N466">
        <f t="shared" si="73"/>
        <v>2.9674999999999998</v>
      </c>
      <c r="O466">
        <f t="shared" si="74"/>
        <v>6.7374999999999998</v>
      </c>
      <c r="P466">
        <f t="shared" si="75"/>
        <v>4.4318181818181817</v>
      </c>
      <c r="Q466">
        <f t="shared" si="76"/>
        <v>55.573333333333331</v>
      </c>
      <c r="R466">
        <f t="shared" si="77"/>
        <v>55.573333333333331</v>
      </c>
      <c r="S466" t="str">
        <f t="shared" si="78"/>
        <v>Satisfactory</v>
      </c>
      <c r="T466" t="str">
        <f t="shared" si="79"/>
        <v>OZONE</v>
      </c>
      <c r="U466">
        <v>26.82</v>
      </c>
      <c r="V466">
        <v>57.06</v>
      </c>
    </row>
    <row r="467" spans="1:22" x14ac:dyDescent="0.3">
      <c r="A467" s="2" t="s">
        <v>15</v>
      </c>
      <c r="B467">
        <v>560026</v>
      </c>
      <c r="C467" s="3">
        <v>43945</v>
      </c>
      <c r="D467">
        <v>23.895624999999999</v>
      </c>
      <c r="E467">
        <v>29.43</v>
      </c>
      <c r="F467">
        <v>9.8800000000000008</v>
      </c>
      <c r="G467">
        <v>13.01</v>
      </c>
      <c r="H467">
        <v>6.7</v>
      </c>
      <c r="I467">
        <v>0.83</v>
      </c>
      <c r="J467">
        <v>53.92</v>
      </c>
      <c r="K467">
        <f t="shared" si="70"/>
        <v>39.826041666666669</v>
      </c>
      <c r="L467">
        <f t="shared" si="71"/>
        <v>29.43</v>
      </c>
      <c r="M467">
        <f t="shared" si="72"/>
        <v>12.350000000000001</v>
      </c>
      <c r="N467">
        <f t="shared" si="73"/>
        <v>3.2524999999999999</v>
      </c>
      <c r="O467">
        <f t="shared" si="74"/>
        <v>8.375</v>
      </c>
      <c r="P467">
        <f t="shared" si="75"/>
        <v>9.4318181818181817</v>
      </c>
      <c r="Q467">
        <f t="shared" si="76"/>
        <v>49.925925925925931</v>
      </c>
      <c r="R467">
        <f t="shared" si="77"/>
        <v>49.925925925925931</v>
      </c>
      <c r="S467" t="str">
        <f t="shared" si="78"/>
        <v>Good</v>
      </c>
      <c r="T467" t="str">
        <f t="shared" si="79"/>
        <v>OZONE</v>
      </c>
      <c r="U467">
        <v>23.33</v>
      </c>
      <c r="V467">
        <v>67.67</v>
      </c>
    </row>
    <row r="468" spans="1:22" x14ac:dyDescent="0.3">
      <c r="A468" s="2" t="s">
        <v>15</v>
      </c>
      <c r="B468">
        <v>560026</v>
      </c>
      <c r="C468" s="3">
        <v>43946</v>
      </c>
      <c r="D468">
        <v>23.895624999999999</v>
      </c>
      <c r="E468">
        <v>39.049999999999997</v>
      </c>
      <c r="F468">
        <v>11.02</v>
      </c>
      <c r="G468">
        <v>13.1</v>
      </c>
      <c r="H468">
        <v>6.07</v>
      </c>
      <c r="I468">
        <v>0.44</v>
      </c>
      <c r="J468">
        <v>39.090000000000003</v>
      </c>
      <c r="K468">
        <f t="shared" si="70"/>
        <v>39.826041666666669</v>
      </c>
      <c r="L468">
        <f t="shared" si="71"/>
        <v>39.049999999999997</v>
      </c>
      <c r="M468">
        <f t="shared" si="72"/>
        <v>13.775</v>
      </c>
      <c r="N468">
        <f t="shared" si="73"/>
        <v>3.2749999999999999</v>
      </c>
      <c r="O468">
        <f t="shared" si="74"/>
        <v>7.5875000000000004</v>
      </c>
      <c r="P468">
        <f t="shared" si="75"/>
        <v>5</v>
      </c>
      <c r="Q468">
        <f t="shared" si="76"/>
        <v>36.19444444444445</v>
      </c>
      <c r="R468">
        <f t="shared" si="77"/>
        <v>39.826041666666669</v>
      </c>
      <c r="S468" t="str">
        <f t="shared" si="78"/>
        <v>Good</v>
      </c>
      <c r="T468" t="str">
        <f t="shared" si="79"/>
        <v>PM2.5</v>
      </c>
      <c r="U468">
        <v>26.91</v>
      </c>
      <c r="V468">
        <v>68.62</v>
      </c>
    </row>
    <row r="469" spans="1:22" x14ac:dyDescent="0.3">
      <c r="A469" s="2" t="s">
        <v>15</v>
      </c>
      <c r="B469">
        <v>560026</v>
      </c>
      <c r="C469" s="3">
        <v>43947</v>
      </c>
      <c r="D469">
        <v>23.895624999999999</v>
      </c>
      <c r="E469">
        <v>32.56</v>
      </c>
      <c r="F469">
        <v>9.6300000000000008</v>
      </c>
      <c r="G469">
        <v>12.96</v>
      </c>
      <c r="H469">
        <v>7.84</v>
      </c>
      <c r="I469">
        <v>0.34</v>
      </c>
      <c r="J469">
        <v>50.64</v>
      </c>
      <c r="K469">
        <f t="shared" si="70"/>
        <v>39.826041666666669</v>
      </c>
      <c r="L469">
        <f t="shared" si="71"/>
        <v>32.56</v>
      </c>
      <c r="M469">
        <f t="shared" si="72"/>
        <v>12.037500000000001</v>
      </c>
      <c r="N469">
        <f t="shared" si="73"/>
        <v>3.24</v>
      </c>
      <c r="O469">
        <f t="shared" si="74"/>
        <v>9.8000000000000007</v>
      </c>
      <c r="P469">
        <f t="shared" si="75"/>
        <v>3.8636363636363638</v>
      </c>
      <c r="Q469">
        <f t="shared" si="76"/>
        <v>46.888888888888893</v>
      </c>
      <c r="R469">
        <f t="shared" si="77"/>
        <v>46.888888888888893</v>
      </c>
      <c r="S469" t="str">
        <f t="shared" si="78"/>
        <v>Good</v>
      </c>
      <c r="T469" t="str">
        <f t="shared" si="79"/>
        <v>OZONE</v>
      </c>
      <c r="U469">
        <v>27.82</v>
      </c>
      <c r="V469">
        <v>61.52</v>
      </c>
    </row>
    <row r="470" spans="1:22" x14ac:dyDescent="0.3">
      <c r="A470" s="2" t="s">
        <v>15</v>
      </c>
      <c r="B470">
        <v>560026</v>
      </c>
      <c r="C470" s="3">
        <v>43948</v>
      </c>
      <c r="D470">
        <v>23.895624999999999</v>
      </c>
      <c r="E470">
        <v>40.18</v>
      </c>
      <c r="F470">
        <v>11.88</v>
      </c>
      <c r="G470">
        <v>13.13</v>
      </c>
      <c r="H470">
        <v>7.29</v>
      </c>
      <c r="I470">
        <v>0.51</v>
      </c>
      <c r="J470">
        <v>42.65</v>
      </c>
      <c r="K470">
        <f t="shared" si="70"/>
        <v>39.826041666666669</v>
      </c>
      <c r="L470">
        <f t="shared" si="71"/>
        <v>40.18</v>
      </c>
      <c r="M470">
        <f t="shared" si="72"/>
        <v>14.85</v>
      </c>
      <c r="N470">
        <f t="shared" si="73"/>
        <v>3.2825000000000002</v>
      </c>
      <c r="O470">
        <f t="shared" si="74"/>
        <v>9.1125000000000007</v>
      </c>
      <c r="P470">
        <f t="shared" si="75"/>
        <v>5.795454545454545</v>
      </c>
      <c r="Q470">
        <f t="shared" si="76"/>
        <v>39.49074074074074</v>
      </c>
      <c r="R470">
        <f t="shared" si="77"/>
        <v>40.18</v>
      </c>
      <c r="S470" t="str">
        <f t="shared" si="78"/>
        <v>Good</v>
      </c>
      <c r="T470" t="str">
        <f t="shared" si="79"/>
        <v>PM10</v>
      </c>
      <c r="U470">
        <v>27.41</v>
      </c>
      <c r="V470">
        <v>65.11</v>
      </c>
    </row>
    <row r="471" spans="1:22" x14ac:dyDescent="0.3">
      <c r="A471" s="2" t="s">
        <v>15</v>
      </c>
      <c r="B471">
        <v>560026</v>
      </c>
      <c r="C471" s="3">
        <v>43949</v>
      </c>
      <c r="D471">
        <v>23.895624999999999</v>
      </c>
      <c r="E471">
        <v>41.09</v>
      </c>
      <c r="F471">
        <v>9.43</v>
      </c>
      <c r="G471">
        <v>13.83</v>
      </c>
      <c r="H471">
        <v>5.9</v>
      </c>
      <c r="I471">
        <v>0.38</v>
      </c>
      <c r="J471">
        <v>50.59</v>
      </c>
      <c r="K471">
        <f t="shared" si="70"/>
        <v>39.826041666666669</v>
      </c>
      <c r="L471">
        <f t="shared" si="71"/>
        <v>41.09</v>
      </c>
      <c r="M471">
        <f t="shared" si="72"/>
        <v>11.7875</v>
      </c>
      <c r="N471">
        <f t="shared" si="73"/>
        <v>3.4575</v>
      </c>
      <c r="O471">
        <f t="shared" si="74"/>
        <v>7.375</v>
      </c>
      <c r="P471">
        <f t="shared" si="75"/>
        <v>4.3181818181818183</v>
      </c>
      <c r="Q471">
        <f t="shared" si="76"/>
        <v>46.842592592592595</v>
      </c>
      <c r="R471">
        <f t="shared" si="77"/>
        <v>46.842592592592595</v>
      </c>
      <c r="S471" t="str">
        <f t="shared" si="78"/>
        <v>Good</v>
      </c>
      <c r="T471" t="str">
        <f t="shared" si="79"/>
        <v>OZONE</v>
      </c>
      <c r="U471">
        <v>28.64</v>
      </c>
      <c r="V471">
        <v>58.83</v>
      </c>
    </row>
    <row r="472" spans="1:22" x14ac:dyDescent="0.3">
      <c r="A472" s="2" t="s">
        <v>15</v>
      </c>
      <c r="B472">
        <v>560026</v>
      </c>
      <c r="C472" s="3">
        <v>43950</v>
      </c>
      <c r="D472">
        <v>23.895624999999999</v>
      </c>
      <c r="E472">
        <v>32.32</v>
      </c>
      <c r="F472">
        <v>10.23</v>
      </c>
      <c r="G472">
        <v>13.23</v>
      </c>
      <c r="H472">
        <v>8.5500000000000007</v>
      </c>
      <c r="I472">
        <v>0.38</v>
      </c>
      <c r="J472">
        <v>43.57</v>
      </c>
      <c r="K472">
        <f t="shared" si="70"/>
        <v>39.826041666666669</v>
      </c>
      <c r="L472">
        <f t="shared" si="71"/>
        <v>32.32</v>
      </c>
      <c r="M472">
        <f t="shared" si="72"/>
        <v>12.7875</v>
      </c>
      <c r="N472">
        <f t="shared" si="73"/>
        <v>3.3075000000000001</v>
      </c>
      <c r="O472">
        <f t="shared" si="74"/>
        <v>10.687500000000002</v>
      </c>
      <c r="P472">
        <f t="shared" si="75"/>
        <v>4.3181818181818183</v>
      </c>
      <c r="Q472">
        <f t="shared" si="76"/>
        <v>40.342592592592595</v>
      </c>
      <c r="R472">
        <f t="shared" si="77"/>
        <v>40.342592592592595</v>
      </c>
      <c r="S472" t="str">
        <f t="shared" si="78"/>
        <v>Good</v>
      </c>
      <c r="T472" t="str">
        <f t="shared" si="79"/>
        <v>OZONE</v>
      </c>
      <c r="U472">
        <v>24.41</v>
      </c>
      <c r="V472">
        <v>74.69</v>
      </c>
    </row>
    <row r="473" spans="1:22" x14ac:dyDescent="0.3">
      <c r="A473" s="2" t="s">
        <v>15</v>
      </c>
      <c r="B473">
        <v>560026</v>
      </c>
      <c r="C473" s="3">
        <v>43951</v>
      </c>
      <c r="D473">
        <v>23.895624999999999</v>
      </c>
      <c r="E473">
        <v>49.84</v>
      </c>
      <c r="F473">
        <v>18.170000000000002</v>
      </c>
      <c r="G473">
        <v>11.17</v>
      </c>
      <c r="H473">
        <v>6.66</v>
      </c>
      <c r="I473">
        <v>0.55000000000000004</v>
      </c>
      <c r="J473">
        <v>46.49</v>
      </c>
      <c r="K473">
        <f t="shared" si="70"/>
        <v>39.826041666666669</v>
      </c>
      <c r="L473">
        <f t="shared" si="71"/>
        <v>49.84</v>
      </c>
      <c r="M473">
        <f t="shared" si="72"/>
        <v>22.712500000000002</v>
      </c>
      <c r="N473">
        <f t="shared" si="73"/>
        <v>2.7925</v>
      </c>
      <c r="O473">
        <f t="shared" si="74"/>
        <v>8.3249999999999993</v>
      </c>
      <c r="P473">
        <f t="shared" si="75"/>
        <v>6.25</v>
      </c>
      <c r="Q473">
        <f t="shared" si="76"/>
        <v>43.046296296296298</v>
      </c>
      <c r="R473">
        <f t="shared" si="77"/>
        <v>49.84</v>
      </c>
      <c r="S473" t="str">
        <f t="shared" si="78"/>
        <v>Good</v>
      </c>
      <c r="T473" t="str">
        <f t="shared" si="79"/>
        <v>PM10</v>
      </c>
      <c r="U473">
        <v>28.26</v>
      </c>
      <c r="V473">
        <v>57.94</v>
      </c>
    </row>
    <row r="474" spans="1:22" x14ac:dyDescent="0.3">
      <c r="A474" s="2" t="s">
        <v>15</v>
      </c>
      <c r="B474">
        <v>560026</v>
      </c>
      <c r="C474" s="3">
        <v>43952</v>
      </c>
      <c r="D474">
        <v>20.611071429999999</v>
      </c>
      <c r="E474">
        <v>46.43</v>
      </c>
      <c r="F474">
        <v>9.8800000000000008</v>
      </c>
      <c r="G474">
        <v>13.69</v>
      </c>
      <c r="H474">
        <v>8.9700000000000006</v>
      </c>
      <c r="I474">
        <v>0.32</v>
      </c>
      <c r="J474">
        <v>54.51</v>
      </c>
      <c r="K474">
        <f t="shared" si="70"/>
        <v>34.351785716666662</v>
      </c>
      <c r="L474">
        <f t="shared" si="71"/>
        <v>46.43</v>
      </c>
      <c r="M474">
        <f t="shared" si="72"/>
        <v>12.350000000000001</v>
      </c>
      <c r="N474">
        <f t="shared" si="73"/>
        <v>3.4224999999999999</v>
      </c>
      <c r="O474">
        <f t="shared" si="74"/>
        <v>11.212500000000002</v>
      </c>
      <c r="P474">
        <f t="shared" si="75"/>
        <v>3.6363636363636362</v>
      </c>
      <c r="Q474">
        <f t="shared" si="76"/>
        <v>49.399333333333324</v>
      </c>
      <c r="R474">
        <f t="shared" si="77"/>
        <v>49.399333333333324</v>
      </c>
      <c r="S474" t="str">
        <f t="shared" si="78"/>
        <v>Good</v>
      </c>
      <c r="T474" t="str">
        <f t="shared" si="79"/>
        <v>OZONE</v>
      </c>
      <c r="U474">
        <v>28.74</v>
      </c>
      <c r="V474">
        <v>57.83</v>
      </c>
    </row>
    <row r="475" spans="1:22" x14ac:dyDescent="0.3">
      <c r="A475" s="2" t="s">
        <v>15</v>
      </c>
      <c r="B475">
        <v>560026</v>
      </c>
      <c r="C475" s="3">
        <v>43953</v>
      </c>
      <c r="D475">
        <v>20.611071429999999</v>
      </c>
      <c r="E475">
        <v>50.67</v>
      </c>
      <c r="F475">
        <v>8.84</v>
      </c>
      <c r="G475">
        <v>13.64</v>
      </c>
      <c r="H475">
        <v>6.69</v>
      </c>
      <c r="I475">
        <v>0.52</v>
      </c>
      <c r="J475">
        <v>56.81</v>
      </c>
      <c r="K475">
        <f t="shared" si="70"/>
        <v>34.351785716666662</v>
      </c>
      <c r="L475">
        <f t="shared" si="71"/>
        <v>50.67</v>
      </c>
      <c r="M475">
        <f t="shared" si="72"/>
        <v>11.05</v>
      </c>
      <c r="N475">
        <f t="shared" si="73"/>
        <v>3.41</v>
      </c>
      <c r="O475">
        <f t="shared" si="74"/>
        <v>8.3625000000000007</v>
      </c>
      <c r="P475">
        <f t="shared" si="75"/>
        <v>5.9090909090909092</v>
      </c>
      <c r="Q475">
        <f t="shared" si="76"/>
        <v>56.912666666666674</v>
      </c>
      <c r="R475">
        <f t="shared" si="77"/>
        <v>56.912666666666674</v>
      </c>
      <c r="S475" t="str">
        <f t="shared" si="78"/>
        <v>Satisfactory</v>
      </c>
      <c r="T475" t="str">
        <f t="shared" si="79"/>
        <v>OZONE</v>
      </c>
      <c r="U475">
        <v>26.71</v>
      </c>
      <c r="V475">
        <v>60.15</v>
      </c>
    </row>
    <row r="476" spans="1:22" x14ac:dyDescent="0.3">
      <c r="A476" s="2" t="s">
        <v>15</v>
      </c>
      <c r="B476">
        <v>560026</v>
      </c>
      <c r="C476" s="3">
        <v>43954</v>
      </c>
      <c r="D476">
        <v>20.611071429999999</v>
      </c>
      <c r="E476">
        <v>47.45</v>
      </c>
      <c r="F476">
        <v>10.029999999999999</v>
      </c>
      <c r="G476">
        <v>13.01</v>
      </c>
      <c r="H476">
        <v>5.29</v>
      </c>
      <c r="I476">
        <v>0.42</v>
      </c>
      <c r="J476">
        <v>59.79</v>
      </c>
      <c r="K476">
        <f t="shared" si="70"/>
        <v>34.351785716666662</v>
      </c>
      <c r="L476">
        <f t="shared" si="71"/>
        <v>47.45</v>
      </c>
      <c r="M476">
        <f t="shared" si="72"/>
        <v>12.537499999999998</v>
      </c>
      <c r="N476">
        <f t="shared" si="73"/>
        <v>3.2524999999999999</v>
      </c>
      <c r="O476">
        <f t="shared" si="74"/>
        <v>6.6124999999999998</v>
      </c>
      <c r="P476">
        <f t="shared" si="75"/>
        <v>4.7727272727272725</v>
      </c>
      <c r="Q476">
        <f t="shared" si="76"/>
        <v>66.647333333333336</v>
      </c>
      <c r="R476">
        <f t="shared" si="77"/>
        <v>66.647333333333336</v>
      </c>
      <c r="S476" t="str">
        <f t="shared" si="78"/>
        <v>Satisfactory</v>
      </c>
      <c r="T476" t="str">
        <f t="shared" si="79"/>
        <v>OZONE</v>
      </c>
      <c r="U476">
        <v>24.63</v>
      </c>
      <c r="V476">
        <v>58.07</v>
      </c>
    </row>
    <row r="477" spans="1:22" x14ac:dyDescent="0.3">
      <c r="A477" s="2" t="s">
        <v>15</v>
      </c>
      <c r="B477">
        <v>560026</v>
      </c>
      <c r="C477" s="3">
        <v>43955</v>
      </c>
      <c r="D477">
        <v>27.22</v>
      </c>
      <c r="E477">
        <v>60.93</v>
      </c>
      <c r="F477">
        <v>13.46</v>
      </c>
      <c r="G477">
        <v>12.58</v>
      </c>
      <c r="H477">
        <v>8.57</v>
      </c>
      <c r="I477">
        <v>0.48</v>
      </c>
      <c r="J477">
        <v>66.56</v>
      </c>
      <c r="K477">
        <f t="shared" si="70"/>
        <v>45.366666666666667</v>
      </c>
      <c r="L477">
        <f t="shared" si="71"/>
        <v>60.93</v>
      </c>
      <c r="M477">
        <f t="shared" si="72"/>
        <v>16.824999999999999</v>
      </c>
      <c r="N477">
        <f t="shared" si="73"/>
        <v>3.145</v>
      </c>
      <c r="O477">
        <f t="shared" si="74"/>
        <v>10.7125</v>
      </c>
      <c r="P477">
        <f t="shared" si="75"/>
        <v>5.4545454545454541</v>
      </c>
      <c r="Q477">
        <f t="shared" si="76"/>
        <v>88.762666666666675</v>
      </c>
      <c r="R477">
        <f t="shared" si="77"/>
        <v>88.762666666666675</v>
      </c>
      <c r="S477" t="str">
        <f t="shared" si="78"/>
        <v>Satisfactory</v>
      </c>
      <c r="T477" t="str">
        <f t="shared" si="79"/>
        <v>OZONE</v>
      </c>
      <c r="U477">
        <v>22.03</v>
      </c>
      <c r="V477">
        <v>49.98</v>
      </c>
    </row>
    <row r="478" spans="1:22" x14ac:dyDescent="0.3">
      <c r="A478" s="2" t="s">
        <v>15</v>
      </c>
      <c r="B478">
        <v>560026</v>
      </c>
      <c r="C478" s="3">
        <v>43956</v>
      </c>
      <c r="D478">
        <v>30.68</v>
      </c>
      <c r="E478">
        <v>72.92</v>
      </c>
      <c r="F478">
        <v>12.06</v>
      </c>
      <c r="G478">
        <v>13.36</v>
      </c>
      <c r="H478">
        <v>9.06</v>
      </c>
      <c r="I478">
        <v>0.59</v>
      </c>
      <c r="J478">
        <v>63.52</v>
      </c>
      <c r="K478">
        <f t="shared" si="70"/>
        <v>51.133333333333333</v>
      </c>
      <c r="L478">
        <f t="shared" si="71"/>
        <v>72.92</v>
      </c>
      <c r="M478">
        <f t="shared" si="72"/>
        <v>15.074999999999999</v>
      </c>
      <c r="N478">
        <f t="shared" si="73"/>
        <v>3.34</v>
      </c>
      <c r="O478">
        <f t="shared" si="74"/>
        <v>11.324999999999999</v>
      </c>
      <c r="P478">
        <f t="shared" si="75"/>
        <v>6.7045454545454541</v>
      </c>
      <c r="Q478">
        <f t="shared" si="76"/>
        <v>78.832000000000008</v>
      </c>
      <c r="R478">
        <f t="shared" si="77"/>
        <v>78.832000000000008</v>
      </c>
      <c r="S478" t="str">
        <f t="shared" si="78"/>
        <v>Satisfactory</v>
      </c>
      <c r="T478" t="str">
        <f t="shared" si="79"/>
        <v>OZONE</v>
      </c>
      <c r="U478">
        <v>27.78</v>
      </c>
      <c r="V478">
        <v>49.62</v>
      </c>
    </row>
    <row r="479" spans="1:22" x14ac:dyDescent="0.3">
      <c r="A479" s="2" t="s">
        <v>15</v>
      </c>
      <c r="B479">
        <v>560026</v>
      </c>
      <c r="C479" s="3">
        <v>43957</v>
      </c>
      <c r="D479">
        <v>23.22</v>
      </c>
      <c r="E479">
        <v>49.66</v>
      </c>
      <c r="F479">
        <v>12.17</v>
      </c>
      <c r="G479">
        <v>13.38</v>
      </c>
      <c r="H479">
        <v>8.2100000000000009</v>
      </c>
      <c r="I479">
        <v>0.61</v>
      </c>
      <c r="J479">
        <v>53.35</v>
      </c>
      <c r="K479">
        <f t="shared" si="70"/>
        <v>38.700000000000003</v>
      </c>
      <c r="L479">
        <f t="shared" si="71"/>
        <v>49.66</v>
      </c>
      <c r="M479">
        <f t="shared" si="72"/>
        <v>15.2125</v>
      </c>
      <c r="N479">
        <f t="shared" si="73"/>
        <v>3.3450000000000002</v>
      </c>
      <c r="O479">
        <f t="shared" si="74"/>
        <v>10.262500000000001</v>
      </c>
      <c r="P479">
        <f t="shared" si="75"/>
        <v>6.9318181818181817</v>
      </c>
      <c r="Q479">
        <f t="shared" si="76"/>
        <v>49.398148148148152</v>
      </c>
      <c r="R479">
        <f t="shared" si="77"/>
        <v>49.66</v>
      </c>
      <c r="S479" t="str">
        <f t="shared" si="78"/>
        <v>Good</v>
      </c>
      <c r="T479" t="str">
        <f t="shared" si="79"/>
        <v>PM10</v>
      </c>
      <c r="U479">
        <v>27.83</v>
      </c>
      <c r="V479">
        <v>58.59</v>
      </c>
    </row>
    <row r="480" spans="1:22" x14ac:dyDescent="0.3">
      <c r="A480" s="2" t="s">
        <v>15</v>
      </c>
      <c r="B480">
        <v>560026</v>
      </c>
      <c r="C480" s="3">
        <v>43958</v>
      </c>
      <c r="D480">
        <v>30.23</v>
      </c>
      <c r="E480">
        <v>64.34</v>
      </c>
      <c r="F480">
        <v>15.36</v>
      </c>
      <c r="G480">
        <v>14.22</v>
      </c>
      <c r="H480">
        <v>4.4000000000000004</v>
      </c>
      <c r="I480">
        <v>0.78</v>
      </c>
      <c r="J480">
        <v>46.24</v>
      </c>
      <c r="K480">
        <f t="shared" si="70"/>
        <v>50.383333333333333</v>
      </c>
      <c r="L480">
        <f t="shared" si="71"/>
        <v>64.34</v>
      </c>
      <c r="M480">
        <f t="shared" si="72"/>
        <v>19.2</v>
      </c>
      <c r="N480">
        <f t="shared" si="73"/>
        <v>3.5550000000000002</v>
      </c>
      <c r="O480">
        <f t="shared" si="74"/>
        <v>5.5000000000000009</v>
      </c>
      <c r="P480">
        <f t="shared" si="75"/>
        <v>8.8636363636363633</v>
      </c>
      <c r="Q480">
        <f t="shared" si="76"/>
        <v>42.814814814814817</v>
      </c>
      <c r="R480">
        <f t="shared" si="77"/>
        <v>64.34</v>
      </c>
      <c r="S480" t="str">
        <f t="shared" si="78"/>
        <v>Satisfactory</v>
      </c>
      <c r="T480" t="str">
        <f t="shared" si="79"/>
        <v>PM10</v>
      </c>
      <c r="U480">
        <v>28.6</v>
      </c>
      <c r="V480">
        <v>59.7</v>
      </c>
    </row>
    <row r="481" spans="1:22" x14ac:dyDescent="0.3">
      <c r="A481" s="2" t="s">
        <v>15</v>
      </c>
      <c r="B481">
        <v>560026</v>
      </c>
      <c r="C481" s="3">
        <v>43959</v>
      </c>
      <c r="D481">
        <v>23.38</v>
      </c>
      <c r="E481">
        <v>48.86</v>
      </c>
      <c r="F481">
        <v>12.22</v>
      </c>
      <c r="G481">
        <v>13.56</v>
      </c>
      <c r="H481">
        <v>9.2799999999999994</v>
      </c>
      <c r="I481">
        <v>0.54</v>
      </c>
      <c r="J481">
        <v>50.5</v>
      </c>
      <c r="K481">
        <f t="shared" si="70"/>
        <v>38.966666666666669</v>
      </c>
      <c r="L481">
        <f t="shared" si="71"/>
        <v>48.86</v>
      </c>
      <c r="M481">
        <f t="shared" si="72"/>
        <v>15.275</v>
      </c>
      <c r="N481">
        <f t="shared" si="73"/>
        <v>3.39</v>
      </c>
      <c r="O481">
        <f t="shared" si="74"/>
        <v>11.599999999999998</v>
      </c>
      <c r="P481">
        <f t="shared" si="75"/>
        <v>6.1363636363636367</v>
      </c>
      <c r="Q481">
        <f t="shared" si="76"/>
        <v>46.75925925925926</v>
      </c>
      <c r="R481">
        <f t="shared" si="77"/>
        <v>48.86</v>
      </c>
      <c r="S481" t="str">
        <f t="shared" si="78"/>
        <v>Good</v>
      </c>
      <c r="T481" t="str">
        <f t="shared" si="79"/>
        <v>PM10</v>
      </c>
      <c r="U481">
        <v>28.14</v>
      </c>
      <c r="V481">
        <v>61.77</v>
      </c>
    </row>
    <row r="482" spans="1:22" x14ac:dyDescent="0.3">
      <c r="A482" s="2" t="s">
        <v>15</v>
      </c>
      <c r="B482">
        <v>560026</v>
      </c>
      <c r="C482" s="3">
        <v>43960</v>
      </c>
      <c r="D482">
        <v>23.78</v>
      </c>
      <c r="E482">
        <v>50.23</v>
      </c>
      <c r="F482">
        <v>14.86</v>
      </c>
      <c r="G482">
        <v>12.93</v>
      </c>
      <c r="H482">
        <v>8.81</v>
      </c>
      <c r="I482">
        <v>0.49</v>
      </c>
      <c r="J482">
        <v>46.61</v>
      </c>
      <c r="K482">
        <f t="shared" si="70"/>
        <v>39.633333333333333</v>
      </c>
      <c r="L482">
        <f t="shared" si="71"/>
        <v>50.23</v>
      </c>
      <c r="M482">
        <f t="shared" si="72"/>
        <v>18.574999999999999</v>
      </c>
      <c r="N482">
        <f t="shared" si="73"/>
        <v>3.2324999999999999</v>
      </c>
      <c r="O482">
        <f t="shared" si="74"/>
        <v>11.012499999999999</v>
      </c>
      <c r="P482">
        <f t="shared" si="75"/>
        <v>5.5681818181818183</v>
      </c>
      <c r="Q482">
        <f t="shared" si="76"/>
        <v>43.157407407407405</v>
      </c>
      <c r="R482">
        <f t="shared" si="77"/>
        <v>50.23</v>
      </c>
      <c r="S482" t="str">
        <f t="shared" si="78"/>
        <v>Satisfactory</v>
      </c>
      <c r="T482" t="str">
        <f t="shared" si="79"/>
        <v>PM10</v>
      </c>
      <c r="U482">
        <v>24.88</v>
      </c>
      <c r="V482">
        <v>52.57</v>
      </c>
    </row>
    <row r="483" spans="1:22" x14ac:dyDescent="0.3">
      <c r="A483" s="2" t="s">
        <v>15</v>
      </c>
      <c r="B483">
        <v>560026</v>
      </c>
      <c r="C483" s="3">
        <v>43961</v>
      </c>
      <c r="D483">
        <v>20.399999999999999</v>
      </c>
      <c r="E483">
        <v>45.17</v>
      </c>
      <c r="F483">
        <v>10.82</v>
      </c>
      <c r="G483">
        <v>12.63</v>
      </c>
      <c r="H483">
        <v>10.96</v>
      </c>
      <c r="I483">
        <v>0.44</v>
      </c>
      <c r="J483">
        <v>50.29</v>
      </c>
      <c r="K483">
        <f t="shared" si="70"/>
        <v>33.999999999999993</v>
      </c>
      <c r="L483">
        <f t="shared" si="71"/>
        <v>45.17</v>
      </c>
      <c r="M483">
        <f t="shared" si="72"/>
        <v>13.525</v>
      </c>
      <c r="N483">
        <f t="shared" si="73"/>
        <v>3.1575000000000002</v>
      </c>
      <c r="O483">
        <f t="shared" si="74"/>
        <v>13.7</v>
      </c>
      <c r="P483">
        <f t="shared" si="75"/>
        <v>5</v>
      </c>
      <c r="Q483">
        <f t="shared" si="76"/>
        <v>46.564814814814817</v>
      </c>
      <c r="R483">
        <f t="shared" si="77"/>
        <v>46.564814814814817</v>
      </c>
      <c r="S483" t="str">
        <f t="shared" si="78"/>
        <v>Good</v>
      </c>
      <c r="T483" t="str">
        <f t="shared" si="79"/>
        <v>OZONE</v>
      </c>
      <c r="U483">
        <v>28.59</v>
      </c>
      <c r="V483">
        <v>49.26</v>
      </c>
    </row>
    <row r="484" spans="1:22" x14ac:dyDescent="0.3">
      <c r="A484" s="2" t="s">
        <v>15</v>
      </c>
      <c r="B484">
        <v>560026</v>
      </c>
      <c r="C484" s="3">
        <v>43962</v>
      </c>
      <c r="D484">
        <v>21.33</v>
      </c>
      <c r="E484">
        <v>46.52</v>
      </c>
      <c r="F484">
        <v>13.25</v>
      </c>
      <c r="G484">
        <v>11.84</v>
      </c>
      <c r="H484">
        <v>11.28</v>
      </c>
      <c r="I484">
        <v>0.53</v>
      </c>
      <c r="J484">
        <v>48.64</v>
      </c>
      <c r="K484">
        <f t="shared" si="70"/>
        <v>35.549999999999997</v>
      </c>
      <c r="L484">
        <f t="shared" si="71"/>
        <v>46.52</v>
      </c>
      <c r="M484">
        <f t="shared" si="72"/>
        <v>16.5625</v>
      </c>
      <c r="N484">
        <f t="shared" si="73"/>
        <v>2.96</v>
      </c>
      <c r="O484">
        <f t="shared" si="74"/>
        <v>14.1</v>
      </c>
      <c r="P484">
        <f t="shared" si="75"/>
        <v>6.0227272727272725</v>
      </c>
      <c r="Q484">
        <f t="shared" si="76"/>
        <v>45.037037037037038</v>
      </c>
      <c r="R484">
        <f t="shared" si="77"/>
        <v>46.52</v>
      </c>
      <c r="S484" t="str">
        <f t="shared" si="78"/>
        <v>Good</v>
      </c>
      <c r="T484" t="str">
        <f t="shared" si="79"/>
        <v>PM10</v>
      </c>
      <c r="U484">
        <v>30.35</v>
      </c>
      <c r="V484">
        <v>48.68</v>
      </c>
    </row>
    <row r="485" spans="1:22" x14ac:dyDescent="0.3">
      <c r="A485" s="2" t="s">
        <v>15</v>
      </c>
      <c r="B485">
        <v>560026</v>
      </c>
      <c r="C485" s="3">
        <v>43963</v>
      </c>
      <c r="D485">
        <v>14.46</v>
      </c>
      <c r="E485">
        <v>43</v>
      </c>
      <c r="F485">
        <v>15</v>
      </c>
      <c r="G485">
        <v>11.99</v>
      </c>
      <c r="H485">
        <v>6.53</v>
      </c>
      <c r="I485">
        <v>0.79</v>
      </c>
      <c r="J485">
        <v>35.69</v>
      </c>
      <c r="K485">
        <f t="shared" si="70"/>
        <v>24.1</v>
      </c>
      <c r="L485">
        <f t="shared" si="71"/>
        <v>43</v>
      </c>
      <c r="M485">
        <f t="shared" si="72"/>
        <v>18.75</v>
      </c>
      <c r="N485">
        <f t="shared" si="73"/>
        <v>2.9975000000000001</v>
      </c>
      <c r="O485">
        <f t="shared" si="74"/>
        <v>8.1624999999999996</v>
      </c>
      <c r="P485">
        <f t="shared" si="75"/>
        <v>8.9772727272727266</v>
      </c>
      <c r="Q485">
        <f t="shared" si="76"/>
        <v>33.046296296296298</v>
      </c>
      <c r="R485">
        <f t="shared" si="77"/>
        <v>43</v>
      </c>
      <c r="S485" t="str">
        <f t="shared" si="78"/>
        <v>Good</v>
      </c>
      <c r="T485" t="str">
        <f t="shared" si="79"/>
        <v>PM10</v>
      </c>
      <c r="U485">
        <v>29.69</v>
      </c>
      <c r="V485">
        <v>52.28</v>
      </c>
    </row>
    <row r="486" spans="1:22" x14ac:dyDescent="0.3">
      <c r="A486" s="2" t="s">
        <v>15</v>
      </c>
      <c r="B486">
        <v>560026</v>
      </c>
      <c r="C486" s="3">
        <v>43964</v>
      </c>
      <c r="D486">
        <v>15.25</v>
      </c>
      <c r="E486">
        <v>35.299999999999997</v>
      </c>
      <c r="F486">
        <v>11.42</v>
      </c>
      <c r="G486">
        <v>13.14</v>
      </c>
      <c r="H486">
        <v>9.7100000000000009</v>
      </c>
      <c r="I486">
        <v>0.33</v>
      </c>
      <c r="J486">
        <v>39.69</v>
      </c>
      <c r="K486">
        <f t="shared" si="70"/>
        <v>25.416666666666668</v>
      </c>
      <c r="L486">
        <f t="shared" si="71"/>
        <v>35.299999999999997</v>
      </c>
      <c r="M486">
        <f t="shared" si="72"/>
        <v>14.275</v>
      </c>
      <c r="N486">
        <f t="shared" si="73"/>
        <v>3.2850000000000001</v>
      </c>
      <c r="O486">
        <f t="shared" si="74"/>
        <v>12.137500000000001</v>
      </c>
      <c r="P486">
        <f t="shared" si="75"/>
        <v>3.75</v>
      </c>
      <c r="Q486">
        <f t="shared" si="76"/>
        <v>36.75</v>
      </c>
      <c r="R486">
        <f t="shared" si="77"/>
        <v>36.75</v>
      </c>
      <c r="S486" t="str">
        <f t="shared" si="78"/>
        <v>Good</v>
      </c>
      <c r="T486" t="str">
        <f t="shared" si="79"/>
        <v>OZONE</v>
      </c>
      <c r="U486">
        <v>29.16</v>
      </c>
      <c r="V486">
        <v>54.89</v>
      </c>
    </row>
    <row r="487" spans="1:22" x14ac:dyDescent="0.3">
      <c r="A487" s="2" t="s">
        <v>15</v>
      </c>
      <c r="B487">
        <v>560026</v>
      </c>
      <c r="C487" s="3">
        <v>43965</v>
      </c>
      <c r="D487">
        <v>24.65</v>
      </c>
      <c r="E487">
        <v>52.47</v>
      </c>
      <c r="F487">
        <v>15.62</v>
      </c>
      <c r="G487">
        <v>12.44</v>
      </c>
      <c r="H487">
        <v>8.16</v>
      </c>
      <c r="I487">
        <v>0.63</v>
      </c>
      <c r="J487">
        <v>44.61</v>
      </c>
      <c r="K487">
        <f t="shared" si="70"/>
        <v>41.083333333333336</v>
      </c>
      <c r="L487">
        <f t="shared" si="71"/>
        <v>52.47</v>
      </c>
      <c r="M487">
        <f t="shared" si="72"/>
        <v>19.524999999999999</v>
      </c>
      <c r="N487">
        <f t="shared" si="73"/>
        <v>3.11</v>
      </c>
      <c r="O487">
        <f t="shared" si="74"/>
        <v>10.199999999999999</v>
      </c>
      <c r="P487">
        <f t="shared" si="75"/>
        <v>7.1590909090909092</v>
      </c>
      <c r="Q487">
        <f t="shared" si="76"/>
        <v>41.305555555555557</v>
      </c>
      <c r="R487">
        <f t="shared" si="77"/>
        <v>52.47</v>
      </c>
      <c r="S487" t="str">
        <f t="shared" si="78"/>
        <v>Satisfactory</v>
      </c>
      <c r="T487" t="str">
        <f t="shared" si="79"/>
        <v>PM10</v>
      </c>
      <c r="U487">
        <v>30.11</v>
      </c>
      <c r="V487">
        <v>54.05</v>
      </c>
    </row>
    <row r="488" spans="1:22" x14ac:dyDescent="0.3">
      <c r="A488" s="2" t="s">
        <v>15</v>
      </c>
      <c r="B488">
        <v>560026</v>
      </c>
      <c r="C488" s="3">
        <v>43966</v>
      </c>
      <c r="D488">
        <v>16.59</v>
      </c>
      <c r="E488">
        <v>44.9</v>
      </c>
      <c r="F488">
        <v>16.97</v>
      </c>
      <c r="G488">
        <v>11.89</v>
      </c>
      <c r="H488">
        <v>10.77</v>
      </c>
      <c r="I488">
        <v>0.89</v>
      </c>
      <c r="J488">
        <v>32.64</v>
      </c>
      <c r="K488">
        <f t="shared" si="70"/>
        <v>27.65</v>
      </c>
      <c r="L488">
        <f t="shared" si="71"/>
        <v>44.9</v>
      </c>
      <c r="M488">
        <f t="shared" si="72"/>
        <v>21.212499999999999</v>
      </c>
      <c r="N488">
        <f t="shared" si="73"/>
        <v>2.9725000000000001</v>
      </c>
      <c r="O488">
        <f t="shared" si="74"/>
        <v>13.4625</v>
      </c>
      <c r="P488">
        <f t="shared" si="75"/>
        <v>10.113636363636363</v>
      </c>
      <c r="Q488">
        <f t="shared" si="76"/>
        <v>30.222222222222221</v>
      </c>
      <c r="R488">
        <f t="shared" si="77"/>
        <v>44.9</v>
      </c>
      <c r="S488" t="str">
        <f t="shared" si="78"/>
        <v>Good</v>
      </c>
      <c r="T488" t="str">
        <f t="shared" si="79"/>
        <v>PM10</v>
      </c>
      <c r="U488">
        <v>30.9</v>
      </c>
      <c r="V488">
        <v>51.11</v>
      </c>
    </row>
    <row r="489" spans="1:22" x14ac:dyDescent="0.3">
      <c r="A489" s="2" t="s">
        <v>15</v>
      </c>
      <c r="B489">
        <v>560026</v>
      </c>
      <c r="C489" s="3">
        <v>43967</v>
      </c>
      <c r="D489">
        <v>30.2</v>
      </c>
      <c r="E489">
        <v>75.319999999999993</v>
      </c>
      <c r="F489">
        <v>19.82</v>
      </c>
      <c r="G489">
        <v>13.65</v>
      </c>
      <c r="H489">
        <v>11.08</v>
      </c>
      <c r="I489">
        <v>0.77</v>
      </c>
      <c r="J489">
        <v>39.5</v>
      </c>
      <c r="K489">
        <f t="shared" si="70"/>
        <v>50.333333333333329</v>
      </c>
      <c r="L489">
        <f t="shared" si="71"/>
        <v>75.319999999999993</v>
      </c>
      <c r="M489">
        <f t="shared" si="72"/>
        <v>24.774999999999999</v>
      </c>
      <c r="N489">
        <f t="shared" si="73"/>
        <v>3.4125000000000001</v>
      </c>
      <c r="O489">
        <f t="shared" si="74"/>
        <v>13.85</v>
      </c>
      <c r="P489">
        <f t="shared" si="75"/>
        <v>8.75</v>
      </c>
      <c r="Q489">
        <f t="shared" si="76"/>
        <v>36.574074074074076</v>
      </c>
      <c r="R489">
        <f t="shared" si="77"/>
        <v>75.319999999999993</v>
      </c>
      <c r="S489" t="str">
        <f t="shared" si="78"/>
        <v>Satisfactory</v>
      </c>
      <c r="T489" t="str">
        <f t="shared" si="79"/>
        <v>PM10</v>
      </c>
      <c r="U489">
        <v>29.37</v>
      </c>
      <c r="V489">
        <v>56.2</v>
      </c>
    </row>
    <row r="490" spans="1:22" x14ac:dyDescent="0.3">
      <c r="A490" s="2" t="s">
        <v>15</v>
      </c>
      <c r="B490">
        <v>560026</v>
      </c>
      <c r="C490" s="3">
        <v>43968</v>
      </c>
      <c r="D490">
        <v>20.43</v>
      </c>
      <c r="E490">
        <v>47.43</v>
      </c>
      <c r="F490">
        <v>12</v>
      </c>
      <c r="G490">
        <v>13.7</v>
      </c>
      <c r="H490">
        <v>7.85</v>
      </c>
      <c r="I490">
        <v>0.52</v>
      </c>
      <c r="J490">
        <v>51.64</v>
      </c>
      <c r="K490">
        <f t="shared" si="70"/>
        <v>34.049999999999997</v>
      </c>
      <c r="L490">
        <f t="shared" si="71"/>
        <v>47.43</v>
      </c>
      <c r="M490">
        <f t="shared" si="72"/>
        <v>15</v>
      </c>
      <c r="N490">
        <f t="shared" si="73"/>
        <v>3.4249999999999998</v>
      </c>
      <c r="O490">
        <f t="shared" si="74"/>
        <v>9.8125</v>
      </c>
      <c r="P490">
        <f t="shared" si="75"/>
        <v>5.9090909090909092</v>
      </c>
      <c r="Q490">
        <f t="shared" si="76"/>
        <v>47.814814814814817</v>
      </c>
      <c r="R490">
        <f t="shared" si="77"/>
        <v>47.814814814814817</v>
      </c>
      <c r="S490" t="str">
        <f t="shared" si="78"/>
        <v>Good</v>
      </c>
      <c r="T490" t="str">
        <f t="shared" si="79"/>
        <v>OZONE</v>
      </c>
      <c r="U490">
        <v>29.29</v>
      </c>
      <c r="V490">
        <v>59.03</v>
      </c>
    </row>
    <row r="491" spans="1:22" x14ac:dyDescent="0.3">
      <c r="A491" s="2" t="s">
        <v>15</v>
      </c>
      <c r="B491">
        <v>560026</v>
      </c>
      <c r="C491" s="3">
        <v>43969</v>
      </c>
      <c r="D491">
        <v>17.899999999999999</v>
      </c>
      <c r="E491">
        <v>43.07</v>
      </c>
      <c r="F491">
        <v>13.13</v>
      </c>
      <c r="G491">
        <v>12.93</v>
      </c>
      <c r="H491">
        <v>9.6</v>
      </c>
      <c r="I491">
        <v>0.64</v>
      </c>
      <c r="J491">
        <v>47.99</v>
      </c>
      <c r="K491">
        <f t="shared" si="70"/>
        <v>29.833333333333329</v>
      </c>
      <c r="L491">
        <f t="shared" si="71"/>
        <v>43.07</v>
      </c>
      <c r="M491">
        <f t="shared" si="72"/>
        <v>16.412500000000001</v>
      </c>
      <c r="N491">
        <f t="shared" si="73"/>
        <v>3.2324999999999999</v>
      </c>
      <c r="O491">
        <f t="shared" si="74"/>
        <v>12</v>
      </c>
      <c r="P491">
        <f t="shared" si="75"/>
        <v>7.2727272727272725</v>
      </c>
      <c r="Q491">
        <f t="shared" si="76"/>
        <v>44.43518518518519</v>
      </c>
      <c r="R491">
        <f t="shared" si="77"/>
        <v>44.43518518518519</v>
      </c>
      <c r="S491" t="str">
        <f t="shared" si="78"/>
        <v>Good</v>
      </c>
      <c r="T491" t="str">
        <f t="shared" si="79"/>
        <v>OZONE</v>
      </c>
      <c r="U491">
        <v>26.05</v>
      </c>
      <c r="V491">
        <v>71.91</v>
      </c>
    </row>
    <row r="492" spans="1:22" x14ac:dyDescent="0.3">
      <c r="A492" s="2" t="s">
        <v>15</v>
      </c>
      <c r="B492">
        <v>560026</v>
      </c>
      <c r="C492" s="3">
        <v>43970</v>
      </c>
      <c r="D492">
        <v>19.97</v>
      </c>
      <c r="E492">
        <v>72.09</v>
      </c>
      <c r="F492">
        <v>13.22</v>
      </c>
      <c r="G492">
        <v>11.27</v>
      </c>
      <c r="H492">
        <v>7.68</v>
      </c>
      <c r="I492">
        <v>0.7</v>
      </c>
      <c r="J492">
        <v>33.24</v>
      </c>
      <c r="K492">
        <f t="shared" si="70"/>
        <v>33.283333333333331</v>
      </c>
      <c r="L492">
        <f t="shared" si="71"/>
        <v>72.09</v>
      </c>
      <c r="M492">
        <f t="shared" si="72"/>
        <v>16.524999999999999</v>
      </c>
      <c r="N492">
        <f t="shared" si="73"/>
        <v>2.8174999999999999</v>
      </c>
      <c r="O492">
        <f t="shared" si="74"/>
        <v>9.6</v>
      </c>
      <c r="P492">
        <f t="shared" si="75"/>
        <v>7.9545454545454541</v>
      </c>
      <c r="Q492">
        <f t="shared" si="76"/>
        <v>30.777777777777779</v>
      </c>
      <c r="R492">
        <f t="shared" si="77"/>
        <v>72.09</v>
      </c>
      <c r="S492" t="str">
        <f t="shared" si="78"/>
        <v>Satisfactory</v>
      </c>
      <c r="T492" t="str">
        <f t="shared" si="79"/>
        <v>PM10</v>
      </c>
      <c r="U492">
        <v>27.5</v>
      </c>
      <c r="V492">
        <v>65.400000000000006</v>
      </c>
    </row>
    <row r="493" spans="1:22" x14ac:dyDescent="0.3">
      <c r="A493" s="2" t="s">
        <v>15</v>
      </c>
      <c r="B493">
        <v>560026</v>
      </c>
      <c r="C493" s="3">
        <v>43971</v>
      </c>
      <c r="D493">
        <v>15.21</v>
      </c>
      <c r="E493">
        <v>54.68</v>
      </c>
      <c r="F493">
        <v>13.77</v>
      </c>
      <c r="G493">
        <v>10.24</v>
      </c>
      <c r="H493">
        <v>10.39</v>
      </c>
      <c r="I493">
        <v>0.56999999999999995</v>
      </c>
      <c r="J493">
        <v>29.18</v>
      </c>
      <c r="K493">
        <f t="shared" si="70"/>
        <v>25.35</v>
      </c>
      <c r="L493">
        <f t="shared" si="71"/>
        <v>54.68</v>
      </c>
      <c r="M493">
        <f t="shared" si="72"/>
        <v>17.212499999999999</v>
      </c>
      <c r="N493">
        <f t="shared" si="73"/>
        <v>2.56</v>
      </c>
      <c r="O493">
        <f t="shared" si="74"/>
        <v>12.987500000000001</v>
      </c>
      <c r="P493">
        <f t="shared" si="75"/>
        <v>6.4772727272727266</v>
      </c>
      <c r="Q493">
        <f t="shared" si="76"/>
        <v>27.018518518518519</v>
      </c>
      <c r="R493">
        <f t="shared" si="77"/>
        <v>54.68</v>
      </c>
      <c r="S493" t="str">
        <f t="shared" si="78"/>
        <v>Satisfactory</v>
      </c>
      <c r="T493" t="str">
        <f t="shared" si="79"/>
        <v>PM10</v>
      </c>
      <c r="U493">
        <v>27.66</v>
      </c>
      <c r="V493">
        <v>61.97</v>
      </c>
    </row>
    <row r="494" spans="1:22" x14ac:dyDescent="0.3">
      <c r="A494" s="2" t="s">
        <v>15</v>
      </c>
      <c r="B494">
        <v>560026</v>
      </c>
      <c r="C494" s="3">
        <v>43972</v>
      </c>
      <c r="D494">
        <v>15.71</v>
      </c>
      <c r="E494">
        <v>53.14</v>
      </c>
      <c r="F494">
        <v>14.09</v>
      </c>
      <c r="G494">
        <v>10.38</v>
      </c>
      <c r="H494">
        <v>6.61</v>
      </c>
      <c r="I494">
        <v>0.52</v>
      </c>
      <c r="J494">
        <v>33.700000000000003</v>
      </c>
      <c r="K494">
        <f t="shared" si="70"/>
        <v>26.183333333333334</v>
      </c>
      <c r="L494">
        <f t="shared" si="71"/>
        <v>53.14</v>
      </c>
      <c r="M494">
        <f t="shared" si="72"/>
        <v>17.612500000000001</v>
      </c>
      <c r="N494">
        <f t="shared" si="73"/>
        <v>2.5950000000000002</v>
      </c>
      <c r="O494">
        <f t="shared" si="74"/>
        <v>8.2624999999999993</v>
      </c>
      <c r="P494">
        <f t="shared" si="75"/>
        <v>5.9090909090909092</v>
      </c>
      <c r="Q494">
        <f t="shared" si="76"/>
        <v>31.203703703703706</v>
      </c>
      <c r="R494">
        <f t="shared" si="77"/>
        <v>53.14</v>
      </c>
      <c r="S494" t="str">
        <f t="shared" si="78"/>
        <v>Satisfactory</v>
      </c>
      <c r="T494" t="str">
        <f t="shared" si="79"/>
        <v>PM10</v>
      </c>
      <c r="U494">
        <v>28.12</v>
      </c>
      <c r="V494">
        <v>61.34</v>
      </c>
    </row>
    <row r="495" spans="1:22" x14ac:dyDescent="0.3">
      <c r="A495" s="2" t="s">
        <v>15</v>
      </c>
      <c r="B495">
        <v>560026</v>
      </c>
      <c r="C495" s="3">
        <v>43973</v>
      </c>
      <c r="D495">
        <v>15.64</v>
      </c>
      <c r="E495">
        <v>51.43</v>
      </c>
      <c r="F495">
        <v>14.64</v>
      </c>
      <c r="G495">
        <v>10.66</v>
      </c>
      <c r="H495">
        <v>5.74</v>
      </c>
      <c r="I495">
        <v>0.61</v>
      </c>
      <c r="J495">
        <v>46.2</v>
      </c>
      <c r="K495">
        <f t="shared" si="70"/>
        <v>26.066666666666666</v>
      </c>
      <c r="L495">
        <f t="shared" si="71"/>
        <v>51.43</v>
      </c>
      <c r="M495">
        <f t="shared" si="72"/>
        <v>18.3</v>
      </c>
      <c r="N495">
        <f t="shared" si="73"/>
        <v>2.665</v>
      </c>
      <c r="O495">
        <f t="shared" si="74"/>
        <v>7.1749999999999998</v>
      </c>
      <c r="P495">
        <f t="shared" si="75"/>
        <v>6.9318181818181817</v>
      </c>
      <c r="Q495">
        <f t="shared" si="76"/>
        <v>42.777777777777779</v>
      </c>
      <c r="R495">
        <f t="shared" si="77"/>
        <v>51.43</v>
      </c>
      <c r="S495" t="str">
        <f t="shared" si="78"/>
        <v>Satisfactory</v>
      </c>
      <c r="T495" t="str">
        <f t="shared" si="79"/>
        <v>PM10</v>
      </c>
      <c r="U495">
        <v>28.38</v>
      </c>
      <c r="V495">
        <v>61.43</v>
      </c>
    </row>
    <row r="496" spans="1:22" x14ac:dyDescent="0.3">
      <c r="A496" s="2" t="s">
        <v>15</v>
      </c>
      <c r="B496">
        <v>560026</v>
      </c>
      <c r="C496" s="3">
        <v>43974</v>
      </c>
      <c r="D496">
        <v>21.33</v>
      </c>
      <c r="E496">
        <v>55.42</v>
      </c>
      <c r="F496">
        <v>14.9</v>
      </c>
      <c r="G496">
        <v>10.7</v>
      </c>
      <c r="H496">
        <v>7.97</v>
      </c>
      <c r="I496">
        <v>0.55000000000000004</v>
      </c>
      <c r="J496">
        <v>52.84</v>
      </c>
      <c r="K496">
        <f t="shared" si="70"/>
        <v>35.549999999999997</v>
      </c>
      <c r="L496">
        <f t="shared" si="71"/>
        <v>55.42</v>
      </c>
      <c r="M496">
        <f t="shared" si="72"/>
        <v>18.625</v>
      </c>
      <c r="N496">
        <f t="shared" si="73"/>
        <v>2.6749999999999998</v>
      </c>
      <c r="O496">
        <f t="shared" si="74"/>
        <v>9.9625000000000004</v>
      </c>
      <c r="P496">
        <f t="shared" si="75"/>
        <v>6.25</v>
      </c>
      <c r="Q496">
        <f t="shared" si="76"/>
        <v>48.925925925925931</v>
      </c>
      <c r="R496">
        <f t="shared" si="77"/>
        <v>55.42</v>
      </c>
      <c r="S496" t="str">
        <f t="shared" si="78"/>
        <v>Satisfactory</v>
      </c>
      <c r="T496" t="str">
        <f t="shared" si="79"/>
        <v>PM10</v>
      </c>
      <c r="U496">
        <v>29.23</v>
      </c>
      <c r="V496">
        <v>57.97</v>
      </c>
    </row>
    <row r="497" spans="1:22" x14ac:dyDescent="0.3">
      <c r="A497" s="2" t="s">
        <v>15</v>
      </c>
      <c r="B497">
        <v>560026</v>
      </c>
      <c r="C497" s="3">
        <v>43975</v>
      </c>
      <c r="D497">
        <v>17.25</v>
      </c>
      <c r="E497">
        <v>42.19</v>
      </c>
      <c r="F497">
        <v>9.02</v>
      </c>
      <c r="G497">
        <v>12.04</v>
      </c>
      <c r="H497">
        <v>7.19</v>
      </c>
      <c r="I497">
        <v>0.41</v>
      </c>
      <c r="J497">
        <v>39.76</v>
      </c>
      <c r="K497">
        <f t="shared" si="70"/>
        <v>28.75</v>
      </c>
      <c r="L497">
        <f t="shared" si="71"/>
        <v>42.19</v>
      </c>
      <c r="M497">
        <f t="shared" si="72"/>
        <v>11.275</v>
      </c>
      <c r="N497">
        <f t="shared" si="73"/>
        <v>3.01</v>
      </c>
      <c r="O497">
        <f t="shared" si="74"/>
        <v>8.9875000000000007</v>
      </c>
      <c r="P497">
        <f t="shared" si="75"/>
        <v>4.6590909090909083</v>
      </c>
      <c r="Q497">
        <f t="shared" si="76"/>
        <v>36.814814814814817</v>
      </c>
      <c r="R497">
        <f t="shared" si="77"/>
        <v>42.19</v>
      </c>
      <c r="S497" t="str">
        <f t="shared" si="78"/>
        <v>Good</v>
      </c>
      <c r="T497" t="str">
        <f t="shared" si="79"/>
        <v>PM10</v>
      </c>
      <c r="U497">
        <v>26.89</v>
      </c>
      <c r="V497">
        <v>73.41</v>
      </c>
    </row>
    <row r="498" spans="1:22" x14ac:dyDescent="0.3">
      <c r="A498" s="2" t="s">
        <v>15</v>
      </c>
      <c r="B498">
        <v>560026</v>
      </c>
      <c r="C498" s="3">
        <v>43976</v>
      </c>
      <c r="D498">
        <v>19.78</v>
      </c>
      <c r="E498">
        <v>46.89</v>
      </c>
      <c r="F498">
        <v>15.64</v>
      </c>
      <c r="G498">
        <v>12.13</v>
      </c>
      <c r="H498">
        <v>6.5</v>
      </c>
      <c r="I498">
        <v>0.55000000000000004</v>
      </c>
      <c r="J498">
        <v>43.02</v>
      </c>
      <c r="K498">
        <f t="shared" si="70"/>
        <v>32.966666666666669</v>
      </c>
      <c r="L498">
        <f t="shared" si="71"/>
        <v>46.89</v>
      </c>
      <c r="M498">
        <f t="shared" si="72"/>
        <v>19.55</v>
      </c>
      <c r="N498">
        <f t="shared" si="73"/>
        <v>3.0325000000000002</v>
      </c>
      <c r="O498">
        <f t="shared" si="74"/>
        <v>8.125</v>
      </c>
      <c r="P498">
        <f t="shared" si="75"/>
        <v>6.25</v>
      </c>
      <c r="Q498">
        <f t="shared" si="76"/>
        <v>39.833333333333336</v>
      </c>
      <c r="R498">
        <f t="shared" si="77"/>
        <v>46.89</v>
      </c>
      <c r="S498" t="str">
        <f t="shared" si="78"/>
        <v>Good</v>
      </c>
      <c r="T498" t="str">
        <f t="shared" si="79"/>
        <v>PM10</v>
      </c>
      <c r="U498">
        <v>27.49</v>
      </c>
      <c r="V498">
        <v>69.209999999999994</v>
      </c>
    </row>
    <row r="499" spans="1:22" x14ac:dyDescent="0.3">
      <c r="A499" s="2" t="s">
        <v>15</v>
      </c>
      <c r="B499">
        <v>560026</v>
      </c>
      <c r="C499" s="3">
        <v>43977</v>
      </c>
      <c r="D499">
        <v>15.85</v>
      </c>
      <c r="E499">
        <v>38.14</v>
      </c>
      <c r="F499">
        <v>14.34</v>
      </c>
      <c r="G499">
        <v>12.4</v>
      </c>
      <c r="H499">
        <v>5.91</v>
      </c>
      <c r="I499">
        <v>0.5</v>
      </c>
      <c r="J499">
        <v>44.49</v>
      </c>
      <c r="K499">
        <f t="shared" si="70"/>
        <v>26.416666666666668</v>
      </c>
      <c r="L499">
        <f t="shared" si="71"/>
        <v>38.14</v>
      </c>
      <c r="M499">
        <f t="shared" si="72"/>
        <v>17.925000000000001</v>
      </c>
      <c r="N499">
        <f t="shared" si="73"/>
        <v>3.1</v>
      </c>
      <c r="O499">
        <f t="shared" si="74"/>
        <v>7.3875000000000002</v>
      </c>
      <c r="P499">
        <f t="shared" si="75"/>
        <v>5.6818181818181817</v>
      </c>
      <c r="Q499">
        <f t="shared" si="76"/>
        <v>41.19444444444445</v>
      </c>
      <c r="R499">
        <f t="shared" si="77"/>
        <v>41.19444444444445</v>
      </c>
      <c r="S499" t="str">
        <f t="shared" si="78"/>
        <v>Good</v>
      </c>
      <c r="T499" t="str">
        <f t="shared" si="79"/>
        <v>OZONE</v>
      </c>
      <c r="U499">
        <v>26.66</v>
      </c>
      <c r="V499">
        <v>70.680000000000007</v>
      </c>
    </row>
    <row r="500" spans="1:22" x14ac:dyDescent="0.3">
      <c r="A500" s="2" t="s">
        <v>15</v>
      </c>
      <c r="B500">
        <v>560026</v>
      </c>
      <c r="C500" s="3">
        <v>43978</v>
      </c>
      <c r="D500">
        <v>17.170000000000002</v>
      </c>
      <c r="E500">
        <v>41.51</v>
      </c>
      <c r="F500">
        <v>18.68</v>
      </c>
      <c r="G500">
        <v>11.73</v>
      </c>
      <c r="H500">
        <v>7.83</v>
      </c>
      <c r="I500">
        <v>0.56999999999999995</v>
      </c>
      <c r="J500">
        <v>33.21</v>
      </c>
      <c r="K500">
        <f t="shared" ref="K500:K563" si="80">IF(ISTEXT(D500),0,IF(D500&lt;=30,D500*50/30,IF(AND(D500&gt;30,D500&lt;=60),50+(D500-30)*50/30,IF(AND(D500&gt;60,D500&lt;=90),100+(D500-60)*100/30,IF(AND(D500&gt;90,D500&lt;=120),200+(D500-90)*(100/30),IF(AND(D500&gt;120,D500&lt;=250),300+(D500-120)*(100/130),IF(D500&gt;250,400+(D500-250)*(100/130))))))))</f>
        <v>28.616666666666671</v>
      </c>
      <c r="L500">
        <f t="shared" ref="L500:L563" si="81">IF(ISTEXT(E500),0,IF(E500&lt;=50,E500,IF(AND(E500&gt;50,E500&lt;=100),E500,IF(AND(E500&gt;100,E500&lt;=250),100+(E500-100)*100/150,IF(AND(E500&gt;250,E500&lt;=350),200+(E500-250),IF(AND(E500&gt;350,E500&lt;=430),300+(E500-350)*(100/80),IF(E500&gt;430,400+(E500-430)*(100/80))))))))</f>
        <v>41.51</v>
      </c>
      <c r="M500">
        <f t="shared" ref="M500:M563" si="82">IF(ISTEXT(F500),0,IF(F500&lt;=40,F500*50/40,IF(AND(F500&gt;40,F500&lt;=80),50+(F500-40)*50/40,IF(AND(F500&gt;80,F500&lt;=180),100+(F500-80)*100/100,IF(AND(F500&gt;180,F500&lt;=280),200+(F500-180)*(100/100),IF(AND(F500&gt;280,F500&lt;=400),300+(F500-280)*(100/120),IF(F500&gt;400,400+(F500-400)*(100/120))))))))</f>
        <v>23.35</v>
      </c>
      <c r="N500">
        <f t="shared" ref="N500:N563" si="83">IF(ISTEXT(G500),0,IF(G500&lt;=200,G500*50/200,IF(AND(G500&gt;200,G500&lt;=400),50+(G500-200)*50/200,IF(AND(G500&gt;400,G500&lt;=800),100+(G500-400)*100/400,IF(AND(G500&gt;800,G500&lt;=1200),200+(G500-800)*(100/400),IF(AND(G500&gt;1200,G500&lt;=1800),300+(G500-1200)*(100/600),IF(G500&gt;1800,400+(G500-1800)*(100/600))))))))</f>
        <v>2.9325000000000001</v>
      </c>
      <c r="O500">
        <f t="shared" ref="O500:O563" si="84">IF(ISTEXT(H500),0,IF(H500&lt;=40,H500*50/40,IF(AND(H500&gt;40,H500&lt;=80),50+(H500-40)*50/40,IF(AND(H500&gt;80,H500&lt;=380),100+(H500-80)*100/300,IF(AND(H500&gt;380,H500&lt;=800),200+(H500-380)*(100/420),IF(AND(H500&gt;800,H500&lt;=1600),300+(H500-800)*(100/800),IF(H500&gt;1600,400+(H500-1600)*(100/800))))))))</f>
        <v>9.7874999999999996</v>
      </c>
      <c r="P500">
        <f t="shared" ref="P500:P563" si="85">IF(I500&lt;=4.4,(50-0)/(4.4-0)*(I500-0)+0,
IF(I500&lt;=9.4,(100-51)/(9.4-4.5)*(I500-4.5)+51,
IF(I500&lt;=12.4,(150-101)/(12.4-9.5)*(I500-9.5)+101,
IF(I500&lt;=15.4,(200-151)/(15.4-12.5)*(I500-12.5)+151,
IF(I500&lt;=30.4,(300-201)/(30.4-15.5)*(I500-15.5)+201,
(500-301)/(50.4-30.5)*(I500-30.5)+301)))))</f>
        <v>6.4772727272727266</v>
      </c>
      <c r="Q500">
        <f t="shared" ref="Q500:Q563" si="86">IF(J500&lt;=54,(50-0)/(54-0)*(J500-0)+0,
IF(J500&lt;=70,(100-51)/(70-55)*(J500-55)+51,
IF(J500&lt;=85,(150-101)/(85-71)*(J500-71)+101,
IF(J500&lt;=105,(200-151)/(105-86)*(J500-86)+151,
IF(J500&lt;=200,(300-201)/(200-106)*(J500-106)+201,
(500-301)/(300-201)*(J500-201)+301)))))</f>
        <v>30.75</v>
      </c>
      <c r="R500">
        <f t="shared" ref="R500:R563" si="87">MAX(K500:Q500)</f>
        <v>41.51</v>
      </c>
      <c r="S500" t="str">
        <f t="shared" ref="S500:S563" si="88">IF(R500&lt;=50,"Good",
IF(R500&lt;=100,"Satisfactory",
IF(R500&lt;=200,"Moderate",
IF(R500&lt;=300,"Poor",
IF(R500&lt;=400,"Very Poor",
"Severe")))))</f>
        <v>Good</v>
      </c>
      <c r="T500" t="str">
        <f t="shared" ref="T500:T563" si="89">IF(MAX(K500:Q500)=K500,"PM2.5",
IF(MAX(K500:Q500)=L500,"PM10",
IF(MAX(K500:Q500)=M500,"NO2",
IF(MAX(K500:Q500)=N500,"NH3",
IF(MAX(K500:Q500)=O500,"SO2",
IF(MAX(K500:Q500)=P500,"CO",
IF(MAX(K500:Q500)=Q500,"OZONE","")))))))</f>
        <v>PM10</v>
      </c>
      <c r="U500">
        <v>25.59</v>
      </c>
      <c r="V500">
        <v>75.290000000000006</v>
      </c>
    </row>
    <row r="501" spans="1:22" x14ac:dyDescent="0.3">
      <c r="A501" s="2" t="s">
        <v>15</v>
      </c>
      <c r="B501">
        <v>560026</v>
      </c>
      <c r="C501" s="3">
        <v>43979</v>
      </c>
      <c r="D501">
        <v>17.54</v>
      </c>
      <c r="E501">
        <v>46.6</v>
      </c>
      <c r="F501">
        <v>17.22</v>
      </c>
      <c r="G501">
        <v>11.04</v>
      </c>
      <c r="H501">
        <v>6.74</v>
      </c>
      <c r="I501">
        <v>0.39</v>
      </c>
      <c r="J501">
        <v>34.380000000000003</v>
      </c>
      <c r="K501">
        <f t="shared" si="80"/>
        <v>29.233333333333334</v>
      </c>
      <c r="L501">
        <f t="shared" si="81"/>
        <v>46.6</v>
      </c>
      <c r="M501">
        <f t="shared" si="82"/>
        <v>21.524999999999999</v>
      </c>
      <c r="N501">
        <f t="shared" si="83"/>
        <v>2.76</v>
      </c>
      <c r="O501">
        <f t="shared" si="84"/>
        <v>8.4250000000000007</v>
      </c>
      <c r="P501">
        <f t="shared" si="85"/>
        <v>4.4318181818181817</v>
      </c>
      <c r="Q501">
        <f t="shared" si="86"/>
        <v>31.833333333333336</v>
      </c>
      <c r="R501">
        <f t="shared" si="87"/>
        <v>46.6</v>
      </c>
      <c r="S501" t="str">
        <f t="shared" si="88"/>
        <v>Good</v>
      </c>
      <c r="T501" t="str">
        <f t="shared" si="89"/>
        <v>PM10</v>
      </c>
      <c r="U501">
        <v>26.2</v>
      </c>
      <c r="V501">
        <v>72.25</v>
      </c>
    </row>
    <row r="502" spans="1:22" x14ac:dyDescent="0.3">
      <c r="A502" s="2" t="s">
        <v>15</v>
      </c>
      <c r="B502">
        <v>560026</v>
      </c>
      <c r="C502" s="3">
        <v>43980</v>
      </c>
      <c r="D502">
        <v>16.63</v>
      </c>
      <c r="E502">
        <v>42.1</v>
      </c>
      <c r="F502">
        <v>15</v>
      </c>
      <c r="G502">
        <v>11.52</v>
      </c>
      <c r="H502">
        <v>7.43</v>
      </c>
      <c r="I502">
        <v>0.6</v>
      </c>
      <c r="J502">
        <v>42.37</v>
      </c>
      <c r="K502">
        <f t="shared" si="80"/>
        <v>27.716666666666665</v>
      </c>
      <c r="L502">
        <f t="shared" si="81"/>
        <v>42.1</v>
      </c>
      <c r="M502">
        <f t="shared" si="82"/>
        <v>18.75</v>
      </c>
      <c r="N502">
        <f t="shared" si="83"/>
        <v>2.88</v>
      </c>
      <c r="O502">
        <f t="shared" si="84"/>
        <v>9.2874999999999996</v>
      </c>
      <c r="P502">
        <f t="shared" si="85"/>
        <v>6.8181818181818175</v>
      </c>
      <c r="Q502">
        <f t="shared" si="86"/>
        <v>39.231481481481481</v>
      </c>
      <c r="R502">
        <f t="shared" si="87"/>
        <v>42.1</v>
      </c>
      <c r="S502" t="str">
        <f t="shared" si="88"/>
        <v>Good</v>
      </c>
      <c r="T502" t="str">
        <f t="shared" si="89"/>
        <v>PM10</v>
      </c>
      <c r="U502">
        <v>26.71</v>
      </c>
      <c r="V502">
        <v>74.709999999999994</v>
      </c>
    </row>
    <row r="503" spans="1:22" x14ac:dyDescent="0.3">
      <c r="A503" s="2" t="s">
        <v>15</v>
      </c>
      <c r="B503">
        <v>560026</v>
      </c>
      <c r="C503" s="3">
        <v>43981</v>
      </c>
      <c r="D503">
        <v>20.84</v>
      </c>
      <c r="E503">
        <v>67.08</v>
      </c>
      <c r="F503">
        <v>0.1</v>
      </c>
      <c r="G503">
        <v>3.51</v>
      </c>
      <c r="H503">
        <v>8.61</v>
      </c>
      <c r="I503">
        <v>0.31</v>
      </c>
      <c r="J503">
        <v>32.229999999999997</v>
      </c>
      <c r="K503">
        <f t="shared" si="80"/>
        <v>34.733333333333334</v>
      </c>
      <c r="L503">
        <f t="shared" si="81"/>
        <v>67.08</v>
      </c>
      <c r="M503">
        <f t="shared" si="82"/>
        <v>0.125</v>
      </c>
      <c r="N503">
        <f t="shared" si="83"/>
        <v>0.87749999999999995</v>
      </c>
      <c r="O503">
        <f t="shared" si="84"/>
        <v>10.762499999999999</v>
      </c>
      <c r="P503">
        <f t="shared" si="85"/>
        <v>3.5227272727272725</v>
      </c>
      <c r="Q503">
        <f t="shared" si="86"/>
        <v>29.842592592592588</v>
      </c>
      <c r="R503">
        <f t="shared" si="87"/>
        <v>67.08</v>
      </c>
      <c r="S503" t="str">
        <f t="shared" si="88"/>
        <v>Satisfactory</v>
      </c>
      <c r="T503" t="str">
        <f t="shared" si="89"/>
        <v>PM10</v>
      </c>
      <c r="U503">
        <v>28.28</v>
      </c>
      <c r="V503">
        <v>70.14</v>
      </c>
    </row>
    <row r="504" spans="1:22" x14ac:dyDescent="0.3">
      <c r="A504" s="2" t="s">
        <v>15</v>
      </c>
      <c r="B504">
        <v>560026</v>
      </c>
      <c r="C504" s="3">
        <v>43982</v>
      </c>
      <c r="D504">
        <v>24.47</v>
      </c>
      <c r="E504">
        <v>50.25</v>
      </c>
      <c r="F504">
        <v>0.12</v>
      </c>
      <c r="G504">
        <v>3.5</v>
      </c>
      <c r="H504">
        <v>10.95</v>
      </c>
      <c r="I504">
        <v>0.44</v>
      </c>
      <c r="J504">
        <v>39.07</v>
      </c>
      <c r="K504">
        <f t="shared" si="80"/>
        <v>40.783333333333331</v>
      </c>
      <c r="L504">
        <f t="shared" si="81"/>
        <v>50.25</v>
      </c>
      <c r="M504">
        <f t="shared" si="82"/>
        <v>0.15</v>
      </c>
      <c r="N504">
        <f t="shared" si="83"/>
        <v>0.875</v>
      </c>
      <c r="O504">
        <f t="shared" si="84"/>
        <v>13.6875</v>
      </c>
      <c r="P504">
        <f t="shared" si="85"/>
        <v>5</v>
      </c>
      <c r="Q504">
        <f t="shared" si="86"/>
        <v>36.175925925925924</v>
      </c>
      <c r="R504">
        <f t="shared" si="87"/>
        <v>50.25</v>
      </c>
      <c r="S504" t="str">
        <f t="shared" si="88"/>
        <v>Satisfactory</v>
      </c>
      <c r="T504" t="str">
        <f t="shared" si="89"/>
        <v>PM10</v>
      </c>
      <c r="U504">
        <v>27.74</v>
      </c>
      <c r="V504">
        <v>68.319999999999993</v>
      </c>
    </row>
    <row r="505" spans="1:22" x14ac:dyDescent="0.3">
      <c r="A505" s="2" t="s">
        <v>15</v>
      </c>
      <c r="B505">
        <v>560026</v>
      </c>
      <c r="C505" s="3">
        <v>43983</v>
      </c>
      <c r="D505">
        <v>6.93</v>
      </c>
      <c r="E505">
        <v>21.25</v>
      </c>
      <c r="F505">
        <v>4.96</v>
      </c>
      <c r="G505">
        <v>2.09</v>
      </c>
      <c r="H505">
        <v>9.2100000000000009</v>
      </c>
      <c r="I505">
        <v>0.41</v>
      </c>
      <c r="J505">
        <v>27.46</v>
      </c>
      <c r="K505">
        <f t="shared" si="80"/>
        <v>11.55</v>
      </c>
      <c r="L505">
        <f t="shared" si="81"/>
        <v>21.25</v>
      </c>
      <c r="M505">
        <f t="shared" si="82"/>
        <v>6.2</v>
      </c>
      <c r="N505">
        <f t="shared" si="83"/>
        <v>0.52249999999999996</v>
      </c>
      <c r="O505">
        <f t="shared" si="84"/>
        <v>11.512500000000001</v>
      </c>
      <c r="P505">
        <f t="shared" si="85"/>
        <v>4.6590909090909083</v>
      </c>
      <c r="Q505">
        <f t="shared" si="86"/>
        <v>25.425925925925927</v>
      </c>
      <c r="R505">
        <f t="shared" si="87"/>
        <v>25.425925925925927</v>
      </c>
      <c r="S505" t="str">
        <f t="shared" si="88"/>
        <v>Good</v>
      </c>
      <c r="T505" t="str">
        <f t="shared" si="89"/>
        <v>OZONE</v>
      </c>
      <c r="U505">
        <v>26.97</v>
      </c>
      <c r="V505">
        <v>71.010000000000005</v>
      </c>
    </row>
    <row r="506" spans="1:22" x14ac:dyDescent="0.3">
      <c r="A506" s="2" t="s">
        <v>15</v>
      </c>
      <c r="B506">
        <v>560026</v>
      </c>
      <c r="C506" s="3">
        <v>43984</v>
      </c>
      <c r="D506">
        <v>5.24</v>
      </c>
      <c r="E506">
        <v>18.96</v>
      </c>
      <c r="F506">
        <v>5.63</v>
      </c>
      <c r="G506">
        <v>1.4</v>
      </c>
      <c r="H506">
        <v>8.7200000000000006</v>
      </c>
      <c r="I506">
        <v>0.17</v>
      </c>
      <c r="J506">
        <v>22.37</v>
      </c>
      <c r="K506">
        <f t="shared" si="80"/>
        <v>8.7333333333333325</v>
      </c>
      <c r="L506">
        <f t="shared" si="81"/>
        <v>18.96</v>
      </c>
      <c r="M506">
        <f t="shared" si="82"/>
        <v>7.0374999999999996</v>
      </c>
      <c r="N506">
        <f t="shared" si="83"/>
        <v>0.35</v>
      </c>
      <c r="O506">
        <f t="shared" si="84"/>
        <v>10.900000000000002</v>
      </c>
      <c r="P506">
        <f t="shared" si="85"/>
        <v>1.9318181818181819</v>
      </c>
      <c r="Q506">
        <f t="shared" si="86"/>
        <v>20.712962962962965</v>
      </c>
      <c r="R506">
        <f t="shared" si="87"/>
        <v>20.712962962962965</v>
      </c>
      <c r="S506" t="str">
        <f t="shared" si="88"/>
        <v>Good</v>
      </c>
      <c r="T506" t="str">
        <f t="shared" si="89"/>
        <v>OZONE</v>
      </c>
      <c r="U506">
        <v>24.39</v>
      </c>
      <c r="V506">
        <v>73.31</v>
      </c>
    </row>
    <row r="507" spans="1:22" x14ac:dyDescent="0.3">
      <c r="A507" s="2" t="s">
        <v>15</v>
      </c>
      <c r="B507">
        <v>560026</v>
      </c>
      <c r="C507" s="3">
        <v>43985</v>
      </c>
      <c r="D507">
        <v>5.17</v>
      </c>
      <c r="E507">
        <v>17.62</v>
      </c>
      <c r="F507">
        <v>5.64</v>
      </c>
      <c r="G507">
        <v>1.39</v>
      </c>
      <c r="H507">
        <v>11.47</v>
      </c>
      <c r="I507">
        <v>0.56000000000000005</v>
      </c>
      <c r="J507">
        <v>23.95</v>
      </c>
      <c r="K507">
        <f t="shared" si="80"/>
        <v>8.6166666666666671</v>
      </c>
      <c r="L507">
        <f t="shared" si="81"/>
        <v>17.62</v>
      </c>
      <c r="M507">
        <f t="shared" si="82"/>
        <v>7.05</v>
      </c>
      <c r="N507">
        <f t="shared" si="83"/>
        <v>0.34749999999999998</v>
      </c>
      <c r="O507">
        <f t="shared" si="84"/>
        <v>14.3375</v>
      </c>
      <c r="P507">
        <f t="shared" si="85"/>
        <v>6.3636363636363642</v>
      </c>
      <c r="Q507">
        <f t="shared" si="86"/>
        <v>22.175925925925924</v>
      </c>
      <c r="R507">
        <f t="shared" si="87"/>
        <v>22.175925925925924</v>
      </c>
      <c r="S507" t="str">
        <f t="shared" si="88"/>
        <v>Good</v>
      </c>
      <c r="T507" t="str">
        <f t="shared" si="89"/>
        <v>OZONE</v>
      </c>
      <c r="U507">
        <v>25.63</v>
      </c>
      <c r="V507">
        <v>73.39</v>
      </c>
    </row>
    <row r="508" spans="1:22" x14ac:dyDescent="0.3">
      <c r="A508" s="2" t="s">
        <v>15</v>
      </c>
      <c r="B508">
        <v>560026</v>
      </c>
      <c r="C508" s="3">
        <v>43986</v>
      </c>
      <c r="D508">
        <v>5.91</v>
      </c>
      <c r="E508">
        <v>25.41</v>
      </c>
      <c r="F508">
        <v>5.65</v>
      </c>
      <c r="G508">
        <v>1.4</v>
      </c>
      <c r="H508">
        <v>11.3</v>
      </c>
      <c r="I508">
        <v>0.46</v>
      </c>
      <c r="J508">
        <v>21.4</v>
      </c>
      <c r="K508">
        <f t="shared" si="80"/>
        <v>9.85</v>
      </c>
      <c r="L508">
        <f t="shared" si="81"/>
        <v>25.41</v>
      </c>
      <c r="M508">
        <f t="shared" si="82"/>
        <v>7.0625</v>
      </c>
      <c r="N508">
        <f t="shared" si="83"/>
        <v>0.35</v>
      </c>
      <c r="O508">
        <f t="shared" si="84"/>
        <v>14.125</v>
      </c>
      <c r="P508">
        <f t="shared" si="85"/>
        <v>5.2272727272727275</v>
      </c>
      <c r="Q508">
        <f t="shared" si="86"/>
        <v>19.814814814814813</v>
      </c>
      <c r="R508">
        <f t="shared" si="87"/>
        <v>25.41</v>
      </c>
      <c r="S508" t="str">
        <f t="shared" si="88"/>
        <v>Good</v>
      </c>
      <c r="T508" t="str">
        <f t="shared" si="89"/>
        <v>PM10</v>
      </c>
      <c r="U508">
        <v>26.49</v>
      </c>
      <c r="V508">
        <v>72.42</v>
      </c>
    </row>
    <row r="509" spans="1:22" x14ac:dyDescent="0.3">
      <c r="A509" s="2" t="s">
        <v>15</v>
      </c>
      <c r="B509">
        <v>560026</v>
      </c>
      <c r="C509" s="3">
        <v>43987</v>
      </c>
      <c r="D509">
        <v>70.47</v>
      </c>
      <c r="E509">
        <v>116.57</v>
      </c>
      <c r="F509">
        <v>69.41</v>
      </c>
      <c r="G509">
        <v>6.89</v>
      </c>
      <c r="H509">
        <v>8.68</v>
      </c>
      <c r="I509">
        <v>0.47</v>
      </c>
      <c r="J509">
        <v>20.86</v>
      </c>
      <c r="K509">
        <f t="shared" si="80"/>
        <v>134.9</v>
      </c>
      <c r="L509">
        <f t="shared" si="81"/>
        <v>111.04666666666667</v>
      </c>
      <c r="M509">
        <f t="shared" si="82"/>
        <v>86.762499999999989</v>
      </c>
      <c r="N509">
        <f t="shared" si="83"/>
        <v>1.7224999999999999</v>
      </c>
      <c r="O509">
        <f t="shared" si="84"/>
        <v>10.85</v>
      </c>
      <c r="P509">
        <f t="shared" si="85"/>
        <v>5.3409090909090908</v>
      </c>
      <c r="Q509">
        <f t="shared" si="86"/>
        <v>19.314814814814813</v>
      </c>
      <c r="R509">
        <f t="shared" si="87"/>
        <v>134.9</v>
      </c>
      <c r="S509" t="str">
        <f t="shared" si="88"/>
        <v>Moderate</v>
      </c>
      <c r="T509" t="str">
        <f t="shared" si="89"/>
        <v>PM2.5</v>
      </c>
      <c r="U509">
        <v>26.8</v>
      </c>
      <c r="V509">
        <v>68.58</v>
      </c>
    </row>
    <row r="510" spans="1:22" x14ac:dyDescent="0.3">
      <c r="A510" s="2" t="s">
        <v>15</v>
      </c>
      <c r="B510">
        <v>560026</v>
      </c>
      <c r="C510" s="3">
        <v>43988</v>
      </c>
      <c r="D510">
        <v>13.17</v>
      </c>
      <c r="E510">
        <v>34.840000000000003</v>
      </c>
      <c r="F510">
        <v>51.84</v>
      </c>
      <c r="G510">
        <v>6.4755172410000004</v>
      </c>
      <c r="H510">
        <v>10.119999999999999</v>
      </c>
      <c r="I510">
        <v>0.23</v>
      </c>
      <c r="J510">
        <v>22.29</v>
      </c>
      <c r="K510">
        <f t="shared" si="80"/>
        <v>21.95</v>
      </c>
      <c r="L510">
        <f t="shared" si="81"/>
        <v>34.840000000000003</v>
      </c>
      <c r="M510">
        <f t="shared" si="82"/>
        <v>64.800000000000011</v>
      </c>
      <c r="N510">
        <f t="shared" si="83"/>
        <v>1.6188793102500001</v>
      </c>
      <c r="O510">
        <f t="shared" si="84"/>
        <v>12.649999999999999</v>
      </c>
      <c r="P510">
        <f t="shared" si="85"/>
        <v>2.6136363636363638</v>
      </c>
      <c r="Q510">
        <f t="shared" si="86"/>
        <v>20.638888888888889</v>
      </c>
      <c r="R510">
        <f t="shared" si="87"/>
        <v>64.800000000000011</v>
      </c>
      <c r="S510" t="str">
        <f t="shared" si="88"/>
        <v>Satisfactory</v>
      </c>
      <c r="T510" t="str">
        <f t="shared" si="89"/>
        <v>NO2</v>
      </c>
      <c r="U510">
        <v>25.76</v>
      </c>
      <c r="V510">
        <v>74.819999999999993</v>
      </c>
    </row>
    <row r="511" spans="1:22" x14ac:dyDescent="0.3">
      <c r="A511" s="2" t="s">
        <v>15</v>
      </c>
      <c r="B511">
        <v>560026</v>
      </c>
      <c r="C511" s="3">
        <v>43989</v>
      </c>
      <c r="D511">
        <v>10.97</v>
      </c>
      <c r="E511">
        <v>30.43</v>
      </c>
      <c r="F511">
        <v>30.33</v>
      </c>
      <c r="G511">
        <v>0.39</v>
      </c>
      <c r="H511">
        <v>9.01</v>
      </c>
      <c r="I511">
        <v>0.48</v>
      </c>
      <c r="J511">
        <v>20.329999999999998</v>
      </c>
      <c r="K511">
        <f t="shared" si="80"/>
        <v>18.283333333333335</v>
      </c>
      <c r="L511">
        <f t="shared" si="81"/>
        <v>30.43</v>
      </c>
      <c r="M511">
        <f t="shared" si="82"/>
        <v>37.912500000000001</v>
      </c>
      <c r="N511">
        <f t="shared" si="83"/>
        <v>9.7500000000000003E-2</v>
      </c>
      <c r="O511">
        <f t="shared" si="84"/>
        <v>11.262499999999999</v>
      </c>
      <c r="P511">
        <f t="shared" si="85"/>
        <v>5.4545454545454541</v>
      </c>
      <c r="Q511">
        <f t="shared" si="86"/>
        <v>18.824074074074073</v>
      </c>
      <c r="R511">
        <f t="shared" si="87"/>
        <v>37.912500000000001</v>
      </c>
      <c r="S511" t="str">
        <f t="shared" si="88"/>
        <v>Good</v>
      </c>
      <c r="T511" t="str">
        <f t="shared" si="89"/>
        <v>NO2</v>
      </c>
      <c r="U511">
        <v>25.8</v>
      </c>
      <c r="V511">
        <v>74.069999999999993</v>
      </c>
    </row>
    <row r="512" spans="1:22" x14ac:dyDescent="0.3">
      <c r="A512" s="2" t="s">
        <v>15</v>
      </c>
      <c r="B512">
        <v>560026</v>
      </c>
      <c r="C512" s="3">
        <v>43990</v>
      </c>
      <c r="D512">
        <v>12.48</v>
      </c>
      <c r="E512">
        <v>44.25</v>
      </c>
      <c r="F512">
        <v>37.44</v>
      </c>
      <c r="G512">
        <v>2.77</v>
      </c>
      <c r="H512">
        <v>7.91</v>
      </c>
      <c r="I512">
        <v>0.65</v>
      </c>
      <c r="J512">
        <v>20.83</v>
      </c>
      <c r="K512">
        <f t="shared" si="80"/>
        <v>20.8</v>
      </c>
      <c r="L512">
        <f t="shared" si="81"/>
        <v>44.25</v>
      </c>
      <c r="M512">
        <f t="shared" si="82"/>
        <v>46.8</v>
      </c>
      <c r="N512">
        <f t="shared" si="83"/>
        <v>0.6925</v>
      </c>
      <c r="O512">
        <f t="shared" si="84"/>
        <v>9.8874999999999993</v>
      </c>
      <c r="P512">
        <f t="shared" si="85"/>
        <v>7.3863636363636367</v>
      </c>
      <c r="Q512">
        <f t="shared" si="86"/>
        <v>19.287037037037035</v>
      </c>
      <c r="R512">
        <f t="shared" si="87"/>
        <v>46.8</v>
      </c>
      <c r="S512" t="str">
        <f t="shared" si="88"/>
        <v>Good</v>
      </c>
      <c r="T512" t="str">
        <f t="shared" si="89"/>
        <v>NO2</v>
      </c>
      <c r="U512">
        <v>26.56</v>
      </c>
      <c r="V512">
        <v>65.62</v>
      </c>
    </row>
    <row r="513" spans="1:22" x14ac:dyDescent="0.3">
      <c r="A513" s="2" t="s">
        <v>15</v>
      </c>
      <c r="B513">
        <v>560026</v>
      </c>
      <c r="C513" s="3">
        <v>43991</v>
      </c>
      <c r="D513">
        <v>16.43</v>
      </c>
      <c r="E513">
        <v>44.82</v>
      </c>
      <c r="F513">
        <v>35.39</v>
      </c>
      <c r="G513">
        <v>5.01</v>
      </c>
      <c r="H513">
        <v>14.83</v>
      </c>
      <c r="I513">
        <v>0.64</v>
      </c>
      <c r="J513">
        <v>19.93</v>
      </c>
      <c r="K513">
        <f t="shared" si="80"/>
        <v>27.383333333333333</v>
      </c>
      <c r="L513">
        <f t="shared" si="81"/>
        <v>44.82</v>
      </c>
      <c r="M513">
        <f t="shared" si="82"/>
        <v>44.237499999999997</v>
      </c>
      <c r="N513">
        <f t="shared" si="83"/>
        <v>1.2524999999999999</v>
      </c>
      <c r="O513">
        <f t="shared" si="84"/>
        <v>18.537500000000001</v>
      </c>
      <c r="P513">
        <f t="shared" si="85"/>
        <v>7.2727272727272725</v>
      </c>
      <c r="Q513">
        <f t="shared" si="86"/>
        <v>18.453703703703702</v>
      </c>
      <c r="R513">
        <f t="shared" si="87"/>
        <v>44.82</v>
      </c>
      <c r="S513" t="str">
        <f t="shared" si="88"/>
        <v>Good</v>
      </c>
      <c r="T513" t="str">
        <f t="shared" si="89"/>
        <v>PM10</v>
      </c>
      <c r="U513">
        <v>24.14</v>
      </c>
      <c r="V513">
        <v>68.739999999999995</v>
      </c>
    </row>
    <row r="514" spans="1:22" x14ac:dyDescent="0.3">
      <c r="A514" s="2" t="s">
        <v>15</v>
      </c>
      <c r="B514">
        <v>560026</v>
      </c>
      <c r="C514" s="3">
        <v>43992</v>
      </c>
      <c r="D514">
        <v>47.71</v>
      </c>
      <c r="E514">
        <v>83.56</v>
      </c>
      <c r="F514">
        <v>34.85</v>
      </c>
      <c r="G514">
        <v>6.78</v>
      </c>
      <c r="H514">
        <v>9.85</v>
      </c>
      <c r="I514">
        <v>0.61</v>
      </c>
      <c r="J514">
        <v>15.14</v>
      </c>
      <c r="K514">
        <f t="shared" si="80"/>
        <v>79.516666666666666</v>
      </c>
      <c r="L514">
        <f t="shared" si="81"/>
        <v>83.56</v>
      </c>
      <c r="M514">
        <f t="shared" si="82"/>
        <v>43.5625</v>
      </c>
      <c r="N514">
        <f t="shared" si="83"/>
        <v>1.6950000000000001</v>
      </c>
      <c r="O514">
        <f t="shared" si="84"/>
        <v>12.3125</v>
      </c>
      <c r="P514">
        <f t="shared" si="85"/>
        <v>6.9318181818181817</v>
      </c>
      <c r="Q514">
        <f t="shared" si="86"/>
        <v>14.018518518518519</v>
      </c>
      <c r="R514">
        <f t="shared" si="87"/>
        <v>83.56</v>
      </c>
      <c r="S514" t="str">
        <f t="shared" si="88"/>
        <v>Satisfactory</v>
      </c>
      <c r="T514" t="str">
        <f t="shared" si="89"/>
        <v>PM10</v>
      </c>
      <c r="U514">
        <v>25.16</v>
      </c>
      <c r="V514">
        <v>73.510000000000005</v>
      </c>
    </row>
    <row r="515" spans="1:22" x14ac:dyDescent="0.3">
      <c r="A515" s="2" t="s">
        <v>15</v>
      </c>
      <c r="B515">
        <v>560026</v>
      </c>
      <c r="C515" s="3">
        <v>43993</v>
      </c>
      <c r="D515">
        <v>20.100000000000001</v>
      </c>
      <c r="E515">
        <v>40.42</v>
      </c>
      <c r="F515">
        <v>30.37</v>
      </c>
      <c r="G515">
        <v>7.06</v>
      </c>
      <c r="H515">
        <v>9.86</v>
      </c>
      <c r="I515">
        <v>0.69</v>
      </c>
      <c r="J515">
        <v>16.77</v>
      </c>
      <c r="K515">
        <f t="shared" si="80"/>
        <v>33.500000000000007</v>
      </c>
      <c r="L515">
        <f t="shared" si="81"/>
        <v>40.42</v>
      </c>
      <c r="M515">
        <f t="shared" si="82"/>
        <v>37.962499999999999</v>
      </c>
      <c r="N515">
        <f t="shared" si="83"/>
        <v>1.7649999999999999</v>
      </c>
      <c r="O515">
        <f t="shared" si="84"/>
        <v>12.324999999999999</v>
      </c>
      <c r="P515">
        <f t="shared" si="85"/>
        <v>7.8409090909090899</v>
      </c>
      <c r="Q515">
        <f t="shared" si="86"/>
        <v>15.527777777777777</v>
      </c>
      <c r="R515">
        <f t="shared" si="87"/>
        <v>40.42</v>
      </c>
      <c r="S515" t="str">
        <f t="shared" si="88"/>
        <v>Good</v>
      </c>
      <c r="T515" t="str">
        <f t="shared" si="89"/>
        <v>PM10</v>
      </c>
      <c r="U515">
        <v>24.94</v>
      </c>
      <c r="V515">
        <v>74.62</v>
      </c>
    </row>
    <row r="516" spans="1:22" x14ac:dyDescent="0.3">
      <c r="A516" s="2" t="s">
        <v>15</v>
      </c>
      <c r="B516">
        <v>560026</v>
      </c>
      <c r="C516" s="3">
        <v>43994</v>
      </c>
      <c r="D516">
        <v>11.07</v>
      </c>
      <c r="E516">
        <v>28.7</v>
      </c>
      <c r="F516">
        <v>28.59</v>
      </c>
      <c r="G516">
        <v>7.66</v>
      </c>
      <c r="H516">
        <v>8.48</v>
      </c>
      <c r="I516">
        <v>0.48</v>
      </c>
      <c r="J516">
        <v>21.08</v>
      </c>
      <c r="K516">
        <f t="shared" si="80"/>
        <v>18.45</v>
      </c>
      <c r="L516">
        <f t="shared" si="81"/>
        <v>28.7</v>
      </c>
      <c r="M516">
        <f t="shared" si="82"/>
        <v>35.737499999999997</v>
      </c>
      <c r="N516">
        <f t="shared" si="83"/>
        <v>1.915</v>
      </c>
      <c r="O516">
        <f t="shared" si="84"/>
        <v>10.6</v>
      </c>
      <c r="P516">
        <f t="shared" si="85"/>
        <v>5.4545454545454541</v>
      </c>
      <c r="Q516">
        <f t="shared" si="86"/>
        <v>19.518518518518515</v>
      </c>
      <c r="R516">
        <f t="shared" si="87"/>
        <v>35.737499999999997</v>
      </c>
      <c r="S516" t="str">
        <f t="shared" si="88"/>
        <v>Good</v>
      </c>
      <c r="T516" t="str">
        <f t="shared" si="89"/>
        <v>NO2</v>
      </c>
      <c r="U516">
        <v>24.7</v>
      </c>
      <c r="V516">
        <v>70.61</v>
      </c>
    </row>
    <row r="517" spans="1:22" x14ac:dyDescent="0.3">
      <c r="A517" s="2" t="s">
        <v>15</v>
      </c>
      <c r="B517">
        <v>560026</v>
      </c>
      <c r="C517" s="3">
        <v>43995</v>
      </c>
      <c r="D517">
        <v>19.22</v>
      </c>
      <c r="E517">
        <v>39.64</v>
      </c>
      <c r="F517">
        <v>28.49</v>
      </c>
      <c r="G517">
        <v>8.32</v>
      </c>
      <c r="H517">
        <v>12.49</v>
      </c>
      <c r="I517">
        <v>0.59</v>
      </c>
      <c r="J517">
        <v>17.93</v>
      </c>
      <c r="K517">
        <f t="shared" si="80"/>
        <v>32.033333333333331</v>
      </c>
      <c r="L517">
        <f t="shared" si="81"/>
        <v>39.64</v>
      </c>
      <c r="M517">
        <f t="shared" si="82"/>
        <v>35.612499999999997</v>
      </c>
      <c r="N517">
        <f t="shared" si="83"/>
        <v>2.08</v>
      </c>
      <c r="O517">
        <f t="shared" si="84"/>
        <v>15.612500000000001</v>
      </c>
      <c r="P517">
        <f t="shared" si="85"/>
        <v>6.7045454545454541</v>
      </c>
      <c r="Q517">
        <f t="shared" si="86"/>
        <v>16.601851851851851</v>
      </c>
      <c r="R517">
        <f t="shared" si="87"/>
        <v>39.64</v>
      </c>
      <c r="S517" t="str">
        <f t="shared" si="88"/>
        <v>Good</v>
      </c>
      <c r="T517" t="str">
        <f t="shared" si="89"/>
        <v>PM10</v>
      </c>
      <c r="U517">
        <v>22.65</v>
      </c>
      <c r="V517">
        <v>77.650000000000006</v>
      </c>
    </row>
    <row r="518" spans="1:22" x14ac:dyDescent="0.3">
      <c r="A518" s="2" t="s">
        <v>15</v>
      </c>
      <c r="B518">
        <v>560026</v>
      </c>
      <c r="C518" s="3">
        <v>43996</v>
      </c>
      <c r="D518">
        <v>16.36</v>
      </c>
      <c r="E518">
        <v>30.61</v>
      </c>
      <c r="F518">
        <v>20.46</v>
      </c>
      <c r="G518">
        <v>8.17</v>
      </c>
      <c r="H518">
        <v>8.94</v>
      </c>
      <c r="I518">
        <v>0.45</v>
      </c>
      <c r="J518">
        <v>18.989999999999998</v>
      </c>
      <c r="K518">
        <f t="shared" si="80"/>
        <v>27.266666666666666</v>
      </c>
      <c r="L518">
        <f t="shared" si="81"/>
        <v>30.61</v>
      </c>
      <c r="M518">
        <f t="shared" si="82"/>
        <v>25.574999999999999</v>
      </c>
      <c r="N518">
        <f t="shared" si="83"/>
        <v>2.0425</v>
      </c>
      <c r="O518">
        <f t="shared" si="84"/>
        <v>11.175000000000001</v>
      </c>
      <c r="P518">
        <f t="shared" si="85"/>
        <v>5.1136363636363633</v>
      </c>
      <c r="Q518">
        <f t="shared" si="86"/>
        <v>17.583333333333332</v>
      </c>
      <c r="R518">
        <f t="shared" si="87"/>
        <v>30.61</v>
      </c>
      <c r="S518" t="str">
        <f t="shared" si="88"/>
        <v>Good</v>
      </c>
      <c r="T518" t="str">
        <f t="shared" si="89"/>
        <v>PM10</v>
      </c>
      <c r="U518">
        <v>21.07</v>
      </c>
      <c r="V518">
        <v>74.5</v>
      </c>
    </row>
    <row r="519" spans="1:22" x14ac:dyDescent="0.3">
      <c r="A519" s="2" t="s">
        <v>15</v>
      </c>
      <c r="B519">
        <v>560026</v>
      </c>
      <c r="C519" s="3">
        <v>43997</v>
      </c>
      <c r="D519">
        <v>11.83</v>
      </c>
      <c r="E519">
        <v>32.76</v>
      </c>
      <c r="F519">
        <v>20.71</v>
      </c>
      <c r="G519">
        <v>8</v>
      </c>
      <c r="H519">
        <v>13.52</v>
      </c>
      <c r="I519">
        <v>0.51</v>
      </c>
      <c r="J519">
        <v>19.739999999999998</v>
      </c>
      <c r="K519">
        <f t="shared" si="80"/>
        <v>19.716666666666665</v>
      </c>
      <c r="L519">
        <f t="shared" si="81"/>
        <v>32.76</v>
      </c>
      <c r="M519">
        <f t="shared" si="82"/>
        <v>25.887499999999999</v>
      </c>
      <c r="N519">
        <f t="shared" si="83"/>
        <v>2</v>
      </c>
      <c r="O519">
        <f t="shared" si="84"/>
        <v>16.899999999999999</v>
      </c>
      <c r="P519">
        <f t="shared" si="85"/>
        <v>5.795454545454545</v>
      </c>
      <c r="Q519">
        <f t="shared" si="86"/>
        <v>18.277777777777775</v>
      </c>
      <c r="R519">
        <f t="shared" si="87"/>
        <v>32.76</v>
      </c>
      <c r="S519" t="str">
        <f t="shared" si="88"/>
        <v>Good</v>
      </c>
      <c r="T519" t="str">
        <f t="shared" si="89"/>
        <v>PM10</v>
      </c>
      <c r="U519">
        <v>19.87</v>
      </c>
      <c r="V519">
        <v>70.81</v>
      </c>
    </row>
    <row r="520" spans="1:22" x14ac:dyDescent="0.3">
      <c r="A520" s="2" t="s">
        <v>15</v>
      </c>
      <c r="B520">
        <v>560026</v>
      </c>
      <c r="C520" s="3">
        <v>43998</v>
      </c>
      <c r="D520">
        <v>13.11</v>
      </c>
      <c r="E520">
        <v>36.36</v>
      </c>
      <c r="F520">
        <v>22.42</v>
      </c>
      <c r="G520">
        <v>8.09</v>
      </c>
      <c r="H520">
        <v>9.86</v>
      </c>
      <c r="I520">
        <v>0.53</v>
      </c>
      <c r="J520">
        <v>18.170000000000002</v>
      </c>
      <c r="K520">
        <f t="shared" si="80"/>
        <v>21.85</v>
      </c>
      <c r="L520">
        <f t="shared" si="81"/>
        <v>36.36</v>
      </c>
      <c r="M520">
        <f t="shared" si="82"/>
        <v>28.024999999999999</v>
      </c>
      <c r="N520">
        <f t="shared" si="83"/>
        <v>2.0225</v>
      </c>
      <c r="O520">
        <f t="shared" si="84"/>
        <v>12.324999999999999</v>
      </c>
      <c r="P520">
        <f t="shared" si="85"/>
        <v>6.0227272727272725</v>
      </c>
      <c r="Q520">
        <f t="shared" si="86"/>
        <v>16.824074074074076</v>
      </c>
      <c r="R520">
        <f t="shared" si="87"/>
        <v>36.36</v>
      </c>
      <c r="S520" t="str">
        <f t="shared" si="88"/>
        <v>Good</v>
      </c>
      <c r="T520" t="str">
        <f t="shared" si="89"/>
        <v>PM10</v>
      </c>
      <c r="U520">
        <v>22.89</v>
      </c>
      <c r="V520">
        <v>74.91</v>
      </c>
    </row>
    <row r="521" spans="1:22" x14ac:dyDescent="0.3">
      <c r="A521" s="2" t="s">
        <v>15</v>
      </c>
      <c r="B521">
        <v>560026</v>
      </c>
      <c r="C521" s="3">
        <v>43999</v>
      </c>
      <c r="D521">
        <v>11.54</v>
      </c>
      <c r="E521">
        <v>37.299999999999997</v>
      </c>
      <c r="F521">
        <v>21.57</v>
      </c>
      <c r="G521">
        <v>8.2100000000000009</v>
      </c>
      <c r="H521">
        <v>11.3</v>
      </c>
      <c r="I521">
        <v>0.48</v>
      </c>
      <c r="J521">
        <v>16.489999999999998</v>
      </c>
      <c r="K521">
        <f t="shared" si="80"/>
        <v>19.233333333333334</v>
      </c>
      <c r="L521">
        <f t="shared" si="81"/>
        <v>37.299999999999997</v>
      </c>
      <c r="M521">
        <f t="shared" si="82"/>
        <v>26.962499999999999</v>
      </c>
      <c r="N521">
        <f t="shared" si="83"/>
        <v>2.0525000000000002</v>
      </c>
      <c r="O521">
        <f t="shared" si="84"/>
        <v>14.125</v>
      </c>
      <c r="P521">
        <f t="shared" si="85"/>
        <v>5.4545454545454541</v>
      </c>
      <c r="Q521">
        <f t="shared" si="86"/>
        <v>15.268518518518517</v>
      </c>
      <c r="R521">
        <f t="shared" si="87"/>
        <v>37.299999999999997</v>
      </c>
      <c r="S521" t="str">
        <f t="shared" si="88"/>
        <v>Good</v>
      </c>
      <c r="T521" t="str">
        <f t="shared" si="89"/>
        <v>PM10</v>
      </c>
      <c r="U521">
        <v>23.62</v>
      </c>
      <c r="V521">
        <v>76.83</v>
      </c>
    </row>
    <row r="522" spans="1:22" x14ac:dyDescent="0.3">
      <c r="A522" s="2" t="s">
        <v>15</v>
      </c>
      <c r="B522">
        <v>560026</v>
      </c>
      <c r="C522" s="3">
        <v>44000</v>
      </c>
      <c r="D522">
        <v>76.7</v>
      </c>
      <c r="E522">
        <v>121.53</v>
      </c>
      <c r="F522">
        <v>19.079999999999998</v>
      </c>
      <c r="G522">
        <v>9.2200000000000006</v>
      </c>
      <c r="H522">
        <v>9.17</v>
      </c>
      <c r="I522">
        <v>1.08</v>
      </c>
      <c r="J522">
        <v>11.34</v>
      </c>
      <c r="K522">
        <f t="shared" si="80"/>
        <v>155.66666666666669</v>
      </c>
      <c r="L522">
        <f t="shared" si="81"/>
        <v>114.35333333333334</v>
      </c>
      <c r="M522">
        <f t="shared" si="82"/>
        <v>23.849999999999998</v>
      </c>
      <c r="N522">
        <f t="shared" si="83"/>
        <v>2.3050000000000002</v>
      </c>
      <c r="O522">
        <f t="shared" si="84"/>
        <v>11.4625</v>
      </c>
      <c r="P522">
        <f t="shared" si="85"/>
        <v>12.272727272727273</v>
      </c>
      <c r="Q522">
        <f t="shared" si="86"/>
        <v>10.5</v>
      </c>
      <c r="R522">
        <f t="shared" si="87"/>
        <v>155.66666666666669</v>
      </c>
      <c r="S522" t="str">
        <f t="shared" si="88"/>
        <v>Moderate</v>
      </c>
      <c r="T522" t="str">
        <f t="shared" si="89"/>
        <v>PM2.5</v>
      </c>
      <c r="U522">
        <v>23.24</v>
      </c>
      <c r="V522">
        <v>77.78</v>
      </c>
    </row>
    <row r="523" spans="1:22" x14ac:dyDescent="0.3">
      <c r="A523" s="2" t="s">
        <v>15</v>
      </c>
      <c r="B523">
        <v>560026</v>
      </c>
      <c r="C523" s="3">
        <v>44001</v>
      </c>
      <c r="D523">
        <v>28.82</v>
      </c>
      <c r="E523">
        <v>59.52</v>
      </c>
      <c r="F523">
        <v>16.13</v>
      </c>
      <c r="G523">
        <v>8.14</v>
      </c>
      <c r="H523">
        <v>8.8800000000000008</v>
      </c>
      <c r="I523">
        <v>0.64</v>
      </c>
      <c r="J523">
        <v>11.48</v>
      </c>
      <c r="K523">
        <f t="shared" si="80"/>
        <v>48.033333333333331</v>
      </c>
      <c r="L523">
        <f t="shared" si="81"/>
        <v>59.52</v>
      </c>
      <c r="M523">
        <f t="shared" si="82"/>
        <v>20.162500000000001</v>
      </c>
      <c r="N523">
        <f t="shared" si="83"/>
        <v>2.0350000000000001</v>
      </c>
      <c r="O523">
        <f t="shared" si="84"/>
        <v>11.100000000000001</v>
      </c>
      <c r="P523">
        <f t="shared" si="85"/>
        <v>7.2727272727272725</v>
      </c>
      <c r="Q523">
        <f t="shared" si="86"/>
        <v>10.62962962962963</v>
      </c>
      <c r="R523">
        <f t="shared" si="87"/>
        <v>59.52</v>
      </c>
      <c r="S523" t="str">
        <f t="shared" si="88"/>
        <v>Satisfactory</v>
      </c>
      <c r="T523" t="str">
        <f t="shared" si="89"/>
        <v>PM10</v>
      </c>
      <c r="U523">
        <v>24.33</v>
      </c>
      <c r="V523">
        <v>74.39</v>
      </c>
    </row>
    <row r="524" spans="1:22" x14ac:dyDescent="0.3">
      <c r="A524" s="2" t="s">
        <v>15</v>
      </c>
      <c r="B524">
        <v>560026</v>
      </c>
      <c r="C524" s="3">
        <v>44002</v>
      </c>
      <c r="D524">
        <v>13.53</v>
      </c>
      <c r="E524">
        <v>42.61</v>
      </c>
      <c r="F524">
        <v>17.059999999999999</v>
      </c>
      <c r="G524">
        <v>7.96</v>
      </c>
      <c r="H524">
        <v>11.45</v>
      </c>
      <c r="I524">
        <v>0.68</v>
      </c>
      <c r="J524">
        <v>15.06</v>
      </c>
      <c r="K524">
        <f t="shared" si="80"/>
        <v>22.55</v>
      </c>
      <c r="L524">
        <f t="shared" si="81"/>
        <v>42.61</v>
      </c>
      <c r="M524">
        <f t="shared" si="82"/>
        <v>21.324999999999996</v>
      </c>
      <c r="N524">
        <f t="shared" si="83"/>
        <v>1.99</v>
      </c>
      <c r="O524">
        <f t="shared" si="84"/>
        <v>14.3125</v>
      </c>
      <c r="P524">
        <f t="shared" si="85"/>
        <v>7.7272727272727275</v>
      </c>
      <c r="Q524">
        <f t="shared" si="86"/>
        <v>13.944444444444445</v>
      </c>
      <c r="R524">
        <f t="shared" si="87"/>
        <v>42.61</v>
      </c>
      <c r="S524" t="str">
        <f t="shared" si="88"/>
        <v>Good</v>
      </c>
      <c r="T524" t="str">
        <f t="shared" si="89"/>
        <v>PM10</v>
      </c>
      <c r="U524">
        <v>25.1</v>
      </c>
      <c r="V524">
        <v>68.42</v>
      </c>
    </row>
    <row r="525" spans="1:22" x14ac:dyDescent="0.3">
      <c r="A525" s="2" t="s">
        <v>15</v>
      </c>
      <c r="B525">
        <v>560026</v>
      </c>
      <c r="C525" s="3">
        <v>44003</v>
      </c>
      <c r="D525">
        <v>11.47</v>
      </c>
      <c r="E525">
        <v>30.79</v>
      </c>
      <c r="F525">
        <v>9.9499999999999993</v>
      </c>
      <c r="G525">
        <v>7.87</v>
      </c>
      <c r="H525">
        <v>10.41</v>
      </c>
      <c r="I525">
        <v>0.44</v>
      </c>
      <c r="J525">
        <v>15.66</v>
      </c>
      <c r="K525">
        <f t="shared" si="80"/>
        <v>19.116666666666667</v>
      </c>
      <c r="L525">
        <f t="shared" si="81"/>
        <v>30.79</v>
      </c>
      <c r="M525">
        <f t="shared" si="82"/>
        <v>12.437499999999998</v>
      </c>
      <c r="N525">
        <f t="shared" si="83"/>
        <v>1.9675</v>
      </c>
      <c r="O525">
        <f t="shared" si="84"/>
        <v>13.012499999999999</v>
      </c>
      <c r="P525">
        <f t="shared" si="85"/>
        <v>5</v>
      </c>
      <c r="Q525">
        <f t="shared" si="86"/>
        <v>14.5</v>
      </c>
      <c r="R525">
        <f t="shared" si="87"/>
        <v>30.79</v>
      </c>
      <c r="S525" t="str">
        <f t="shared" si="88"/>
        <v>Good</v>
      </c>
      <c r="T525" t="str">
        <f t="shared" si="89"/>
        <v>PM10</v>
      </c>
      <c r="U525">
        <v>23.84</v>
      </c>
      <c r="V525">
        <v>74.89</v>
      </c>
    </row>
    <row r="526" spans="1:22" x14ac:dyDescent="0.3">
      <c r="A526" s="2" t="s">
        <v>15</v>
      </c>
      <c r="B526">
        <v>560026</v>
      </c>
      <c r="C526" s="3">
        <v>44004</v>
      </c>
      <c r="D526">
        <v>16.260000000000002</v>
      </c>
      <c r="E526">
        <v>37.03</v>
      </c>
      <c r="F526">
        <v>14.18</v>
      </c>
      <c r="G526">
        <v>7.95</v>
      </c>
      <c r="H526">
        <v>9.1199999999999992</v>
      </c>
      <c r="I526">
        <v>0.75</v>
      </c>
      <c r="J526">
        <v>15.04</v>
      </c>
      <c r="K526">
        <f t="shared" si="80"/>
        <v>27.100000000000005</v>
      </c>
      <c r="L526">
        <f t="shared" si="81"/>
        <v>37.03</v>
      </c>
      <c r="M526">
        <f t="shared" si="82"/>
        <v>17.725000000000001</v>
      </c>
      <c r="N526">
        <f t="shared" si="83"/>
        <v>1.9875</v>
      </c>
      <c r="O526">
        <f t="shared" si="84"/>
        <v>11.399999999999999</v>
      </c>
      <c r="P526">
        <f t="shared" si="85"/>
        <v>8.5227272727272734</v>
      </c>
      <c r="Q526">
        <f t="shared" si="86"/>
        <v>13.925925925925926</v>
      </c>
      <c r="R526">
        <f t="shared" si="87"/>
        <v>37.03</v>
      </c>
      <c r="S526" t="str">
        <f t="shared" si="88"/>
        <v>Good</v>
      </c>
      <c r="T526" t="str">
        <f t="shared" si="89"/>
        <v>PM10</v>
      </c>
      <c r="U526">
        <v>23.68</v>
      </c>
      <c r="V526">
        <v>74.12</v>
      </c>
    </row>
    <row r="527" spans="1:22" x14ac:dyDescent="0.3">
      <c r="A527" s="2" t="s">
        <v>15</v>
      </c>
      <c r="B527">
        <v>560026</v>
      </c>
      <c r="C527" s="3">
        <v>44005</v>
      </c>
      <c r="D527">
        <v>18.11</v>
      </c>
      <c r="E527">
        <v>49.72</v>
      </c>
      <c r="F527">
        <v>14.44</v>
      </c>
      <c r="G527">
        <v>7.98</v>
      </c>
      <c r="H527">
        <v>6.71</v>
      </c>
      <c r="I527">
        <v>0.71</v>
      </c>
      <c r="J527">
        <v>19.100000000000001</v>
      </c>
      <c r="K527">
        <f t="shared" si="80"/>
        <v>30.183333333333334</v>
      </c>
      <c r="L527">
        <f t="shared" si="81"/>
        <v>49.72</v>
      </c>
      <c r="M527">
        <f t="shared" si="82"/>
        <v>18.05</v>
      </c>
      <c r="N527">
        <f t="shared" si="83"/>
        <v>1.9950000000000001</v>
      </c>
      <c r="O527">
        <f t="shared" si="84"/>
        <v>8.3874999999999993</v>
      </c>
      <c r="P527">
        <f t="shared" si="85"/>
        <v>8.0681818181818183</v>
      </c>
      <c r="Q527">
        <f t="shared" si="86"/>
        <v>17.685185185185187</v>
      </c>
      <c r="R527">
        <f t="shared" si="87"/>
        <v>49.72</v>
      </c>
      <c r="S527" t="str">
        <f t="shared" si="88"/>
        <v>Good</v>
      </c>
      <c r="T527" t="str">
        <f t="shared" si="89"/>
        <v>PM10</v>
      </c>
      <c r="U527">
        <v>25.24</v>
      </c>
      <c r="V527">
        <v>69.05</v>
      </c>
    </row>
    <row r="528" spans="1:22" x14ac:dyDescent="0.3">
      <c r="A528" s="2" t="s">
        <v>15</v>
      </c>
      <c r="B528">
        <v>560026</v>
      </c>
      <c r="C528" s="3">
        <v>44006</v>
      </c>
      <c r="D528">
        <v>14.9</v>
      </c>
      <c r="E528">
        <v>40.75</v>
      </c>
      <c r="F528">
        <v>13.01</v>
      </c>
      <c r="G528">
        <v>7.86</v>
      </c>
      <c r="H528">
        <v>8.36</v>
      </c>
      <c r="I528">
        <v>0.72</v>
      </c>
      <c r="J528">
        <v>18.64</v>
      </c>
      <c r="K528">
        <f t="shared" si="80"/>
        <v>24.833333333333332</v>
      </c>
      <c r="L528">
        <f t="shared" si="81"/>
        <v>40.75</v>
      </c>
      <c r="M528">
        <f t="shared" si="82"/>
        <v>16.262499999999999</v>
      </c>
      <c r="N528">
        <f t="shared" si="83"/>
        <v>1.9650000000000001</v>
      </c>
      <c r="O528">
        <f t="shared" si="84"/>
        <v>10.45</v>
      </c>
      <c r="P528">
        <f t="shared" si="85"/>
        <v>8.1818181818181817</v>
      </c>
      <c r="Q528">
        <f t="shared" si="86"/>
        <v>17.25925925925926</v>
      </c>
      <c r="R528">
        <f t="shared" si="87"/>
        <v>40.75</v>
      </c>
      <c r="S528" t="str">
        <f t="shared" si="88"/>
        <v>Good</v>
      </c>
      <c r="T528" t="str">
        <f t="shared" si="89"/>
        <v>PM10</v>
      </c>
      <c r="U528">
        <v>24.98</v>
      </c>
      <c r="V528">
        <v>74.47</v>
      </c>
    </row>
    <row r="529" spans="1:22" x14ac:dyDescent="0.3">
      <c r="A529" s="2" t="s">
        <v>15</v>
      </c>
      <c r="B529">
        <v>560026</v>
      </c>
      <c r="C529" s="3">
        <v>44007</v>
      </c>
      <c r="D529">
        <v>17.309999999999999</v>
      </c>
      <c r="E529">
        <v>32.61</v>
      </c>
      <c r="F529">
        <v>18.87</v>
      </c>
      <c r="G529">
        <v>7.87</v>
      </c>
      <c r="H529">
        <v>13.66</v>
      </c>
      <c r="I529">
        <v>0.91</v>
      </c>
      <c r="J529">
        <v>18.12</v>
      </c>
      <c r="K529">
        <f t="shared" si="80"/>
        <v>28.849999999999998</v>
      </c>
      <c r="L529">
        <f t="shared" si="81"/>
        <v>32.61</v>
      </c>
      <c r="M529">
        <f t="shared" si="82"/>
        <v>23.587499999999999</v>
      </c>
      <c r="N529">
        <f t="shared" si="83"/>
        <v>1.9675</v>
      </c>
      <c r="O529">
        <f t="shared" si="84"/>
        <v>17.074999999999999</v>
      </c>
      <c r="P529">
        <f t="shared" si="85"/>
        <v>10.340909090909092</v>
      </c>
      <c r="Q529">
        <f t="shared" si="86"/>
        <v>16.777777777777779</v>
      </c>
      <c r="R529">
        <f t="shared" si="87"/>
        <v>32.61</v>
      </c>
      <c r="S529" t="str">
        <f t="shared" si="88"/>
        <v>Good</v>
      </c>
      <c r="T529" t="str">
        <f t="shared" si="89"/>
        <v>PM10</v>
      </c>
      <c r="U529">
        <v>24.06</v>
      </c>
      <c r="V529">
        <v>79.459999999999994</v>
      </c>
    </row>
    <row r="530" spans="1:22" x14ac:dyDescent="0.3">
      <c r="A530" s="2" t="s">
        <v>15</v>
      </c>
      <c r="B530">
        <v>560026</v>
      </c>
      <c r="C530" s="3">
        <v>44008</v>
      </c>
      <c r="D530">
        <v>14.27</v>
      </c>
      <c r="E530">
        <v>22.22</v>
      </c>
      <c r="F530">
        <v>13.18</v>
      </c>
      <c r="G530">
        <v>7.71</v>
      </c>
      <c r="H530">
        <v>11.78</v>
      </c>
      <c r="I530">
        <v>0.46</v>
      </c>
      <c r="J530">
        <v>19.93</v>
      </c>
      <c r="K530">
        <f t="shared" si="80"/>
        <v>23.783333333333335</v>
      </c>
      <c r="L530">
        <f t="shared" si="81"/>
        <v>22.22</v>
      </c>
      <c r="M530">
        <f t="shared" si="82"/>
        <v>16.475000000000001</v>
      </c>
      <c r="N530">
        <f t="shared" si="83"/>
        <v>1.9275</v>
      </c>
      <c r="O530">
        <f t="shared" si="84"/>
        <v>14.725</v>
      </c>
      <c r="P530">
        <f t="shared" si="85"/>
        <v>5.2272727272727275</v>
      </c>
      <c r="Q530">
        <f t="shared" si="86"/>
        <v>18.453703703703702</v>
      </c>
      <c r="R530">
        <f t="shared" si="87"/>
        <v>23.783333333333335</v>
      </c>
      <c r="S530" t="str">
        <f t="shared" si="88"/>
        <v>Good</v>
      </c>
      <c r="T530" t="str">
        <f t="shared" si="89"/>
        <v>PM2.5</v>
      </c>
      <c r="U530">
        <v>24.23</v>
      </c>
      <c r="V530">
        <v>80</v>
      </c>
    </row>
    <row r="531" spans="1:22" x14ac:dyDescent="0.3">
      <c r="A531" s="2" t="s">
        <v>15</v>
      </c>
      <c r="B531">
        <v>560026</v>
      </c>
      <c r="C531" s="3">
        <v>44009</v>
      </c>
      <c r="D531">
        <v>11.28</v>
      </c>
      <c r="E531">
        <v>27.09</v>
      </c>
      <c r="F531">
        <v>15.7</v>
      </c>
      <c r="G531">
        <v>8.23</v>
      </c>
      <c r="H531">
        <v>11</v>
      </c>
      <c r="I531">
        <v>0.76</v>
      </c>
      <c r="J531">
        <v>17.54</v>
      </c>
      <c r="K531">
        <f t="shared" si="80"/>
        <v>18.8</v>
      </c>
      <c r="L531">
        <f t="shared" si="81"/>
        <v>27.09</v>
      </c>
      <c r="M531">
        <f t="shared" si="82"/>
        <v>19.625</v>
      </c>
      <c r="N531">
        <f t="shared" si="83"/>
        <v>2.0575000000000001</v>
      </c>
      <c r="O531">
        <f t="shared" si="84"/>
        <v>13.75</v>
      </c>
      <c r="P531">
        <f t="shared" si="85"/>
        <v>8.6363636363636367</v>
      </c>
      <c r="Q531">
        <f t="shared" si="86"/>
        <v>16.24074074074074</v>
      </c>
      <c r="R531">
        <f t="shared" si="87"/>
        <v>27.09</v>
      </c>
      <c r="S531" t="str">
        <f t="shared" si="88"/>
        <v>Good</v>
      </c>
      <c r="T531" t="str">
        <f t="shared" si="89"/>
        <v>PM10</v>
      </c>
      <c r="U531">
        <v>24.54</v>
      </c>
      <c r="V531">
        <v>75.33</v>
      </c>
    </row>
    <row r="532" spans="1:22" x14ac:dyDescent="0.3">
      <c r="A532" s="2" t="s">
        <v>15</v>
      </c>
      <c r="B532">
        <v>560026</v>
      </c>
      <c r="C532" s="3">
        <v>44010</v>
      </c>
      <c r="D532">
        <v>8.26</v>
      </c>
      <c r="E532">
        <v>18.059999999999999</v>
      </c>
      <c r="F532">
        <v>9.7100000000000009</v>
      </c>
      <c r="G532">
        <v>7.82</v>
      </c>
      <c r="H532">
        <v>6.48</v>
      </c>
      <c r="I532">
        <v>0.53</v>
      </c>
      <c r="J532">
        <v>19.399999999999999</v>
      </c>
      <c r="K532">
        <f t="shared" si="80"/>
        <v>13.766666666666667</v>
      </c>
      <c r="L532">
        <f t="shared" si="81"/>
        <v>18.059999999999999</v>
      </c>
      <c r="M532">
        <f t="shared" si="82"/>
        <v>12.137500000000001</v>
      </c>
      <c r="N532">
        <f t="shared" si="83"/>
        <v>1.9550000000000001</v>
      </c>
      <c r="O532">
        <f t="shared" si="84"/>
        <v>8.1</v>
      </c>
      <c r="P532">
        <f t="shared" si="85"/>
        <v>6.0227272727272725</v>
      </c>
      <c r="Q532">
        <f t="shared" si="86"/>
        <v>17.962962962962962</v>
      </c>
      <c r="R532">
        <f t="shared" si="87"/>
        <v>18.059999999999999</v>
      </c>
      <c r="S532" t="str">
        <f t="shared" si="88"/>
        <v>Good</v>
      </c>
      <c r="T532" t="str">
        <f t="shared" si="89"/>
        <v>PM10</v>
      </c>
      <c r="U532">
        <v>24.96</v>
      </c>
      <c r="V532">
        <v>73.819999999999993</v>
      </c>
    </row>
    <row r="533" spans="1:22" x14ac:dyDescent="0.3">
      <c r="A533" s="2" t="s">
        <v>15</v>
      </c>
      <c r="B533">
        <v>560026</v>
      </c>
      <c r="C533" s="3">
        <v>44011</v>
      </c>
      <c r="D533">
        <v>9.73</v>
      </c>
      <c r="E533">
        <v>24.66</v>
      </c>
      <c r="F533">
        <v>11.12</v>
      </c>
      <c r="G533">
        <v>7.86</v>
      </c>
      <c r="H533">
        <v>7.2</v>
      </c>
      <c r="I533">
        <v>0.55000000000000004</v>
      </c>
      <c r="J533">
        <v>17.7</v>
      </c>
      <c r="K533">
        <f t="shared" si="80"/>
        <v>16.216666666666665</v>
      </c>
      <c r="L533">
        <f t="shared" si="81"/>
        <v>24.66</v>
      </c>
      <c r="M533">
        <f t="shared" si="82"/>
        <v>13.9</v>
      </c>
      <c r="N533">
        <f t="shared" si="83"/>
        <v>1.9650000000000001</v>
      </c>
      <c r="O533">
        <f t="shared" si="84"/>
        <v>9</v>
      </c>
      <c r="P533">
        <f t="shared" si="85"/>
        <v>6.25</v>
      </c>
      <c r="Q533">
        <f t="shared" si="86"/>
        <v>16.388888888888889</v>
      </c>
      <c r="R533">
        <f t="shared" si="87"/>
        <v>24.66</v>
      </c>
      <c r="S533" t="str">
        <f t="shared" si="88"/>
        <v>Good</v>
      </c>
      <c r="T533" t="str">
        <f t="shared" si="89"/>
        <v>PM10</v>
      </c>
      <c r="U533">
        <v>24.61</v>
      </c>
      <c r="V533">
        <v>75.12</v>
      </c>
    </row>
    <row r="534" spans="1:22" x14ac:dyDescent="0.3">
      <c r="A534" s="2" t="s">
        <v>15</v>
      </c>
      <c r="B534">
        <v>560026</v>
      </c>
      <c r="C534" s="3">
        <v>44012</v>
      </c>
      <c r="D534">
        <v>11.44</v>
      </c>
      <c r="E534">
        <v>20.45</v>
      </c>
      <c r="F534">
        <v>11.62</v>
      </c>
      <c r="G534">
        <v>7.69</v>
      </c>
      <c r="H534">
        <v>9.11</v>
      </c>
      <c r="I534">
        <v>0.72</v>
      </c>
      <c r="J534">
        <v>16.98</v>
      </c>
      <c r="K534">
        <f t="shared" si="80"/>
        <v>19.066666666666666</v>
      </c>
      <c r="L534">
        <f t="shared" si="81"/>
        <v>20.45</v>
      </c>
      <c r="M534">
        <f t="shared" si="82"/>
        <v>14.525</v>
      </c>
      <c r="N534">
        <f t="shared" si="83"/>
        <v>1.9225000000000001</v>
      </c>
      <c r="O534">
        <f t="shared" si="84"/>
        <v>11.387499999999999</v>
      </c>
      <c r="P534">
        <f t="shared" si="85"/>
        <v>8.1818181818181817</v>
      </c>
      <c r="Q534">
        <f t="shared" si="86"/>
        <v>15.722222222222223</v>
      </c>
      <c r="R534">
        <f t="shared" si="87"/>
        <v>20.45</v>
      </c>
      <c r="S534" t="str">
        <f t="shared" si="88"/>
        <v>Good</v>
      </c>
      <c r="T534" t="str">
        <f t="shared" si="89"/>
        <v>PM10</v>
      </c>
      <c r="U534">
        <v>24.84</v>
      </c>
      <c r="V534">
        <v>73.489999999999995</v>
      </c>
    </row>
    <row r="535" spans="1:22" x14ac:dyDescent="0.3">
      <c r="A535" s="2" t="s">
        <v>15</v>
      </c>
      <c r="B535">
        <v>560026</v>
      </c>
      <c r="C535" s="3">
        <v>44013</v>
      </c>
      <c r="D535">
        <v>8.9</v>
      </c>
      <c r="E535">
        <v>25.61</v>
      </c>
      <c r="F535">
        <v>11.73</v>
      </c>
      <c r="G535">
        <v>7.73</v>
      </c>
      <c r="H535">
        <v>9.69</v>
      </c>
      <c r="I535">
        <v>0.48</v>
      </c>
      <c r="J535">
        <v>17.12</v>
      </c>
      <c r="K535">
        <f t="shared" si="80"/>
        <v>14.833333333333334</v>
      </c>
      <c r="L535">
        <f t="shared" si="81"/>
        <v>25.61</v>
      </c>
      <c r="M535">
        <f t="shared" si="82"/>
        <v>14.6625</v>
      </c>
      <c r="N535">
        <f t="shared" si="83"/>
        <v>1.9325000000000001</v>
      </c>
      <c r="O535">
        <f t="shared" si="84"/>
        <v>12.112500000000001</v>
      </c>
      <c r="P535">
        <f t="shared" si="85"/>
        <v>5.4545454545454541</v>
      </c>
      <c r="Q535">
        <f t="shared" si="86"/>
        <v>15.851851851851853</v>
      </c>
      <c r="R535">
        <f t="shared" si="87"/>
        <v>25.61</v>
      </c>
      <c r="S535" t="str">
        <f t="shared" si="88"/>
        <v>Good</v>
      </c>
      <c r="T535" t="str">
        <f t="shared" si="89"/>
        <v>PM10</v>
      </c>
      <c r="U535">
        <v>24.65</v>
      </c>
      <c r="V535">
        <v>71.61</v>
      </c>
    </row>
    <row r="536" spans="1:22" x14ac:dyDescent="0.3">
      <c r="A536" s="2" t="s">
        <v>15</v>
      </c>
      <c r="B536">
        <v>560026</v>
      </c>
      <c r="C536" s="3">
        <v>44014</v>
      </c>
      <c r="D536">
        <v>7.81</v>
      </c>
      <c r="E536">
        <v>18.52</v>
      </c>
      <c r="F536">
        <v>13.01</v>
      </c>
      <c r="G536">
        <v>7.75</v>
      </c>
      <c r="H536">
        <v>11.22</v>
      </c>
      <c r="I536">
        <v>0.78</v>
      </c>
      <c r="J536">
        <v>11.2</v>
      </c>
      <c r="K536">
        <f t="shared" si="80"/>
        <v>13.016666666666667</v>
      </c>
      <c r="L536">
        <f t="shared" si="81"/>
        <v>18.52</v>
      </c>
      <c r="M536">
        <f t="shared" si="82"/>
        <v>16.262499999999999</v>
      </c>
      <c r="N536">
        <f t="shared" si="83"/>
        <v>1.9375</v>
      </c>
      <c r="O536">
        <f t="shared" si="84"/>
        <v>14.025</v>
      </c>
      <c r="P536">
        <f t="shared" si="85"/>
        <v>8.8636363636363633</v>
      </c>
      <c r="Q536">
        <f t="shared" si="86"/>
        <v>10.37037037037037</v>
      </c>
      <c r="R536">
        <f t="shared" si="87"/>
        <v>18.52</v>
      </c>
      <c r="S536" t="str">
        <f t="shared" si="88"/>
        <v>Good</v>
      </c>
      <c r="T536" t="str">
        <f t="shared" si="89"/>
        <v>PM10</v>
      </c>
      <c r="U536">
        <v>22.75</v>
      </c>
      <c r="V536">
        <v>81.86</v>
      </c>
    </row>
    <row r="537" spans="1:22" x14ac:dyDescent="0.3">
      <c r="A537" s="2" t="s">
        <v>15</v>
      </c>
      <c r="B537">
        <v>560026</v>
      </c>
      <c r="C537" s="3">
        <v>44015</v>
      </c>
      <c r="D537">
        <v>7.1</v>
      </c>
      <c r="E537">
        <v>19.239999999999998</v>
      </c>
      <c r="F537">
        <v>12.96</v>
      </c>
      <c r="G537">
        <v>7.85</v>
      </c>
      <c r="H537">
        <v>12.06</v>
      </c>
      <c r="I537">
        <v>0.47</v>
      </c>
      <c r="J537">
        <v>14.71</v>
      </c>
      <c r="K537">
        <f t="shared" si="80"/>
        <v>11.833333333333334</v>
      </c>
      <c r="L537">
        <f t="shared" si="81"/>
        <v>19.239999999999998</v>
      </c>
      <c r="M537">
        <f t="shared" si="82"/>
        <v>16.2</v>
      </c>
      <c r="N537">
        <f t="shared" si="83"/>
        <v>1.9624999999999999</v>
      </c>
      <c r="O537">
        <f t="shared" si="84"/>
        <v>15.074999999999999</v>
      </c>
      <c r="P537">
        <f t="shared" si="85"/>
        <v>5.3409090909090908</v>
      </c>
      <c r="Q537">
        <f t="shared" si="86"/>
        <v>13.620370370370372</v>
      </c>
      <c r="R537">
        <f t="shared" si="87"/>
        <v>19.239999999999998</v>
      </c>
      <c r="S537" t="str">
        <f t="shared" si="88"/>
        <v>Good</v>
      </c>
      <c r="T537" t="str">
        <f t="shared" si="89"/>
        <v>PM10</v>
      </c>
      <c r="U537">
        <v>22.73</v>
      </c>
      <c r="V537">
        <v>81.34</v>
      </c>
    </row>
    <row r="538" spans="1:22" x14ac:dyDescent="0.3">
      <c r="A538" s="2" t="s">
        <v>15</v>
      </c>
      <c r="B538">
        <v>560026</v>
      </c>
      <c r="C538" s="3">
        <v>44016</v>
      </c>
      <c r="D538">
        <v>7.54</v>
      </c>
      <c r="E538">
        <v>21.53</v>
      </c>
      <c r="F538">
        <v>10.56</v>
      </c>
      <c r="G538">
        <v>8.07</v>
      </c>
      <c r="H538">
        <v>12.18</v>
      </c>
      <c r="I538">
        <v>0.55000000000000004</v>
      </c>
      <c r="J538">
        <v>15.97</v>
      </c>
      <c r="K538">
        <f t="shared" si="80"/>
        <v>12.566666666666666</v>
      </c>
      <c r="L538">
        <f t="shared" si="81"/>
        <v>21.53</v>
      </c>
      <c r="M538">
        <f t="shared" si="82"/>
        <v>13.2</v>
      </c>
      <c r="N538">
        <f t="shared" si="83"/>
        <v>2.0175000000000001</v>
      </c>
      <c r="O538">
        <f t="shared" si="84"/>
        <v>15.225</v>
      </c>
      <c r="P538">
        <f t="shared" si="85"/>
        <v>6.25</v>
      </c>
      <c r="Q538">
        <f t="shared" si="86"/>
        <v>14.787037037037038</v>
      </c>
      <c r="R538">
        <f t="shared" si="87"/>
        <v>21.53</v>
      </c>
      <c r="S538" t="str">
        <f t="shared" si="88"/>
        <v>Good</v>
      </c>
      <c r="T538" t="str">
        <f t="shared" si="89"/>
        <v>PM10</v>
      </c>
      <c r="U538">
        <v>23.17</v>
      </c>
      <c r="V538">
        <v>77.62</v>
      </c>
    </row>
    <row r="539" spans="1:22" x14ac:dyDescent="0.3">
      <c r="A539" s="2" t="s">
        <v>15</v>
      </c>
      <c r="B539">
        <v>560026</v>
      </c>
      <c r="C539" s="3">
        <v>44017</v>
      </c>
      <c r="D539">
        <v>5.78</v>
      </c>
      <c r="E539">
        <v>20.260000000000002</v>
      </c>
      <c r="F539">
        <v>5.24</v>
      </c>
      <c r="G539">
        <v>7.83</v>
      </c>
      <c r="H539">
        <v>10.89</v>
      </c>
      <c r="I539">
        <v>0.47</v>
      </c>
      <c r="J539">
        <v>16.98</v>
      </c>
      <c r="K539">
        <f t="shared" si="80"/>
        <v>9.6333333333333329</v>
      </c>
      <c r="L539">
        <f t="shared" si="81"/>
        <v>20.260000000000002</v>
      </c>
      <c r="M539">
        <f t="shared" si="82"/>
        <v>6.55</v>
      </c>
      <c r="N539">
        <f t="shared" si="83"/>
        <v>1.9575</v>
      </c>
      <c r="O539">
        <f t="shared" si="84"/>
        <v>13.612500000000001</v>
      </c>
      <c r="P539">
        <f t="shared" si="85"/>
        <v>5.3409090909090908</v>
      </c>
      <c r="Q539">
        <f t="shared" si="86"/>
        <v>15.722222222222223</v>
      </c>
      <c r="R539">
        <f t="shared" si="87"/>
        <v>20.260000000000002</v>
      </c>
      <c r="S539" t="str">
        <f t="shared" si="88"/>
        <v>Good</v>
      </c>
      <c r="T539" t="str">
        <f t="shared" si="89"/>
        <v>PM10</v>
      </c>
      <c r="U539">
        <v>23.41</v>
      </c>
      <c r="V539">
        <v>79.760000000000005</v>
      </c>
    </row>
    <row r="540" spans="1:22" x14ac:dyDescent="0.3">
      <c r="A540" s="2" t="s">
        <v>15</v>
      </c>
      <c r="B540">
        <v>560026</v>
      </c>
      <c r="C540" s="3">
        <v>44018</v>
      </c>
      <c r="D540">
        <v>10.07</v>
      </c>
      <c r="E540">
        <v>28.24</v>
      </c>
      <c r="F540">
        <v>10.68</v>
      </c>
      <c r="G540">
        <v>7.92</v>
      </c>
      <c r="H540">
        <v>14.08</v>
      </c>
      <c r="I540">
        <v>0.64</v>
      </c>
      <c r="J540">
        <v>14.37</v>
      </c>
      <c r="K540">
        <f t="shared" si="80"/>
        <v>16.783333333333335</v>
      </c>
      <c r="L540">
        <f t="shared" si="81"/>
        <v>28.24</v>
      </c>
      <c r="M540">
        <f t="shared" si="82"/>
        <v>13.35</v>
      </c>
      <c r="N540">
        <f t="shared" si="83"/>
        <v>1.98</v>
      </c>
      <c r="O540">
        <f t="shared" si="84"/>
        <v>17.600000000000001</v>
      </c>
      <c r="P540">
        <f t="shared" si="85"/>
        <v>7.2727272727272725</v>
      </c>
      <c r="Q540">
        <f t="shared" si="86"/>
        <v>13.305555555555555</v>
      </c>
      <c r="R540">
        <f t="shared" si="87"/>
        <v>28.24</v>
      </c>
      <c r="S540" t="str">
        <f t="shared" si="88"/>
        <v>Good</v>
      </c>
      <c r="T540" t="str">
        <f t="shared" si="89"/>
        <v>PM10</v>
      </c>
      <c r="U540">
        <v>23.09</v>
      </c>
      <c r="V540">
        <v>77.41</v>
      </c>
    </row>
    <row r="541" spans="1:22" x14ac:dyDescent="0.3">
      <c r="A541" s="2" t="s">
        <v>15</v>
      </c>
      <c r="B541">
        <v>560026</v>
      </c>
      <c r="C541" s="3">
        <v>44019</v>
      </c>
      <c r="D541">
        <v>7.76</v>
      </c>
      <c r="E541">
        <v>22.05</v>
      </c>
      <c r="F541">
        <v>10.54</v>
      </c>
      <c r="G541">
        <v>7.94</v>
      </c>
      <c r="H541">
        <v>13.29</v>
      </c>
      <c r="I541">
        <v>0.37</v>
      </c>
      <c r="J541">
        <v>15.4</v>
      </c>
      <c r="K541">
        <f t="shared" si="80"/>
        <v>12.933333333333334</v>
      </c>
      <c r="L541">
        <f t="shared" si="81"/>
        <v>22.05</v>
      </c>
      <c r="M541">
        <f t="shared" si="82"/>
        <v>13.175000000000001</v>
      </c>
      <c r="N541">
        <f t="shared" si="83"/>
        <v>1.9850000000000001</v>
      </c>
      <c r="O541">
        <f t="shared" si="84"/>
        <v>16.612500000000001</v>
      </c>
      <c r="P541">
        <f t="shared" si="85"/>
        <v>4.2045454545454541</v>
      </c>
      <c r="Q541">
        <f t="shared" si="86"/>
        <v>14.25925925925926</v>
      </c>
      <c r="R541">
        <f t="shared" si="87"/>
        <v>22.05</v>
      </c>
      <c r="S541" t="str">
        <f t="shared" si="88"/>
        <v>Good</v>
      </c>
      <c r="T541" t="str">
        <f t="shared" si="89"/>
        <v>PM10</v>
      </c>
      <c r="U541">
        <v>23.38</v>
      </c>
      <c r="V541">
        <v>76.430000000000007</v>
      </c>
    </row>
    <row r="542" spans="1:22" x14ac:dyDescent="0.3">
      <c r="A542" s="2" t="s">
        <v>15</v>
      </c>
      <c r="B542">
        <v>560026</v>
      </c>
      <c r="C542" s="3">
        <v>44020</v>
      </c>
      <c r="D542">
        <v>5.43</v>
      </c>
      <c r="E542">
        <v>17.920000000000002</v>
      </c>
      <c r="F542">
        <v>10.25</v>
      </c>
      <c r="G542">
        <v>8.0299999999999994</v>
      </c>
      <c r="H542">
        <v>10.7</v>
      </c>
      <c r="I542">
        <v>0.49</v>
      </c>
      <c r="J542">
        <v>14.12</v>
      </c>
      <c r="K542">
        <f t="shared" si="80"/>
        <v>9.0500000000000007</v>
      </c>
      <c r="L542">
        <f t="shared" si="81"/>
        <v>17.920000000000002</v>
      </c>
      <c r="M542">
        <f t="shared" si="82"/>
        <v>12.8125</v>
      </c>
      <c r="N542">
        <f t="shared" si="83"/>
        <v>2.0074999999999998</v>
      </c>
      <c r="O542">
        <f t="shared" si="84"/>
        <v>13.375</v>
      </c>
      <c r="P542">
        <f t="shared" si="85"/>
        <v>5.5681818181818183</v>
      </c>
      <c r="Q542">
        <f t="shared" si="86"/>
        <v>13.074074074074073</v>
      </c>
      <c r="R542">
        <f t="shared" si="87"/>
        <v>17.920000000000002</v>
      </c>
      <c r="S542" t="str">
        <f t="shared" si="88"/>
        <v>Good</v>
      </c>
      <c r="T542" t="str">
        <f t="shared" si="89"/>
        <v>PM10</v>
      </c>
      <c r="U542">
        <v>23.21</v>
      </c>
      <c r="V542">
        <v>78.89</v>
      </c>
    </row>
    <row r="543" spans="1:22" x14ac:dyDescent="0.3">
      <c r="A543" s="2" t="s">
        <v>15</v>
      </c>
      <c r="B543">
        <v>560026</v>
      </c>
      <c r="C543" s="3">
        <v>44021</v>
      </c>
      <c r="D543">
        <v>6.61</v>
      </c>
      <c r="E543">
        <v>19.600000000000001</v>
      </c>
      <c r="F543">
        <v>10.88</v>
      </c>
      <c r="G543">
        <v>7.96</v>
      </c>
      <c r="H543">
        <v>9.5299999999999994</v>
      </c>
      <c r="I543">
        <v>0.49</v>
      </c>
      <c r="J543">
        <v>14.03</v>
      </c>
      <c r="K543">
        <f t="shared" si="80"/>
        <v>11.016666666666667</v>
      </c>
      <c r="L543">
        <f t="shared" si="81"/>
        <v>19.600000000000001</v>
      </c>
      <c r="M543">
        <f t="shared" si="82"/>
        <v>13.6</v>
      </c>
      <c r="N543">
        <f t="shared" si="83"/>
        <v>1.99</v>
      </c>
      <c r="O543">
        <f t="shared" si="84"/>
        <v>11.912499999999998</v>
      </c>
      <c r="P543">
        <f t="shared" si="85"/>
        <v>5.5681818181818183</v>
      </c>
      <c r="Q543">
        <f t="shared" si="86"/>
        <v>12.99074074074074</v>
      </c>
      <c r="R543">
        <f t="shared" si="87"/>
        <v>19.600000000000001</v>
      </c>
      <c r="S543" t="str">
        <f t="shared" si="88"/>
        <v>Good</v>
      </c>
      <c r="T543" t="str">
        <f t="shared" si="89"/>
        <v>PM10</v>
      </c>
      <c r="U543">
        <v>23.73</v>
      </c>
      <c r="V543">
        <v>77.77</v>
      </c>
    </row>
    <row r="544" spans="1:22" x14ac:dyDescent="0.3">
      <c r="A544" s="2" t="s">
        <v>15</v>
      </c>
      <c r="B544">
        <v>560026</v>
      </c>
      <c r="C544" s="3">
        <v>44022</v>
      </c>
      <c r="D544">
        <v>9.19</v>
      </c>
      <c r="E544">
        <v>22.42</v>
      </c>
      <c r="F544">
        <v>12.78</v>
      </c>
      <c r="G544">
        <v>8.0399999999999991</v>
      </c>
      <c r="H544">
        <v>11.21</v>
      </c>
      <c r="I544">
        <v>0.6</v>
      </c>
      <c r="J544">
        <v>13.43</v>
      </c>
      <c r="K544">
        <f t="shared" si="80"/>
        <v>15.316666666666666</v>
      </c>
      <c r="L544">
        <f t="shared" si="81"/>
        <v>22.42</v>
      </c>
      <c r="M544">
        <f t="shared" si="82"/>
        <v>15.975</v>
      </c>
      <c r="N544">
        <f t="shared" si="83"/>
        <v>2.0099999999999998</v>
      </c>
      <c r="O544">
        <f t="shared" si="84"/>
        <v>14.012499999999999</v>
      </c>
      <c r="P544">
        <f t="shared" si="85"/>
        <v>6.8181818181818175</v>
      </c>
      <c r="Q544">
        <f t="shared" si="86"/>
        <v>12.435185185185185</v>
      </c>
      <c r="R544">
        <f t="shared" si="87"/>
        <v>22.42</v>
      </c>
      <c r="S544" t="str">
        <f t="shared" si="88"/>
        <v>Good</v>
      </c>
      <c r="T544" t="str">
        <f t="shared" si="89"/>
        <v>PM10</v>
      </c>
      <c r="U544">
        <v>23.11</v>
      </c>
      <c r="V544">
        <v>80.34</v>
      </c>
    </row>
    <row r="545" spans="1:22" x14ac:dyDescent="0.3">
      <c r="A545" s="2" t="s">
        <v>15</v>
      </c>
      <c r="B545">
        <v>560026</v>
      </c>
      <c r="C545" s="3">
        <v>44023</v>
      </c>
      <c r="D545">
        <v>6.97</v>
      </c>
      <c r="E545">
        <v>23.51</v>
      </c>
      <c r="F545">
        <v>11.86</v>
      </c>
      <c r="G545">
        <v>8.11</v>
      </c>
      <c r="H545">
        <v>9.86</v>
      </c>
      <c r="I545">
        <v>0.4</v>
      </c>
      <c r="J545">
        <v>16.510000000000002</v>
      </c>
      <c r="K545">
        <f t="shared" si="80"/>
        <v>11.616666666666667</v>
      </c>
      <c r="L545">
        <f t="shared" si="81"/>
        <v>23.51</v>
      </c>
      <c r="M545">
        <f t="shared" si="82"/>
        <v>14.824999999999999</v>
      </c>
      <c r="N545">
        <f t="shared" si="83"/>
        <v>2.0274999999999999</v>
      </c>
      <c r="O545">
        <f t="shared" si="84"/>
        <v>12.324999999999999</v>
      </c>
      <c r="P545">
        <f t="shared" si="85"/>
        <v>4.5454545454545459</v>
      </c>
      <c r="Q545">
        <f t="shared" si="86"/>
        <v>15.287037037037038</v>
      </c>
      <c r="R545">
        <f t="shared" si="87"/>
        <v>23.51</v>
      </c>
      <c r="S545" t="str">
        <f t="shared" si="88"/>
        <v>Good</v>
      </c>
      <c r="T545" t="str">
        <f t="shared" si="89"/>
        <v>PM10</v>
      </c>
      <c r="U545">
        <v>24.6</v>
      </c>
      <c r="V545">
        <v>70.3</v>
      </c>
    </row>
    <row r="546" spans="1:22" x14ac:dyDescent="0.3">
      <c r="A546" s="2" t="s">
        <v>15</v>
      </c>
      <c r="B546">
        <v>560026</v>
      </c>
      <c r="C546" s="3">
        <v>44024</v>
      </c>
      <c r="D546">
        <v>10.86</v>
      </c>
      <c r="E546">
        <v>15.95</v>
      </c>
      <c r="F546">
        <v>5.65</v>
      </c>
      <c r="G546">
        <v>8.16</v>
      </c>
      <c r="H546">
        <v>9.98</v>
      </c>
      <c r="I546">
        <v>0.42</v>
      </c>
      <c r="J546">
        <v>22.46</v>
      </c>
      <c r="K546">
        <f t="shared" si="80"/>
        <v>18.100000000000001</v>
      </c>
      <c r="L546">
        <f t="shared" si="81"/>
        <v>15.95</v>
      </c>
      <c r="M546">
        <f t="shared" si="82"/>
        <v>7.0625</v>
      </c>
      <c r="N546">
        <f t="shared" si="83"/>
        <v>2.04</v>
      </c>
      <c r="O546">
        <f t="shared" si="84"/>
        <v>12.475</v>
      </c>
      <c r="P546">
        <f t="shared" si="85"/>
        <v>4.7727272727272725</v>
      </c>
      <c r="Q546">
        <f t="shared" si="86"/>
        <v>20.796296296296298</v>
      </c>
      <c r="R546">
        <f t="shared" si="87"/>
        <v>20.796296296296298</v>
      </c>
      <c r="S546" t="str">
        <f t="shared" si="88"/>
        <v>Good</v>
      </c>
      <c r="T546" t="str">
        <f t="shared" si="89"/>
        <v>OZONE</v>
      </c>
      <c r="U546">
        <v>24.96</v>
      </c>
      <c r="V546">
        <v>68.16</v>
      </c>
    </row>
    <row r="547" spans="1:22" x14ac:dyDescent="0.3">
      <c r="A547" s="2" t="s">
        <v>15</v>
      </c>
      <c r="B547">
        <v>560026</v>
      </c>
      <c r="C547" s="3">
        <v>44025</v>
      </c>
      <c r="D547">
        <v>25.43</v>
      </c>
      <c r="E547">
        <v>51.38</v>
      </c>
      <c r="F547">
        <v>13.29</v>
      </c>
      <c r="G547">
        <v>8.5</v>
      </c>
      <c r="H547">
        <v>11.95</v>
      </c>
      <c r="I547">
        <v>0.69</v>
      </c>
      <c r="J547">
        <v>20.34</v>
      </c>
      <c r="K547">
        <f t="shared" si="80"/>
        <v>42.383333333333333</v>
      </c>
      <c r="L547">
        <f t="shared" si="81"/>
        <v>51.38</v>
      </c>
      <c r="M547">
        <f t="shared" si="82"/>
        <v>16.612500000000001</v>
      </c>
      <c r="N547">
        <f t="shared" si="83"/>
        <v>2.125</v>
      </c>
      <c r="O547">
        <f t="shared" si="84"/>
        <v>14.9375</v>
      </c>
      <c r="P547">
        <f t="shared" si="85"/>
        <v>7.8409090909090899</v>
      </c>
      <c r="Q547">
        <f t="shared" si="86"/>
        <v>18.833333333333332</v>
      </c>
      <c r="R547">
        <f t="shared" si="87"/>
        <v>51.38</v>
      </c>
      <c r="S547" t="str">
        <f t="shared" si="88"/>
        <v>Satisfactory</v>
      </c>
      <c r="T547" t="str">
        <f t="shared" si="89"/>
        <v>PM10</v>
      </c>
      <c r="U547">
        <v>24.72</v>
      </c>
      <c r="V547">
        <v>70.86</v>
      </c>
    </row>
    <row r="548" spans="1:22" x14ac:dyDescent="0.3">
      <c r="A548" s="2" t="s">
        <v>15</v>
      </c>
      <c r="B548">
        <v>560026</v>
      </c>
      <c r="C548" s="3">
        <v>44026</v>
      </c>
      <c r="D548">
        <v>21.73</v>
      </c>
      <c r="E548">
        <v>46.94</v>
      </c>
      <c r="F548">
        <v>13.08</v>
      </c>
      <c r="G548">
        <v>8.17</v>
      </c>
      <c r="H548">
        <v>10.25</v>
      </c>
      <c r="I548">
        <v>0.94</v>
      </c>
      <c r="J548">
        <v>12.63</v>
      </c>
      <c r="K548">
        <f t="shared" si="80"/>
        <v>36.216666666666669</v>
      </c>
      <c r="L548">
        <f t="shared" si="81"/>
        <v>46.94</v>
      </c>
      <c r="M548">
        <f t="shared" si="82"/>
        <v>16.350000000000001</v>
      </c>
      <c r="N548">
        <f t="shared" si="83"/>
        <v>2.0425</v>
      </c>
      <c r="O548">
        <f t="shared" si="84"/>
        <v>12.8125</v>
      </c>
      <c r="P548">
        <f t="shared" si="85"/>
        <v>10.681818181818182</v>
      </c>
      <c r="Q548">
        <f t="shared" si="86"/>
        <v>11.694444444444445</v>
      </c>
      <c r="R548">
        <f t="shared" si="87"/>
        <v>46.94</v>
      </c>
      <c r="S548" t="str">
        <f t="shared" si="88"/>
        <v>Good</v>
      </c>
      <c r="T548" t="str">
        <f t="shared" si="89"/>
        <v>PM10</v>
      </c>
      <c r="U548">
        <v>23.94</v>
      </c>
      <c r="V548">
        <v>73.599999999999994</v>
      </c>
    </row>
    <row r="549" spans="1:22" x14ac:dyDescent="0.3">
      <c r="A549" s="2" t="s">
        <v>15</v>
      </c>
      <c r="B549">
        <v>560026</v>
      </c>
      <c r="C549" s="3">
        <v>44027</v>
      </c>
      <c r="D549">
        <v>18.72</v>
      </c>
      <c r="E549">
        <v>33.840000000000003</v>
      </c>
      <c r="F549">
        <v>6.55</v>
      </c>
      <c r="G549">
        <v>7.99</v>
      </c>
      <c r="H549">
        <v>13.18</v>
      </c>
      <c r="I549">
        <v>0.45</v>
      </c>
      <c r="J549">
        <v>14.58</v>
      </c>
      <c r="K549">
        <f t="shared" si="80"/>
        <v>31.2</v>
      </c>
      <c r="L549">
        <f t="shared" si="81"/>
        <v>33.840000000000003</v>
      </c>
      <c r="M549">
        <f t="shared" si="82"/>
        <v>8.1875</v>
      </c>
      <c r="N549">
        <f t="shared" si="83"/>
        <v>1.9975000000000001</v>
      </c>
      <c r="O549">
        <f t="shared" si="84"/>
        <v>16.475000000000001</v>
      </c>
      <c r="P549">
        <f t="shared" si="85"/>
        <v>5.1136363636363633</v>
      </c>
      <c r="Q549">
        <f t="shared" si="86"/>
        <v>13.5</v>
      </c>
      <c r="R549">
        <f t="shared" si="87"/>
        <v>33.840000000000003</v>
      </c>
      <c r="S549" t="str">
        <f t="shared" si="88"/>
        <v>Good</v>
      </c>
      <c r="T549" t="str">
        <f t="shared" si="89"/>
        <v>PM10</v>
      </c>
      <c r="U549">
        <v>22.52</v>
      </c>
      <c r="V549">
        <v>81.83</v>
      </c>
    </row>
    <row r="550" spans="1:22" x14ac:dyDescent="0.3">
      <c r="A550" s="2" t="s">
        <v>15</v>
      </c>
      <c r="B550">
        <v>560026</v>
      </c>
      <c r="C550" s="3">
        <v>44028</v>
      </c>
      <c r="D550">
        <v>13.67</v>
      </c>
      <c r="E550">
        <v>32.42</v>
      </c>
      <c r="F550">
        <v>6.66</v>
      </c>
      <c r="G550">
        <v>7.97</v>
      </c>
      <c r="H550">
        <v>11.96</v>
      </c>
      <c r="I550">
        <v>0.51</v>
      </c>
      <c r="J550">
        <v>12.45</v>
      </c>
      <c r="K550">
        <f t="shared" si="80"/>
        <v>22.783333333333335</v>
      </c>
      <c r="L550">
        <f t="shared" si="81"/>
        <v>32.42</v>
      </c>
      <c r="M550">
        <f t="shared" si="82"/>
        <v>8.3249999999999993</v>
      </c>
      <c r="N550">
        <f t="shared" si="83"/>
        <v>1.9924999999999999</v>
      </c>
      <c r="O550">
        <f t="shared" si="84"/>
        <v>14.95</v>
      </c>
      <c r="P550">
        <f t="shared" si="85"/>
        <v>5.795454545454545</v>
      </c>
      <c r="Q550">
        <f t="shared" si="86"/>
        <v>11.527777777777777</v>
      </c>
      <c r="R550">
        <f t="shared" si="87"/>
        <v>32.42</v>
      </c>
      <c r="S550" t="str">
        <f t="shared" si="88"/>
        <v>Good</v>
      </c>
      <c r="T550" t="str">
        <f t="shared" si="89"/>
        <v>PM10</v>
      </c>
      <c r="U550">
        <v>21.94</v>
      </c>
      <c r="V550">
        <v>85.77</v>
      </c>
    </row>
    <row r="551" spans="1:22" x14ac:dyDescent="0.3">
      <c r="A551" s="2" t="s">
        <v>15</v>
      </c>
      <c r="B551">
        <v>560026</v>
      </c>
      <c r="C551" s="3">
        <v>44029</v>
      </c>
      <c r="D551">
        <v>9.06</v>
      </c>
      <c r="E551">
        <v>28.81</v>
      </c>
      <c r="F551">
        <v>5.93</v>
      </c>
      <c r="G551">
        <v>7.82</v>
      </c>
      <c r="H551">
        <v>10.25</v>
      </c>
      <c r="I551">
        <v>0.4</v>
      </c>
      <c r="J551">
        <v>15.56</v>
      </c>
      <c r="K551">
        <f t="shared" si="80"/>
        <v>15.1</v>
      </c>
      <c r="L551">
        <f t="shared" si="81"/>
        <v>28.81</v>
      </c>
      <c r="M551">
        <f t="shared" si="82"/>
        <v>7.4124999999999996</v>
      </c>
      <c r="N551">
        <f t="shared" si="83"/>
        <v>1.9550000000000001</v>
      </c>
      <c r="O551">
        <f t="shared" si="84"/>
        <v>12.8125</v>
      </c>
      <c r="P551">
        <f t="shared" si="85"/>
        <v>4.5454545454545459</v>
      </c>
      <c r="Q551">
        <f t="shared" si="86"/>
        <v>14.407407407407408</v>
      </c>
      <c r="R551">
        <f t="shared" si="87"/>
        <v>28.81</v>
      </c>
      <c r="S551" t="str">
        <f t="shared" si="88"/>
        <v>Good</v>
      </c>
      <c r="T551" t="str">
        <f t="shared" si="89"/>
        <v>PM10</v>
      </c>
      <c r="U551">
        <v>22.33</v>
      </c>
      <c r="V551">
        <v>81.290000000000006</v>
      </c>
    </row>
    <row r="552" spans="1:22" x14ac:dyDescent="0.3">
      <c r="A552" s="2" t="s">
        <v>15</v>
      </c>
      <c r="B552">
        <v>560026</v>
      </c>
      <c r="C552" s="3">
        <v>44030</v>
      </c>
      <c r="D552">
        <v>8.61</v>
      </c>
      <c r="E552">
        <v>32.99</v>
      </c>
      <c r="F552">
        <v>6.22</v>
      </c>
      <c r="G552">
        <v>7.82</v>
      </c>
      <c r="H552">
        <v>9.64</v>
      </c>
      <c r="I552">
        <v>0.46</v>
      </c>
      <c r="J552">
        <v>15.57</v>
      </c>
      <c r="K552">
        <f t="shared" si="80"/>
        <v>14.35</v>
      </c>
      <c r="L552">
        <f t="shared" si="81"/>
        <v>32.99</v>
      </c>
      <c r="M552">
        <f t="shared" si="82"/>
        <v>7.7750000000000004</v>
      </c>
      <c r="N552">
        <f t="shared" si="83"/>
        <v>1.9550000000000001</v>
      </c>
      <c r="O552">
        <f t="shared" si="84"/>
        <v>12.05</v>
      </c>
      <c r="P552">
        <f t="shared" si="85"/>
        <v>5.2272727272727275</v>
      </c>
      <c r="Q552">
        <f t="shared" si="86"/>
        <v>14.416666666666668</v>
      </c>
      <c r="R552">
        <f t="shared" si="87"/>
        <v>32.99</v>
      </c>
      <c r="S552" t="str">
        <f t="shared" si="88"/>
        <v>Good</v>
      </c>
      <c r="T552" t="str">
        <f t="shared" si="89"/>
        <v>PM10</v>
      </c>
      <c r="U552">
        <v>23.43</v>
      </c>
      <c r="V552">
        <v>78.89</v>
      </c>
    </row>
    <row r="553" spans="1:22" x14ac:dyDescent="0.3">
      <c r="A553" s="2" t="s">
        <v>15</v>
      </c>
      <c r="B553">
        <v>560026</v>
      </c>
      <c r="C553" s="3">
        <v>44031</v>
      </c>
      <c r="D553">
        <v>10.51</v>
      </c>
      <c r="E553">
        <v>30.04</v>
      </c>
      <c r="F553">
        <v>7.23</v>
      </c>
      <c r="G553">
        <v>7.76</v>
      </c>
      <c r="H553">
        <v>11.33</v>
      </c>
      <c r="I553">
        <v>0.46</v>
      </c>
      <c r="J553">
        <v>16.53</v>
      </c>
      <c r="K553">
        <f t="shared" si="80"/>
        <v>17.516666666666666</v>
      </c>
      <c r="L553">
        <f t="shared" si="81"/>
        <v>30.04</v>
      </c>
      <c r="M553">
        <f t="shared" si="82"/>
        <v>9.0374999999999996</v>
      </c>
      <c r="N553">
        <f t="shared" si="83"/>
        <v>1.94</v>
      </c>
      <c r="O553">
        <f t="shared" si="84"/>
        <v>14.1625</v>
      </c>
      <c r="P553">
        <f t="shared" si="85"/>
        <v>5.2272727272727275</v>
      </c>
      <c r="Q553">
        <f t="shared" si="86"/>
        <v>15.305555555555557</v>
      </c>
      <c r="R553">
        <f t="shared" si="87"/>
        <v>30.04</v>
      </c>
      <c r="S553" t="str">
        <f t="shared" si="88"/>
        <v>Good</v>
      </c>
      <c r="T553" t="str">
        <f t="shared" si="89"/>
        <v>PM10</v>
      </c>
      <c r="U553">
        <v>24.56</v>
      </c>
      <c r="V553">
        <v>75.849999999999994</v>
      </c>
    </row>
    <row r="554" spans="1:22" x14ac:dyDescent="0.3">
      <c r="A554" s="2" t="s">
        <v>15</v>
      </c>
      <c r="B554">
        <v>560026</v>
      </c>
      <c r="C554" s="3">
        <v>44032</v>
      </c>
      <c r="D554">
        <v>9.2799999999999994</v>
      </c>
      <c r="E554">
        <v>29.03</v>
      </c>
      <c r="F554">
        <v>6.95</v>
      </c>
      <c r="G554">
        <v>7.79</v>
      </c>
      <c r="H554">
        <v>10.83</v>
      </c>
      <c r="I554">
        <v>0.51</v>
      </c>
      <c r="J554">
        <v>18.559999999999999</v>
      </c>
      <c r="K554">
        <f t="shared" si="80"/>
        <v>15.466666666666665</v>
      </c>
      <c r="L554">
        <f t="shared" si="81"/>
        <v>29.03</v>
      </c>
      <c r="M554">
        <f t="shared" si="82"/>
        <v>8.6875</v>
      </c>
      <c r="N554">
        <f t="shared" si="83"/>
        <v>1.9475</v>
      </c>
      <c r="O554">
        <f t="shared" si="84"/>
        <v>13.5375</v>
      </c>
      <c r="P554">
        <f t="shared" si="85"/>
        <v>5.795454545454545</v>
      </c>
      <c r="Q554">
        <f t="shared" si="86"/>
        <v>17.185185185185183</v>
      </c>
      <c r="R554">
        <f t="shared" si="87"/>
        <v>29.03</v>
      </c>
      <c r="S554" t="str">
        <f t="shared" si="88"/>
        <v>Good</v>
      </c>
      <c r="T554" t="str">
        <f t="shared" si="89"/>
        <v>PM10</v>
      </c>
      <c r="U554">
        <v>24.13</v>
      </c>
      <c r="V554">
        <v>78.19</v>
      </c>
    </row>
    <row r="555" spans="1:22" x14ac:dyDescent="0.3">
      <c r="A555" s="2" t="s">
        <v>15</v>
      </c>
      <c r="B555">
        <v>560026</v>
      </c>
      <c r="C555" s="3">
        <v>44033</v>
      </c>
      <c r="D555">
        <v>9.23</v>
      </c>
      <c r="E555">
        <v>23.42</v>
      </c>
      <c r="F555">
        <v>6.93</v>
      </c>
      <c r="G555">
        <v>7.72</v>
      </c>
      <c r="H555">
        <v>8.19</v>
      </c>
      <c r="I555">
        <v>0.46</v>
      </c>
      <c r="J555">
        <v>21.43</v>
      </c>
      <c r="K555">
        <f t="shared" si="80"/>
        <v>15.383333333333333</v>
      </c>
      <c r="L555">
        <f t="shared" si="81"/>
        <v>23.42</v>
      </c>
      <c r="M555">
        <f t="shared" si="82"/>
        <v>8.6624999999999996</v>
      </c>
      <c r="N555">
        <f t="shared" si="83"/>
        <v>1.93</v>
      </c>
      <c r="O555">
        <f t="shared" si="84"/>
        <v>10.237500000000001</v>
      </c>
      <c r="P555">
        <f t="shared" si="85"/>
        <v>5.2272727272727275</v>
      </c>
      <c r="Q555">
        <f t="shared" si="86"/>
        <v>19.842592592592592</v>
      </c>
      <c r="R555">
        <f t="shared" si="87"/>
        <v>23.42</v>
      </c>
      <c r="S555" t="str">
        <f t="shared" si="88"/>
        <v>Good</v>
      </c>
      <c r="T555" t="str">
        <f t="shared" si="89"/>
        <v>PM10</v>
      </c>
      <c r="U555">
        <v>24.92</v>
      </c>
      <c r="V555">
        <v>69.489999999999995</v>
      </c>
    </row>
    <row r="556" spans="1:22" x14ac:dyDescent="0.3">
      <c r="A556" s="2" t="s">
        <v>15</v>
      </c>
      <c r="B556">
        <v>560026</v>
      </c>
      <c r="C556" s="3">
        <v>44034</v>
      </c>
      <c r="D556">
        <v>27.7</v>
      </c>
      <c r="E556">
        <v>47.39</v>
      </c>
      <c r="F556">
        <v>12.02</v>
      </c>
      <c r="G556">
        <v>8.36</v>
      </c>
      <c r="H556">
        <v>11.62</v>
      </c>
      <c r="I556">
        <v>0.53</v>
      </c>
      <c r="J556">
        <v>30.03</v>
      </c>
      <c r="K556">
        <f t="shared" si="80"/>
        <v>46.166666666666664</v>
      </c>
      <c r="L556">
        <f t="shared" si="81"/>
        <v>47.39</v>
      </c>
      <c r="M556">
        <f t="shared" si="82"/>
        <v>15.025</v>
      </c>
      <c r="N556">
        <f t="shared" si="83"/>
        <v>2.09</v>
      </c>
      <c r="O556">
        <f t="shared" si="84"/>
        <v>14.525</v>
      </c>
      <c r="P556">
        <f t="shared" si="85"/>
        <v>6.0227272727272725</v>
      </c>
      <c r="Q556">
        <f t="shared" si="86"/>
        <v>27.805555555555557</v>
      </c>
      <c r="R556">
        <f t="shared" si="87"/>
        <v>47.39</v>
      </c>
      <c r="S556" t="str">
        <f t="shared" si="88"/>
        <v>Good</v>
      </c>
      <c r="T556" t="str">
        <f t="shared" si="89"/>
        <v>PM10</v>
      </c>
      <c r="U556">
        <v>26.56</v>
      </c>
      <c r="V556">
        <v>65.489999999999995</v>
      </c>
    </row>
    <row r="557" spans="1:22" x14ac:dyDescent="0.3">
      <c r="A557" s="2" t="s">
        <v>15</v>
      </c>
      <c r="B557">
        <v>560026</v>
      </c>
      <c r="C557" s="3">
        <v>44035</v>
      </c>
      <c r="D557">
        <v>29.62</v>
      </c>
      <c r="E557">
        <v>46.62</v>
      </c>
      <c r="F557">
        <v>11.65</v>
      </c>
      <c r="G557">
        <v>8.27</v>
      </c>
      <c r="H557">
        <v>11.71</v>
      </c>
      <c r="I557">
        <v>0.48</v>
      </c>
      <c r="J557">
        <v>25.13</v>
      </c>
      <c r="K557">
        <f t="shared" si="80"/>
        <v>49.366666666666667</v>
      </c>
      <c r="L557">
        <f t="shared" si="81"/>
        <v>46.62</v>
      </c>
      <c r="M557">
        <f t="shared" si="82"/>
        <v>14.5625</v>
      </c>
      <c r="N557">
        <f t="shared" si="83"/>
        <v>2.0674999999999999</v>
      </c>
      <c r="O557">
        <f t="shared" si="84"/>
        <v>14.637499999999999</v>
      </c>
      <c r="P557">
        <f t="shared" si="85"/>
        <v>5.4545454545454541</v>
      </c>
      <c r="Q557">
        <f t="shared" si="86"/>
        <v>23.268518518518519</v>
      </c>
      <c r="R557">
        <f t="shared" si="87"/>
        <v>49.366666666666667</v>
      </c>
      <c r="S557" t="str">
        <f t="shared" si="88"/>
        <v>Good</v>
      </c>
      <c r="T557" t="str">
        <f t="shared" si="89"/>
        <v>PM2.5</v>
      </c>
      <c r="U557">
        <v>25.69</v>
      </c>
      <c r="V557">
        <v>70.430000000000007</v>
      </c>
    </row>
    <row r="558" spans="1:22" x14ac:dyDescent="0.3">
      <c r="A558" s="2" t="s">
        <v>15</v>
      </c>
      <c r="B558">
        <v>560026</v>
      </c>
      <c r="C558" s="3">
        <v>44036</v>
      </c>
      <c r="D558">
        <v>32.93</v>
      </c>
      <c r="E558">
        <v>54.45</v>
      </c>
      <c r="F558">
        <v>9.01</v>
      </c>
      <c r="G558">
        <v>8.25</v>
      </c>
      <c r="H558">
        <v>10.220000000000001</v>
      </c>
      <c r="I558">
        <v>0.48</v>
      </c>
      <c r="J558">
        <v>15.89</v>
      </c>
      <c r="K558">
        <f t="shared" si="80"/>
        <v>54.883333333333333</v>
      </c>
      <c r="L558">
        <f t="shared" si="81"/>
        <v>54.45</v>
      </c>
      <c r="M558">
        <f t="shared" si="82"/>
        <v>11.262499999999999</v>
      </c>
      <c r="N558">
        <f t="shared" si="83"/>
        <v>2.0625</v>
      </c>
      <c r="O558">
        <f t="shared" si="84"/>
        <v>12.775000000000002</v>
      </c>
      <c r="P558">
        <f t="shared" si="85"/>
        <v>5.4545454545454541</v>
      </c>
      <c r="Q558">
        <f t="shared" si="86"/>
        <v>14.712962962962964</v>
      </c>
      <c r="R558">
        <f t="shared" si="87"/>
        <v>54.883333333333333</v>
      </c>
      <c r="S558" t="str">
        <f t="shared" si="88"/>
        <v>Satisfactory</v>
      </c>
      <c r="T558" t="str">
        <f t="shared" si="89"/>
        <v>PM2.5</v>
      </c>
      <c r="U558">
        <v>24.15</v>
      </c>
      <c r="V558">
        <v>76.430000000000007</v>
      </c>
    </row>
    <row r="559" spans="1:22" x14ac:dyDescent="0.3">
      <c r="A559" s="2" t="s">
        <v>15</v>
      </c>
      <c r="B559">
        <v>560026</v>
      </c>
      <c r="C559" s="3">
        <v>44037</v>
      </c>
      <c r="D559">
        <v>22.36</v>
      </c>
      <c r="E559">
        <v>42.22</v>
      </c>
      <c r="F559">
        <v>9.9499999999999993</v>
      </c>
      <c r="G559">
        <v>7.9</v>
      </c>
      <c r="H559">
        <v>12.58</v>
      </c>
      <c r="I559">
        <v>0.42</v>
      </c>
      <c r="J559">
        <v>15.56</v>
      </c>
      <c r="K559">
        <f t="shared" si="80"/>
        <v>37.266666666666666</v>
      </c>
      <c r="L559">
        <f t="shared" si="81"/>
        <v>42.22</v>
      </c>
      <c r="M559">
        <f t="shared" si="82"/>
        <v>12.437499999999998</v>
      </c>
      <c r="N559">
        <f t="shared" si="83"/>
        <v>1.9750000000000001</v>
      </c>
      <c r="O559">
        <f t="shared" si="84"/>
        <v>15.725</v>
      </c>
      <c r="P559">
        <f t="shared" si="85"/>
        <v>4.7727272727272725</v>
      </c>
      <c r="Q559">
        <f t="shared" si="86"/>
        <v>14.407407407407408</v>
      </c>
      <c r="R559">
        <f t="shared" si="87"/>
        <v>42.22</v>
      </c>
      <c r="S559" t="str">
        <f t="shared" si="88"/>
        <v>Good</v>
      </c>
      <c r="T559" t="str">
        <f t="shared" si="89"/>
        <v>PM10</v>
      </c>
      <c r="U559">
        <v>23.96</v>
      </c>
      <c r="V559">
        <v>73.92</v>
      </c>
    </row>
    <row r="560" spans="1:22" x14ac:dyDescent="0.3">
      <c r="A560" s="2" t="s">
        <v>15</v>
      </c>
      <c r="B560">
        <v>560026</v>
      </c>
      <c r="C560" s="3">
        <v>44038</v>
      </c>
      <c r="D560">
        <v>16.53</v>
      </c>
      <c r="E560">
        <v>28.98</v>
      </c>
      <c r="F560">
        <v>5.77</v>
      </c>
      <c r="G560">
        <v>8.4600000000000009</v>
      </c>
      <c r="H560">
        <v>7.93</v>
      </c>
      <c r="I560">
        <v>0.37</v>
      </c>
      <c r="J560">
        <v>18.68</v>
      </c>
      <c r="K560">
        <f t="shared" si="80"/>
        <v>27.55</v>
      </c>
      <c r="L560">
        <f t="shared" si="81"/>
        <v>28.98</v>
      </c>
      <c r="M560">
        <f t="shared" si="82"/>
        <v>7.2125000000000004</v>
      </c>
      <c r="N560">
        <f t="shared" si="83"/>
        <v>2.1150000000000002</v>
      </c>
      <c r="O560">
        <f t="shared" si="84"/>
        <v>9.9124999999999996</v>
      </c>
      <c r="P560">
        <f t="shared" si="85"/>
        <v>4.2045454545454541</v>
      </c>
      <c r="Q560">
        <f t="shared" si="86"/>
        <v>17.296296296296298</v>
      </c>
      <c r="R560">
        <f t="shared" si="87"/>
        <v>28.98</v>
      </c>
      <c r="S560" t="str">
        <f t="shared" si="88"/>
        <v>Good</v>
      </c>
      <c r="T560" t="str">
        <f t="shared" si="89"/>
        <v>PM10</v>
      </c>
      <c r="U560">
        <v>23.78</v>
      </c>
      <c r="V560">
        <v>74.3</v>
      </c>
    </row>
    <row r="561" spans="1:22" x14ac:dyDescent="0.3">
      <c r="A561" s="2" t="s">
        <v>15</v>
      </c>
      <c r="B561">
        <v>560026</v>
      </c>
      <c r="C561" s="3">
        <v>44039</v>
      </c>
      <c r="D561">
        <v>24.44</v>
      </c>
      <c r="E561">
        <v>48.06</v>
      </c>
      <c r="F561">
        <v>10.92</v>
      </c>
      <c r="G561">
        <v>8.2899999999999991</v>
      </c>
      <c r="H561">
        <v>10.37</v>
      </c>
      <c r="I561">
        <v>0.67</v>
      </c>
      <c r="J561">
        <v>16.18</v>
      </c>
      <c r="K561">
        <f t="shared" si="80"/>
        <v>40.733333333333334</v>
      </c>
      <c r="L561">
        <f t="shared" si="81"/>
        <v>48.06</v>
      </c>
      <c r="M561">
        <f t="shared" si="82"/>
        <v>13.65</v>
      </c>
      <c r="N561">
        <f t="shared" si="83"/>
        <v>2.0724999999999998</v>
      </c>
      <c r="O561">
        <f t="shared" si="84"/>
        <v>12.9625</v>
      </c>
      <c r="P561">
        <f t="shared" si="85"/>
        <v>7.6136363636363642</v>
      </c>
      <c r="Q561">
        <f t="shared" si="86"/>
        <v>14.981481481481481</v>
      </c>
      <c r="R561">
        <f t="shared" si="87"/>
        <v>48.06</v>
      </c>
      <c r="S561" t="str">
        <f t="shared" si="88"/>
        <v>Good</v>
      </c>
      <c r="T561" t="str">
        <f t="shared" si="89"/>
        <v>PM10</v>
      </c>
      <c r="U561">
        <v>24.2</v>
      </c>
      <c r="V561">
        <v>72.23</v>
      </c>
    </row>
    <row r="562" spans="1:22" x14ac:dyDescent="0.3">
      <c r="A562" s="2" t="s">
        <v>15</v>
      </c>
      <c r="B562">
        <v>560026</v>
      </c>
      <c r="C562" s="3">
        <v>44040</v>
      </c>
      <c r="D562">
        <v>23.02</v>
      </c>
      <c r="E562">
        <v>52.74</v>
      </c>
      <c r="F562">
        <v>12.11</v>
      </c>
      <c r="G562">
        <v>8.08</v>
      </c>
      <c r="H562">
        <v>8.2200000000000006</v>
      </c>
      <c r="I562">
        <v>0.84</v>
      </c>
      <c r="J562">
        <v>13.96</v>
      </c>
      <c r="K562">
        <f t="shared" si="80"/>
        <v>38.366666666666667</v>
      </c>
      <c r="L562">
        <f t="shared" si="81"/>
        <v>52.74</v>
      </c>
      <c r="M562">
        <f t="shared" si="82"/>
        <v>15.137499999999999</v>
      </c>
      <c r="N562">
        <f t="shared" si="83"/>
        <v>2.02</v>
      </c>
      <c r="O562">
        <f t="shared" si="84"/>
        <v>10.275000000000002</v>
      </c>
      <c r="P562">
        <f t="shared" si="85"/>
        <v>9.545454545454545</v>
      </c>
      <c r="Q562">
        <f t="shared" si="86"/>
        <v>12.925925925925927</v>
      </c>
      <c r="R562">
        <f t="shared" si="87"/>
        <v>52.74</v>
      </c>
      <c r="S562" t="str">
        <f t="shared" si="88"/>
        <v>Satisfactory</v>
      </c>
      <c r="T562" t="str">
        <f t="shared" si="89"/>
        <v>PM10</v>
      </c>
      <c r="U562">
        <v>24.7</v>
      </c>
      <c r="V562">
        <v>72.03</v>
      </c>
    </row>
    <row r="563" spans="1:22" x14ac:dyDescent="0.3">
      <c r="A563" s="2" t="s">
        <v>15</v>
      </c>
      <c r="B563">
        <v>560026</v>
      </c>
      <c r="C563" s="3">
        <v>44041</v>
      </c>
      <c r="D563">
        <v>19.61</v>
      </c>
      <c r="E563">
        <v>44.73</v>
      </c>
      <c r="F563">
        <v>11.82</v>
      </c>
      <c r="G563">
        <v>7.84</v>
      </c>
      <c r="H563">
        <v>5.7</v>
      </c>
      <c r="I563">
        <v>0.87</v>
      </c>
      <c r="J563">
        <v>11.41</v>
      </c>
      <c r="K563">
        <f t="shared" si="80"/>
        <v>32.68333333333333</v>
      </c>
      <c r="L563">
        <f t="shared" si="81"/>
        <v>44.73</v>
      </c>
      <c r="M563">
        <f t="shared" si="82"/>
        <v>14.775</v>
      </c>
      <c r="N563">
        <f t="shared" si="83"/>
        <v>1.96</v>
      </c>
      <c r="O563">
        <f t="shared" si="84"/>
        <v>7.125</v>
      </c>
      <c r="P563">
        <f t="shared" si="85"/>
        <v>9.8863636363636367</v>
      </c>
      <c r="Q563">
        <f t="shared" si="86"/>
        <v>10.564814814814815</v>
      </c>
      <c r="R563">
        <f t="shared" si="87"/>
        <v>44.73</v>
      </c>
      <c r="S563" t="str">
        <f t="shared" si="88"/>
        <v>Good</v>
      </c>
      <c r="T563" t="str">
        <f t="shared" si="89"/>
        <v>PM10</v>
      </c>
      <c r="U563">
        <v>23.16</v>
      </c>
      <c r="V563">
        <v>83.1</v>
      </c>
    </row>
    <row r="564" spans="1:22" x14ac:dyDescent="0.3">
      <c r="A564" s="2" t="s">
        <v>15</v>
      </c>
      <c r="B564">
        <v>560026</v>
      </c>
      <c r="C564" s="3">
        <v>44042</v>
      </c>
      <c r="D564">
        <v>15.54</v>
      </c>
      <c r="E564">
        <v>31.52</v>
      </c>
      <c r="F564">
        <v>9.57</v>
      </c>
      <c r="G564">
        <v>7.62</v>
      </c>
      <c r="H564">
        <v>7.95</v>
      </c>
      <c r="I564">
        <v>0.6</v>
      </c>
      <c r="J564">
        <v>12.92</v>
      </c>
      <c r="K564">
        <f t="shared" ref="K564:K625" si="90">IF(ISTEXT(D564),0,IF(D564&lt;=30,D564*50/30,IF(AND(D564&gt;30,D564&lt;=60),50+(D564-30)*50/30,IF(AND(D564&gt;60,D564&lt;=90),100+(D564-60)*100/30,IF(AND(D564&gt;90,D564&lt;=120),200+(D564-90)*(100/30),IF(AND(D564&gt;120,D564&lt;=250),300+(D564-120)*(100/130),IF(D564&gt;250,400+(D564-250)*(100/130))))))))</f>
        <v>25.9</v>
      </c>
      <c r="L564">
        <f t="shared" ref="L564:L625" si="91">IF(ISTEXT(E564),0,IF(E564&lt;=50,E564,IF(AND(E564&gt;50,E564&lt;=100),E564,IF(AND(E564&gt;100,E564&lt;=250),100+(E564-100)*100/150,IF(AND(E564&gt;250,E564&lt;=350),200+(E564-250),IF(AND(E564&gt;350,E564&lt;=430),300+(E564-350)*(100/80),IF(E564&gt;430,400+(E564-430)*(100/80))))))))</f>
        <v>31.52</v>
      </c>
      <c r="M564">
        <f t="shared" ref="M564:M625" si="92">IF(ISTEXT(F564),0,IF(F564&lt;=40,F564*50/40,IF(AND(F564&gt;40,F564&lt;=80),50+(F564-40)*50/40,IF(AND(F564&gt;80,F564&lt;=180),100+(F564-80)*100/100,IF(AND(F564&gt;180,F564&lt;=280),200+(F564-180)*(100/100),IF(AND(F564&gt;280,F564&lt;=400),300+(F564-280)*(100/120),IF(F564&gt;400,400+(F564-400)*(100/120))))))))</f>
        <v>11.9625</v>
      </c>
      <c r="N564">
        <f t="shared" ref="N564:N625" si="93">IF(ISTEXT(G564),0,IF(G564&lt;=200,G564*50/200,IF(AND(G564&gt;200,G564&lt;=400),50+(G564-200)*50/200,IF(AND(G564&gt;400,G564&lt;=800),100+(G564-400)*100/400,IF(AND(G564&gt;800,G564&lt;=1200),200+(G564-800)*(100/400),IF(AND(G564&gt;1200,G564&lt;=1800),300+(G564-1200)*(100/600),IF(G564&gt;1800,400+(G564-1800)*(100/600))))))))</f>
        <v>1.905</v>
      </c>
      <c r="O564">
        <f t="shared" ref="O564:O625" si="94">IF(ISTEXT(H564),0,IF(H564&lt;=40,H564*50/40,IF(AND(H564&gt;40,H564&lt;=80),50+(H564-40)*50/40,IF(AND(H564&gt;80,H564&lt;=380),100+(H564-80)*100/300,IF(AND(H564&gt;380,H564&lt;=800),200+(H564-380)*(100/420),IF(AND(H564&gt;800,H564&lt;=1600),300+(H564-800)*(100/800),IF(H564&gt;1600,400+(H564-1600)*(100/800))))))))</f>
        <v>9.9375</v>
      </c>
      <c r="P564">
        <f t="shared" ref="P564:P625" si="95">IF(I564&lt;=4.4,(50-0)/(4.4-0)*(I564-0)+0,
IF(I564&lt;=9.4,(100-51)/(9.4-4.5)*(I564-4.5)+51,
IF(I564&lt;=12.4,(150-101)/(12.4-9.5)*(I564-9.5)+101,
IF(I564&lt;=15.4,(200-151)/(15.4-12.5)*(I564-12.5)+151,
IF(I564&lt;=30.4,(300-201)/(30.4-15.5)*(I564-15.5)+201,
(500-301)/(50.4-30.5)*(I564-30.5)+301)))))</f>
        <v>6.8181818181818175</v>
      </c>
      <c r="Q564">
        <f t="shared" ref="Q564:Q625" si="96">IF(J564&lt;=54,(50-0)/(54-0)*(J564-0)+0,
IF(J564&lt;=70,(100-51)/(70-55)*(J564-55)+51,
IF(J564&lt;=85,(150-101)/(85-71)*(J564-71)+101,
IF(J564&lt;=105,(200-151)/(105-86)*(J564-86)+151,
IF(J564&lt;=200,(300-201)/(200-106)*(J564-106)+201,
(500-301)/(300-201)*(J564-201)+301)))))</f>
        <v>11.962962962962964</v>
      </c>
      <c r="R564">
        <f t="shared" ref="R564:R625" si="97">MAX(K564:Q564)</f>
        <v>31.52</v>
      </c>
      <c r="S564" t="str">
        <f t="shared" ref="S564:S625" si="98">IF(R564&lt;=50,"Good",
IF(R564&lt;=100,"Satisfactory",
IF(R564&lt;=200,"Moderate",
IF(R564&lt;=300,"Poor",
IF(R564&lt;=400,"Very Poor",
"Severe")))))</f>
        <v>Good</v>
      </c>
      <c r="T564" t="str">
        <f t="shared" ref="T564:T625" si="99">IF(MAX(K564:Q564)=K564,"PM2.5",
IF(MAX(K564:Q564)=L564,"PM10",
IF(MAX(K564:Q564)=M564,"NO2",
IF(MAX(K564:Q564)=N564,"NH3",
IF(MAX(K564:Q564)=O564,"SO2",
IF(MAX(K564:Q564)=P564,"CO",
IF(MAX(K564:Q564)=Q564,"OZONE","")))))))</f>
        <v>PM10</v>
      </c>
      <c r="U564">
        <v>23.59</v>
      </c>
      <c r="V564">
        <v>78.11</v>
      </c>
    </row>
    <row r="565" spans="1:22" x14ac:dyDescent="0.3">
      <c r="A565" s="2" t="s">
        <v>15</v>
      </c>
      <c r="B565">
        <v>560026</v>
      </c>
      <c r="C565" s="3">
        <v>44043</v>
      </c>
      <c r="D565">
        <v>29.3</v>
      </c>
      <c r="E565">
        <v>47.91</v>
      </c>
      <c r="F565">
        <v>9.0299999999999994</v>
      </c>
      <c r="G565">
        <v>8.0299999999999994</v>
      </c>
      <c r="H565">
        <v>5.91</v>
      </c>
      <c r="I565">
        <v>0.81</v>
      </c>
      <c r="J565">
        <v>14.09</v>
      </c>
      <c r="K565">
        <f t="shared" si="90"/>
        <v>48.833333333333336</v>
      </c>
      <c r="L565">
        <f t="shared" si="91"/>
        <v>47.91</v>
      </c>
      <c r="M565">
        <f t="shared" si="92"/>
        <v>11.287499999999998</v>
      </c>
      <c r="N565">
        <f t="shared" si="93"/>
        <v>2.0074999999999998</v>
      </c>
      <c r="O565">
        <f t="shared" si="94"/>
        <v>7.3875000000000002</v>
      </c>
      <c r="P565">
        <f t="shared" si="95"/>
        <v>9.204545454545455</v>
      </c>
      <c r="Q565">
        <f t="shared" si="96"/>
        <v>13.046296296296296</v>
      </c>
      <c r="R565">
        <f t="shared" si="97"/>
        <v>48.833333333333336</v>
      </c>
      <c r="S565" t="str">
        <f t="shared" si="98"/>
        <v>Good</v>
      </c>
      <c r="T565" t="str">
        <f t="shared" si="99"/>
        <v>PM2.5</v>
      </c>
      <c r="U565">
        <v>24.27</v>
      </c>
      <c r="V565">
        <v>76.56</v>
      </c>
    </row>
    <row r="566" spans="1:22" x14ac:dyDescent="0.3">
      <c r="A566" s="2" t="s">
        <v>15</v>
      </c>
      <c r="B566">
        <v>560026</v>
      </c>
      <c r="C566" s="3">
        <v>44044</v>
      </c>
      <c r="D566">
        <v>18.920000000000002</v>
      </c>
      <c r="E566">
        <v>33.72</v>
      </c>
      <c r="F566">
        <v>8.89</v>
      </c>
      <c r="G566">
        <v>7.85</v>
      </c>
      <c r="H566">
        <v>6.73</v>
      </c>
      <c r="I566">
        <v>0.64</v>
      </c>
      <c r="J566">
        <v>13.06</v>
      </c>
      <c r="K566">
        <f t="shared" si="90"/>
        <v>31.533333333333339</v>
      </c>
      <c r="L566">
        <f t="shared" si="91"/>
        <v>33.72</v>
      </c>
      <c r="M566">
        <f t="shared" si="92"/>
        <v>11.112500000000001</v>
      </c>
      <c r="N566">
        <f t="shared" si="93"/>
        <v>1.9624999999999999</v>
      </c>
      <c r="O566">
        <f t="shared" si="94"/>
        <v>8.4124999999999996</v>
      </c>
      <c r="P566">
        <f t="shared" si="95"/>
        <v>7.2727272727272725</v>
      </c>
      <c r="Q566">
        <f t="shared" si="96"/>
        <v>12.092592592592593</v>
      </c>
      <c r="R566">
        <f t="shared" si="97"/>
        <v>33.72</v>
      </c>
      <c r="S566" t="str">
        <f t="shared" si="98"/>
        <v>Good</v>
      </c>
      <c r="T566" t="str">
        <f t="shared" si="99"/>
        <v>PM10</v>
      </c>
      <c r="U566">
        <v>23.15</v>
      </c>
      <c r="V566">
        <v>80.790000000000006</v>
      </c>
    </row>
    <row r="567" spans="1:22" x14ac:dyDescent="0.3">
      <c r="A567" s="2" t="s">
        <v>15</v>
      </c>
      <c r="B567">
        <v>560026</v>
      </c>
      <c r="C567" s="3">
        <v>44045</v>
      </c>
      <c r="D567">
        <v>17.02</v>
      </c>
      <c r="E567">
        <v>29.36</v>
      </c>
      <c r="F567">
        <v>5.99</v>
      </c>
      <c r="G567">
        <v>7.99</v>
      </c>
      <c r="H567">
        <v>5.74</v>
      </c>
      <c r="I567">
        <v>0.46</v>
      </c>
      <c r="J567">
        <v>16.600000000000001</v>
      </c>
      <c r="K567">
        <f t="shared" si="90"/>
        <v>28.366666666666667</v>
      </c>
      <c r="L567">
        <f t="shared" si="91"/>
        <v>29.36</v>
      </c>
      <c r="M567">
        <f t="shared" si="92"/>
        <v>7.4874999999999998</v>
      </c>
      <c r="N567">
        <f t="shared" si="93"/>
        <v>1.9975000000000001</v>
      </c>
      <c r="O567">
        <f t="shared" si="94"/>
        <v>7.1749999999999998</v>
      </c>
      <c r="P567">
        <f t="shared" si="95"/>
        <v>5.2272727272727275</v>
      </c>
      <c r="Q567">
        <f t="shared" si="96"/>
        <v>15.370370370370372</v>
      </c>
      <c r="R567">
        <f t="shared" si="97"/>
        <v>29.36</v>
      </c>
      <c r="S567" t="str">
        <f t="shared" si="98"/>
        <v>Good</v>
      </c>
      <c r="T567" t="str">
        <f t="shared" si="99"/>
        <v>PM10</v>
      </c>
      <c r="U567">
        <v>23.34</v>
      </c>
      <c r="V567">
        <v>77.5</v>
      </c>
    </row>
    <row r="568" spans="1:22" x14ac:dyDescent="0.3">
      <c r="A568" s="2" t="s">
        <v>15</v>
      </c>
      <c r="B568">
        <v>560026</v>
      </c>
      <c r="C568" s="3">
        <v>44046</v>
      </c>
      <c r="D568">
        <v>25.7</v>
      </c>
      <c r="E568">
        <v>43.68</v>
      </c>
      <c r="F568">
        <v>8.68</v>
      </c>
      <c r="G568">
        <v>7.9</v>
      </c>
      <c r="H568">
        <v>5.49</v>
      </c>
      <c r="I568">
        <v>0.71</v>
      </c>
      <c r="J568">
        <v>13.89</v>
      </c>
      <c r="K568">
        <f t="shared" si="90"/>
        <v>42.833333333333336</v>
      </c>
      <c r="L568">
        <f t="shared" si="91"/>
        <v>43.68</v>
      </c>
      <c r="M568">
        <f t="shared" si="92"/>
        <v>10.85</v>
      </c>
      <c r="N568">
        <f t="shared" si="93"/>
        <v>1.9750000000000001</v>
      </c>
      <c r="O568">
        <f t="shared" si="94"/>
        <v>6.8624999999999998</v>
      </c>
      <c r="P568">
        <f t="shared" si="95"/>
        <v>8.0681818181818183</v>
      </c>
      <c r="Q568">
        <f t="shared" si="96"/>
        <v>12.861111111111112</v>
      </c>
      <c r="R568">
        <f t="shared" si="97"/>
        <v>43.68</v>
      </c>
      <c r="S568" t="str">
        <f t="shared" si="98"/>
        <v>Good</v>
      </c>
      <c r="T568" t="str">
        <f t="shared" si="99"/>
        <v>PM10</v>
      </c>
      <c r="U568">
        <v>22.81</v>
      </c>
      <c r="V568">
        <v>79</v>
      </c>
    </row>
    <row r="569" spans="1:22" x14ac:dyDescent="0.3">
      <c r="A569" s="2" t="s">
        <v>15</v>
      </c>
      <c r="B569">
        <v>560026</v>
      </c>
      <c r="C569" s="3">
        <v>44047</v>
      </c>
      <c r="D569">
        <v>18.86</v>
      </c>
      <c r="E569">
        <v>32.76</v>
      </c>
      <c r="F569">
        <v>7.7</v>
      </c>
      <c r="G569">
        <v>7.72</v>
      </c>
      <c r="H569">
        <v>6.87</v>
      </c>
      <c r="I569">
        <v>0.53</v>
      </c>
      <c r="J569">
        <v>14.37</v>
      </c>
      <c r="K569">
        <f t="shared" si="90"/>
        <v>31.433333333333334</v>
      </c>
      <c r="L569">
        <f t="shared" si="91"/>
        <v>32.76</v>
      </c>
      <c r="M569">
        <f t="shared" si="92"/>
        <v>9.625</v>
      </c>
      <c r="N569">
        <f t="shared" si="93"/>
        <v>1.93</v>
      </c>
      <c r="O569">
        <f t="shared" si="94"/>
        <v>8.5875000000000004</v>
      </c>
      <c r="P569">
        <f t="shared" si="95"/>
        <v>6.0227272727272725</v>
      </c>
      <c r="Q569">
        <f t="shared" si="96"/>
        <v>13.305555555555555</v>
      </c>
      <c r="R569">
        <f t="shared" si="97"/>
        <v>32.76</v>
      </c>
      <c r="S569" t="str">
        <f t="shared" si="98"/>
        <v>Good</v>
      </c>
      <c r="T569" t="str">
        <f t="shared" si="99"/>
        <v>PM10</v>
      </c>
      <c r="U569">
        <v>22.31</v>
      </c>
      <c r="V569">
        <v>79.290000000000006</v>
      </c>
    </row>
    <row r="570" spans="1:22" x14ac:dyDescent="0.3">
      <c r="A570" s="2" t="s">
        <v>15</v>
      </c>
      <c r="B570">
        <v>560026</v>
      </c>
      <c r="C570" s="3">
        <v>44048</v>
      </c>
      <c r="D570">
        <v>27.72</v>
      </c>
      <c r="E570">
        <v>47.03</v>
      </c>
      <c r="F570">
        <v>9.8800000000000008</v>
      </c>
      <c r="G570">
        <v>7.95</v>
      </c>
      <c r="H570">
        <v>7.25</v>
      </c>
      <c r="I570">
        <v>0.7</v>
      </c>
      <c r="J570">
        <v>14.52</v>
      </c>
      <c r="K570">
        <f t="shared" si="90"/>
        <v>46.2</v>
      </c>
      <c r="L570">
        <f t="shared" si="91"/>
        <v>47.03</v>
      </c>
      <c r="M570">
        <f t="shared" si="92"/>
        <v>12.350000000000001</v>
      </c>
      <c r="N570">
        <f t="shared" si="93"/>
        <v>1.9875</v>
      </c>
      <c r="O570">
        <f t="shared" si="94"/>
        <v>9.0625</v>
      </c>
      <c r="P570">
        <f t="shared" si="95"/>
        <v>7.9545454545454541</v>
      </c>
      <c r="Q570">
        <f t="shared" si="96"/>
        <v>13.444444444444445</v>
      </c>
      <c r="R570">
        <f t="shared" si="97"/>
        <v>47.03</v>
      </c>
      <c r="S570" t="str">
        <f t="shared" si="98"/>
        <v>Good</v>
      </c>
      <c r="T570" t="str">
        <f t="shared" si="99"/>
        <v>PM10</v>
      </c>
      <c r="U570">
        <v>22.1</v>
      </c>
      <c r="V570">
        <v>80.319999999999993</v>
      </c>
    </row>
    <row r="571" spans="1:22" x14ac:dyDescent="0.3">
      <c r="A571" s="2" t="s">
        <v>15</v>
      </c>
      <c r="B571">
        <v>560026</v>
      </c>
      <c r="C571" s="3">
        <v>44049</v>
      </c>
      <c r="D571">
        <v>21.7</v>
      </c>
      <c r="E571">
        <v>43.52</v>
      </c>
      <c r="F571">
        <v>9.2899999999999991</v>
      </c>
      <c r="G571">
        <v>7.64</v>
      </c>
      <c r="H571">
        <v>6.95</v>
      </c>
      <c r="I571">
        <v>0.59</v>
      </c>
      <c r="J571">
        <v>12.58</v>
      </c>
      <c r="K571">
        <f t="shared" si="90"/>
        <v>36.166666666666664</v>
      </c>
      <c r="L571">
        <f t="shared" si="91"/>
        <v>43.52</v>
      </c>
      <c r="M571">
        <f t="shared" si="92"/>
        <v>11.612499999999999</v>
      </c>
      <c r="N571">
        <f t="shared" si="93"/>
        <v>1.91</v>
      </c>
      <c r="O571">
        <f t="shared" si="94"/>
        <v>8.6875</v>
      </c>
      <c r="P571">
        <f t="shared" si="95"/>
        <v>6.7045454545454541</v>
      </c>
      <c r="Q571">
        <f t="shared" si="96"/>
        <v>11.648148148148149</v>
      </c>
      <c r="R571">
        <f t="shared" si="97"/>
        <v>43.52</v>
      </c>
      <c r="S571" t="str">
        <f t="shared" si="98"/>
        <v>Good</v>
      </c>
      <c r="T571" t="str">
        <f t="shared" si="99"/>
        <v>PM10</v>
      </c>
      <c r="U571">
        <v>23.57</v>
      </c>
      <c r="V571">
        <v>77.41</v>
      </c>
    </row>
    <row r="572" spans="1:22" x14ac:dyDescent="0.3">
      <c r="A572" s="2" t="s">
        <v>15</v>
      </c>
      <c r="B572">
        <v>560026</v>
      </c>
      <c r="C572" s="3">
        <v>44050</v>
      </c>
      <c r="D572">
        <v>16.53</v>
      </c>
      <c r="E572">
        <v>36.450000000000003</v>
      </c>
      <c r="F572">
        <v>9.5299999999999994</v>
      </c>
      <c r="G572">
        <v>7.6</v>
      </c>
      <c r="H572">
        <v>8.3000000000000007</v>
      </c>
      <c r="I572">
        <v>0.53</v>
      </c>
      <c r="J572">
        <v>12.78</v>
      </c>
      <c r="K572">
        <f t="shared" si="90"/>
        <v>27.55</v>
      </c>
      <c r="L572">
        <f t="shared" si="91"/>
        <v>36.450000000000003</v>
      </c>
      <c r="M572">
        <f t="shared" si="92"/>
        <v>11.912499999999998</v>
      </c>
      <c r="N572">
        <f t="shared" si="93"/>
        <v>1.9</v>
      </c>
      <c r="O572">
        <f t="shared" si="94"/>
        <v>10.375000000000002</v>
      </c>
      <c r="P572">
        <f t="shared" si="95"/>
        <v>6.0227272727272725</v>
      </c>
      <c r="Q572">
        <f t="shared" si="96"/>
        <v>11.833333333333332</v>
      </c>
      <c r="R572">
        <f t="shared" si="97"/>
        <v>36.450000000000003</v>
      </c>
      <c r="S572" t="str">
        <f t="shared" si="98"/>
        <v>Good</v>
      </c>
      <c r="T572" t="str">
        <f t="shared" si="99"/>
        <v>PM10</v>
      </c>
      <c r="U572">
        <v>23.74</v>
      </c>
      <c r="V572">
        <v>77.23</v>
      </c>
    </row>
    <row r="573" spans="1:22" x14ac:dyDescent="0.3">
      <c r="A573" s="2" t="s">
        <v>15</v>
      </c>
      <c r="B573">
        <v>560026</v>
      </c>
      <c r="C573" s="3">
        <v>44051</v>
      </c>
      <c r="D573">
        <v>18.14</v>
      </c>
      <c r="E573">
        <v>34.76</v>
      </c>
      <c r="F573">
        <v>9.84</v>
      </c>
      <c r="G573">
        <v>7.62</v>
      </c>
      <c r="H573">
        <v>6.85</v>
      </c>
      <c r="I573">
        <v>0.56000000000000005</v>
      </c>
      <c r="J573">
        <v>12.98</v>
      </c>
      <c r="K573">
        <f t="shared" si="90"/>
        <v>30.233333333333334</v>
      </c>
      <c r="L573">
        <f t="shared" si="91"/>
        <v>34.76</v>
      </c>
      <c r="M573">
        <f t="shared" si="92"/>
        <v>12.3</v>
      </c>
      <c r="N573">
        <f t="shared" si="93"/>
        <v>1.905</v>
      </c>
      <c r="O573">
        <f t="shared" si="94"/>
        <v>8.5625</v>
      </c>
      <c r="P573">
        <f t="shared" si="95"/>
        <v>6.3636363636363642</v>
      </c>
      <c r="Q573">
        <f t="shared" si="96"/>
        <v>12.018518518518519</v>
      </c>
      <c r="R573">
        <f t="shared" si="97"/>
        <v>34.76</v>
      </c>
      <c r="S573" t="str">
        <f t="shared" si="98"/>
        <v>Good</v>
      </c>
      <c r="T573" t="str">
        <f t="shared" si="99"/>
        <v>PM10</v>
      </c>
      <c r="U573">
        <v>23.14</v>
      </c>
      <c r="V573">
        <v>79.510000000000005</v>
      </c>
    </row>
    <row r="574" spans="1:22" x14ac:dyDescent="0.3">
      <c r="A574" s="2" t="s">
        <v>15</v>
      </c>
      <c r="B574">
        <v>560026</v>
      </c>
      <c r="C574" s="3">
        <v>44052</v>
      </c>
      <c r="D574">
        <v>16.350000000000001</v>
      </c>
      <c r="E574">
        <v>28.53</v>
      </c>
      <c r="F574">
        <v>7.24</v>
      </c>
      <c r="G574">
        <v>7.62</v>
      </c>
      <c r="H574">
        <v>7.54</v>
      </c>
      <c r="I574">
        <v>0.36</v>
      </c>
      <c r="J574">
        <v>15.49</v>
      </c>
      <c r="K574">
        <f t="shared" si="90"/>
        <v>27.250000000000004</v>
      </c>
      <c r="L574">
        <f t="shared" si="91"/>
        <v>28.53</v>
      </c>
      <c r="M574">
        <f t="shared" si="92"/>
        <v>9.0500000000000007</v>
      </c>
      <c r="N574">
        <f t="shared" si="93"/>
        <v>1.905</v>
      </c>
      <c r="O574">
        <f t="shared" si="94"/>
        <v>9.4250000000000007</v>
      </c>
      <c r="P574">
        <f t="shared" si="95"/>
        <v>4.0909090909090908</v>
      </c>
      <c r="Q574">
        <f t="shared" si="96"/>
        <v>14.342592592592593</v>
      </c>
      <c r="R574">
        <f t="shared" si="97"/>
        <v>28.53</v>
      </c>
      <c r="S574" t="str">
        <f t="shared" si="98"/>
        <v>Good</v>
      </c>
      <c r="T574" t="str">
        <f t="shared" si="99"/>
        <v>PM10</v>
      </c>
      <c r="U574">
        <v>21.88</v>
      </c>
      <c r="V574">
        <v>83.83</v>
      </c>
    </row>
    <row r="575" spans="1:22" x14ac:dyDescent="0.3">
      <c r="A575" s="2" t="s">
        <v>15</v>
      </c>
      <c r="B575">
        <v>560026</v>
      </c>
      <c r="C575" s="3">
        <v>44053</v>
      </c>
      <c r="D575">
        <v>19.5</v>
      </c>
      <c r="E575">
        <v>35</v>
      </c>
      <c r="F575">
        <v>13.14</v>
      </c>
      <c r="G575">
        <v>7.79</v>
      </c>
      <c r="H575">
        <v>10.220000000000001</v>
      </c>
      <c r="I575">
        <v>0.54</v>
      </c>
      <c r="J575">
        <v>16.64</v>
      </c>
      <c r="K575">
        <f t="shared" si="90"/>
        <v>32.5</v>
      </c>
      <c r="L575">
        <f t="shared" si="91"/>
        <v>35</v>
      </c>
      <c r="M575">
        <f t="shared" si="92"/>
        <v>16.425000000000001</v>
      </c>
      <c r="N575">
        <f t="shared" si="93"/>
        <v>1.9475</v>
      </c>
      <c r="O575">
        <f t="shared" si="94"/>
        <v>12.775000000000002</v>
      </c>
      <c r="P575">
        <f t="shared" si="95"/>
        <v>6.1363636363636367</v>
      </c>
      <c r="Q575">
        <f t="shared" si="96"/>
        <v>15.407407407407408</v>
      </c>
      <c r="R575">
        <f t="shared" si="97"/>
        <v>35</v>
      </c>
      <c r="S575" t="str">
        <f t="shared" si="98"/>
        <v>Good</v>
      </c>
      <c r="T575" t="str">
        <f t="shared" si="99"/>
        <v>PM10</v>
      </c>
      <c r="U575">
        <v>21.95</v>
      </c>
      <c r="V575">
        <v>80.73</v>
      </c>
    </row>
    <row r="576" spans="1:22" x14ac:dyDescent="0.3">
      <c r="A576" s="2" t="s">
        <v>15</v>
      </c>
      <c r="B576">
        <v>560026</v>
      </c>
      <c r="C576" s="3">
        <v>44054</v>
      </c>
      <c r="D576">
        <v>58.28</v>
      </c>
      <c r="E576">
        <v>87.38</v>
      </c>
      <c r="F576">
        <v>15.17</v>
      </c>
      <c r="G576">
        <v>8.69</v>
      </c>
      <c r="H576">
        <v>9.85</v>
      </c>
      <c r="I576">
        <v>0.79</v>
      </c>
      <c r="J576">
        <v>14.83</v>
      </c>
      <c r="K576">
        <f t="shared" si="90"/>
        <v>97.133333333333326</v>
      </c>
      <c r="L576">
        <f t="shared" si="91"/>
        <v>87.38</v>
      </c>
      <c r="M576">
        <f t="shared" si="92"/>
        <v>18.962499999999999</v>
      </c>
      <c r="N576">
        <f t="shared" si="93"/>
        <v>2.1724999999999999</v>
      </c>
      <c r="O576">
        <f t="shared" si="94"/>
        <v>12.3125</v>
      </c>
      <c r="P576">
        <f t="shared" si="95"/>
        <v>8.9772727272727266</v>
      </c>
      <c r="Q576">
        <f t="shared" si="96"/>
        <v>13.731481481481481</v>
      </c>
      <c r="R576">
        <f t="shared" si="97"/>
        <v>97.133333333333326</v>
      </c>
      <c r="S576" t="str">
        <f t="shared" si="98"/>
        <v>Satisfactory</v>
      </c>
      <c r="T576" t="str">
        <f t="shared" si="99"/>
        <v>PM2.5</v>
      </c>
      <c r="U576">
        <v>23.02</v>
      </c>
      <c r="V576">
        <v>78.930000000000007</v>
      </c>
    </row>
    <row r="577" spans="1:22" x14ac:dyDescent="0.3">
      <c r="A577" s="2" t="s">
        <v>15</v>
      </c>
      <c r="B577">
        <v>560026</v>
      </c>
      <c r="C577" s="3">
        <v>44055</v>
      </c>
      <c r="D577">
        <v>24.9</v>
      </c>
      <c r="E577">
        <v>54.42</v>
      </c>
      <c r="F577">
        <v>11.49</v>
      </c>
      <c r="G577">
        <v>7.8</v>
      </c>
      <c r="H577">
        <v>7.68</v>
      </c>
      <c r="I577">
        <v>0.57999999999999996</v>
      </c>
      <c r="J577">
        <v>16.59</v>
      </c>
      <c r="K577">
        <f t="shared" si="90"/>
        <v>41.5</v>
      </c>
      <c r="L577">
        <f t="shared" si="91"/>
        <v>54.42</v>
      </c>
      <c r="M577">
        <f t="shared" si="92"/>
        <v>14.362500000000001</v>
      </c>
      <c r="N577">
        <f t="shared" si="93"/>
        <v>1.95</v>
      </c>
      <c r="O577">
        <f t="shared" si="94"/>
        <v>9.6</v>
      </c>
      <c r="P577">
        <f t="shared" si="95"/>
        <v>6.5909090909090899</v>
      </c>
      <c r="Q577">
        <f t="shared" si="96"/>
        <v>15.361111111111111</v>
      </c>
      <c r="R577">
        <f t="shared" si="97"/>
        <v>54.42</v>
      </c>
      <c r="S577" t="str">
        <f t="shared" si="98"/>
        <v>Satisfactory</v>
      </c>
      <c r="T577" t="str">
        <f t="shared" si="99"/>
        <v>PM10</v>
      </c>
      <c r="U577">
        <v>23.36</v>
      </c>
      <c r="V577">
        <v>75.459999999999994</v>
      </c>
    </row>
    <row r="578" spans="1:22" x14ac:dyDescent="0.3">
      <c r="A578" s="2" t="s">
        <v>15</v>
      </c>
      <c r="B578">
        <v>560026</v>
      </c>
      <c r="C578" s="3">
        <v>44056</v>
      </c>
      <c r="D578">
        <v>23.25</v>
      </c>
      <c r="E578">
        <v>59.99</v>
      </c>
      <c r="F578">
        <v>12.46</v>
      </c>
      <c r="G578">
        <v>7.75</v>
      </c>
      <c r="H578">
        <v>8.35</v>
      </c>
      <c r="I578">
        <v>0.5</v>
      </c>
      <c r="J578">
        <v>16.46</v>
      </c>
      <c r="K578">
        <f t="shared" si="90"/>
        <v>38.75</v>
      </c>
      <c r="L578">
        <f t="shared" si="91"/>
        <v>59.99</v>
      </c>
      <c r="M578">
        <f t="shared" si="92"/>
        <v>15.574999999999999</v>
      </c>
      <c r="N578">
        <f t="shared" si="93"/>
        <v>1.9375</v>
      </c>
      <c r="O578">
        <f t="shared" si="94"/>
        <v>10.4375</v>
      </c>
      <c r="P578">
        <f t="shared" si="95"/>
        <v>5.6818181818181817</v>
      </c>
      <c r="Q578">
        <f t="shared" si="96"/>
        <v>15.240740740740742</v>
      </c>
      <c r="R578">
        <f t="shared" si="97"/>
        <v>59.99</v>
      </c>
      <c r="S578" t="str">
        <f t="shared" si="98"/>
        <v>Satisfactory</v>
      </c>
      <c r="T578" t="str">
        <f t="shared" si="99"/>
        <v>PM10</v>
      </c>
      <c r="U578">
        <v>23.8</v>
      </c>
      <c r="V578">
        <v>72.739999999999995</v>
      </c>
    </row>
    <row r="579" spans="1:22" x14ac:dyDescent="0.3">
      <c r="A579" s="2" t="s">
        <v>15</v>
      </c>
      <c r="B579">
        <v>560026</v>
      </c>
      <c r="C579" s="3">
        <v>44057</v>
      </c>
      <c r="D579">
        <v>35.979999999999997</v>
      </c>
      <c r="E579">
        <v>69.819999999999993</v>
      </c>
      <c r="F579">
        <v>14.64</v>
      </c>
      <c r="G579">
        <v>8.67</v>
      </c>
      <c r="H579">
        <v>13.21</v>
      </c>
      <c r="I579">
        <v>0.77</v>
      </c>
      <c r="J579">
        <v>14.97</v>
      </c>
      <c r="K579">
        <f t="shared" si="90"/>
        <v>59.966666666666661</v>
      </c>
      <c r="L579">
        <f t="shared" si="91"/>
        <v>69.819999999999993</v>
      </c>
      <c r="M579">
        <f t="shared" si="92"/>
        <v>18.3</v>
      </c>
      <c r="N579">
        <f t="shared" si="93"/>
        <v>2.1675</v>
      </c>
      <c r="O579">
        <f t="shared" si="94"/>
        <v>16.512499999999999</v>
      </c>
      <c r="P579">
        <f t="shared" si="95"/>
        <v>8.75</v>
      </c>
      <c r="Q579">
        <f t="shared" si="96"/>
        <v>13.861111111111112</v>
      </c>
      <c r="R579">
        <f t="shared" si="97"/>
        <v>69.819999999999993</v>
      </c>
      <c r="S579" t="str">
        <f t="shared" si="98"/>
        <v>Satisfactory</v>
      </c>
      <c r="T579" t="str">
        <f t="shared" si="99"/>
        <v>PM10</v>
      </c>
      <c r="U579">
        <v>22.79</v>
      </c>
      <c r="V579">
        <v>75.819999999999993</v>
      </c>
    </row>
    <row r="580" spans="1:22" x14ac:dyDescent="0.3">
      <c r="A580" s="2" t="s">
        <v>15</v>
      </c>
      <c r="B580">
        <v>560026</v>
      </c>
      <c r="C580" s="3">
        <v>44058</v>
      </c>
      <c r="D580">
        <v>25.95</v>
      </c>
      <c r="E580">
        <v>55.28</v>
      </c>
      <c r="F580">
        <v>9.26</v>
      </c>
      <c r="G580">
        <v>8.07</v>
      </c>
      <c r="H580">
        <v>9.15</v>
      </c>
      <c r="I580">
        <v>0.52</v>
      </c>
      <c r="J580">
        <v>15.6</v>
      </c>
      <c r="K580">
        <f t="shared" si="90"/>
        <v>43.25</v>
      </c>
      <c r="L580">
        <f t="shared" si="91"/>
        <v>55.28</v>
      </c>
      <c r="M580">
        <f t="shared" si="92"/>
        <v>11.574999999999999</v>
      </c>
      <c r="N580">
        <f t="shared" si="93"/>
        <v>2.0175000000000001</v>
      </c>
      <c r="O580">
        <f t="shared" si="94"/>
        <v>11.4375</v>
      </c>
      <c r="P580">
        <f t="shared" si="95"/>
        <v>5.9090909090909092</v>
      </c>
      <c r="Q580">
        <f t="shared" si="96"/>
        <v>14.444444444444445</v>
      </c>
      <c r="R580">
        <f t="shared" si="97"/>
        <v>55.28</v>
      </c>
      <c r="S580" t="str">
        <f t="shared" si="98"/>
        <v>Satisfactory</v>
      </c>
      <c r="T580" t="str">
        <f t="shared" si="99"/>
        <v>PM10</v>
      </c>
      <c r="U580">
        <v>22.49</v>
      </c>
      <c r="V580">
        <v>75.44</v>
      </c>
    </row>
    <row r="581" spans="1:22" x14ac:dyDescent="0.3">
      <c r="A581" s="2" t="s">
        <v>15</v>
      </c>
      <c r="B581">
        <v>560026</v>
      </c>
      <c r="C581" s="3">
        <v>44059</v>
      </c>
      <c r="D581">
        <v>25.43</v>
      </c>
      <c r="E581">
        <v>51.64</v>
      </c>
      <c r="F581">
        <v>10.06</v>
      </c>
      <c r="G581">
        <v>8.0500000000000007</v>
      </c>
      <c r="H581">
        <v>7.59</v>
      </c>
      <c r="I581">
        <v>0.41</v>
      </c>
      <c r="J581">
        <v>13.81</v>
      </c>
      <c r="K581">
        <f t="shared" si="90"/>
        <v>42.383333333333333</v>
      </c>
      <c r="L581">
        <f t="shared" si="91"/>
        <v>51.64</v>
      </c>
      <c r="M581">
        <f t="shared" si="92"/>
        <v>12.574999999999999</v>
      </c>
      <c r="N581">
        <f t="shared" si="93"/>
        <v>2.0125000000000002</v>
      </c>
      <c r="O581">
        <f t="shared" si="94"/>
        <v>9.4875000000000007</v>
      </c>
      <c r="P581">
        <f t="shared" si="95"/>
        <v>4.6590909090909083</v>
      </c>
      <c r="Q581">
        <f t="shared" si="96"/>
        <v>12.787037037037038</v>
      </c>
      <c r="R581">
        <f t="shared" si="97"/>
        <v>51.64</v>
      </c>
      <c r="S581" t="str">
        <f t="shared" si="98"/>
        <v>Satisfactory</v>
      </c>
      <c r="T581" t="str">
        <f t="shared" si="99"/>
        <v>PM10</v>
      </c>
      <c r="U581">
        <v>21.64</v>
      </c>
      <c r="V581">
        <v>80.62</v>
      </c>
    </row>
    <row r="582" spans="1:22" x14ac:dyDescent="0.3">
      <c r="A582" s="2" t="s">
        <v>15</v>
      </c>
      <c r="B582">
        <v>560026</v>
      </c>
      <c r="C582" s="3">
        <v>44060</v>
      </c>
      <c r="D582">
        <v>22.07</v>
      </c>
      <c r="E582">
        <v>39.22</v>
      </c>
      <c r="F582">
        <v>11.78</v>
      </c>
      <c r="G582">
        <v>7.93</v>
      </c>
      <c r="H582">
        <v>10.28</v>
      </c>
      <c r="I582">
        <v>0.63</v>
      </c>
      <c r="J582">
        <v>11.46</v>
      </c>
      <c r="K582">
        <f t="shared" si="90"/>
        <v>36.783333333333331</v>
      </c>
      <c r="L582">
        <f t="shared" si="91"/>
        <v>39.22</v>
      </c>
      <c r="M582">
        <f t="shared" si="92"/>
        <v>14.725</v>
      </c>
      <c r="N582">
        <f t="shared" si="93"/>
        <v>1.9824999999999999</v>
      </c>
      <c r="O582">
        <f t="shared" si="94"/>
        <v>12.85</v>
      </c>
      <c r="P582">
        <f t="shared" si="95"/>
        <v>7.1590909090909092</v>
      </c>
      <c r="Q582">
        <f t="shared" si="96"/>
        <v>10.611111111111112</v>
      </c>
      <c r="R582">
        <f t="shared" si="97"/>
        <v>39.22</v>
      </c>
      <c r="S582" t="str">
        <f t="shared" si="98"/>
        <v>Good</v>
      </c>
      <c r="T582" t="str">
        <f t="shared" si="99"/>
        <v>PM10</v>
      </c>
      <c r="U582">
        <v>21.97</v>
      </c>
      <c r="V582">
        <v>84.22</v>
      </c>
    </row>
    <row r="583" spans="1:22" x14ac:dyDescent="0.3">
      <c r="A583" s="2" t="s">
        <v>15</v>
      </c>
      <c r="B583">
        <v>560026</v>
      </c>
      <c r="C583" s="3">
        <v>44061</v>
      </c>
      <c r="D583">
        <v>21.88</v>
      </c>
      <c r="E583">
        <v>44.05</v>
      </c>
      <c r="F583">
        <v>11.92</v>
      </c>
      <c r="G583">
        <v>7.83</v>
      </c>
      <c r="H583">
        <v>9.4</v>
      </c>
      <c r="I583">
        <v>0.52</v>
      </c>
      <c r="J583">
        <v>12.16</v>
      </c>
      <c r="K583">
        <f t="shared" si="90"/>
        <v>36.466666666666669</v>
      </c>
      <c r="L583">
        <f t="shared" si="91"/>
        <v>44.05</v>
      </c>
      <c r="M583">
        <f t="shared" si="92"/>
        <v>14.9</v>
      </c>
      <c r="N583">
        <f t="shared" si="93"/>
        <v>1.9575</v>
      </c>
      <c r="O583">
        <f t="shared" si="94"/>
        <v>11.75</v>
      </c>
      <c r="P583">
        <f t="shared" si="95"/>
        <v>5.9090909090909092</v>
      </c>
      <c r="Q583">
        <f t="shared" si="96"/>
        <v>11.25925925925926</v>
      </c>
      <c r="R583">
        <f t="shared" si="97"/>
        <v>44.05</v>
      </c>
      <c r="S583" t="str">
        <f t="shared" si="98"/>
        <v>Good</v>
      </c>
      <c r="T583" t="str">
        <f t="shared" si="99"/>
        <v>PM10</v>
      </c>
      <c r="U583">
        <v>22.86</v>
      </c>
      <c r="V583">
        <v>79.040000000000006</v>
      </c>
    </row>
    <row r="584" spans="1:22" x14ac:dyDescent="0.3">
      <c r="A584" s="2" t="s">
        <v>15</v>
      </c>
      <c r="B584">
        <v>560026</v>
      </c>
      <c r="C584" s="3">
        <v>44062</v>
      </c>
      <c r="D584">
        <v>19.88</v>
      </c>
      <c r="E584">
        <v>45.54</v>
      </c>
      <c r="F584">
        <v>12.6</v>
      </c>
      <c r="G584">
        <v>7.75</v>
      </c>
      <c r="H584">
        <v>9.17</v>
      </c>
      <c r="I584">
        <v>0.56999999999999995</v>
      </c>
      <c r="J584">
        <v>11.87</v>
      </c>
      <c r="K584">
        <f t="shared" si="90"/>
        <v>33.133333333333333</v>
      </c>
      <c r="L584">
        <f t="shared" si="91"/>
        <v>45.54</v>
      </c>
      <c r="M584">
        <f t="shared" si="92"/>
        <v>15.75</v>
      </c>
      <c r="N584">
        <f t="shared" si="93"/>
        <v>1.9375</v>
      </c>
      <c r="O584">
        <f t="shared" si="94"/>
        <v>11.4625</v>
      </c>
      <c r="P584">
        <f t="shared" si="95"/>
        <v>6.4772727272727266</v>
      </c>
      <c r="Q584">
        <f t="shared" si="96"/>
        <v>10.99074074074074</v>
      </c>
      <c r="R584">
        <f t="shared" si="97"/>
        <v>45.54</v>
      </c>
      <c r="S584" t="str">
        <f t="shared" si="98"/>
        <v>Good</v>
      </c>
      <c r="T584" t="str">
        <f t="shared" si="99"/>
        <v>PM10</v>
      </c>
      <c r="U584">
        <v>23.07</v>
      </c>
      <c r="V584">
        <v>77.05</v>
      </c>
    </row>
    <row r="585" spans="1:22" x14ac:dyDescent="0.3">
      <c r="A585" s="2" t="s">
        <v>15</v>
      </c>
      <c r="B585">
        <v>560026</v>
      </c>
      <c r="C585" s="3">
        <v>44063</v>
      </c>
      <c r="D585">
        <v>33.85</v>
      </c>
      <c r="E585">
        <v>62.77</v>
      </c>
      <c r="F585">
        <v>13.12</v>
      </c>
      <c r="G585">
        <v>8.19</v>
      </c>
      <c r="H585">
        <v>13.51</v>
      </c>
      <c r="I585">
        <v>0.73</v>
      </c>
      <c r="J585">
        <v>11.89</v>
      </c>
      <c r="K585">
        <f t="shared" si="90"/>
        <v>56.416666666666671</v>
      </c>
      <c r="L585">
        <f t="shared" si="91"/>
        <v>62.77</v>
      </c>
      <c r="M585">
        <f t="shared" si="92"/>
        <v>16.399999999999999</v>
      </c>
      <c r="N585">
        <f t="shared" si="93"/>
        <v>2.0474999999999999</v>
      </c>
      <c r="O585">
        <f t="shared" si="94"/>
        <v>16.887499999999999</v>
      </c>
      <c r="P585">
        <f t="shared" si="95"/>
        <v>8.295454545454545</v>
      </c>
      <c r="Q585">
        <f t="shared" si="96"/>
        <v>11.00925925925926</v>
      </c>
      <c r="R585">
        <f t="shared" si="97"/>
        <v>62.77</v>
      </c>
      <c r="S585" t="str">
        <f t="shared" si="98"/>
        <v>Satisfactory</v>
      </c>
      <c r="T585" t="str">
        <f t="shared" si="99"/>
        <v>PM10</v>
      </c>
      <c r="U585">
        <v>22.83</v>
      </c>
      <c r="V585">
        <v>77.900000000000006</v>
      </c>
    </row>
    <row r="586" spans="1:22" x14ac:dyDescent="0.3">
      <c r="A586" s="2" t="s">
        <v>15</v>
      </c>
      <c r="B586">
        <v>560026</v>
      </c>
      <c r="C586" s="3">
        <v>44064</v>
      </c>
      <c r="D586">
        <v>22.64</v>
      </c>
      <c r="E586">
        <v>50.07</v>
      </c>
      <c r="F586">
        <v>12.78</v>
      </c>
      <c r="G586">
        <v>7.83</v>
      </c>
      <c r="H586">
        <v>8.15</v>
      </c>
      <c r="I586">
        <v>0.45</v>
      </c>
      <c r="J586">
        <v>11.48</v>
      </c>
      <c r="K586">
        <f t="shared" si="90"/>
        <v>37.733333333333334</v>
      </c>
      <c r="L586">
        <f t="shared" si="91"/>
        <v>50.07</v>
      </c>
      <c r="M586">
        <f t="shared" si="92"/>
        <v>15.975</v>
      </c>
      <c r="N586">
        <f t="shared" si="93"/>
        <v>1.9575</v>
      </c>
      <c r="O586">
        <f t="shared" si="94"/>
        <v>10.1875</v>
      </c>
      <c r="P586">
        <f t="shared" si="95"/>
        <v>5.1136363636363633</v>
      </c>
      <c r="Q586">
        <f t="shared" si="96"/>
        <v>10.62962962962963</v>
      </c>
      <c r="R586">
        <f t="shared" si="97"/>
        <v>50.07</v>
      </c>
      <c r="S586" t="str">
        <f t="shared" si="98"/>
        <v>Satisfactory</v>
      </c>
      <c r="T586" t="str">
        <f t="shared" si="99"/>
        <v>PM10</v>
      </c>
      <c r="U586">
        <v>23.69</v>
      </c>
      <c r="V586">
        <v>76.19</v>
      </c>
    </row>
    <row r="587" spans="1:22" x14ac:dyDescent="0.3">
      <c r="A587" s="2" t="s">
        <v>15</v>
      </c>
      <c r="B587">
        <v>560026</v>
      </c>
      <c r="C587" s="3">
        <v>44065</v>
      </c>
      <c r="D587">
        <v>19.43</v>
      </c>
      <c r="E587">
        <v>37.909999999999997</v>
      </c>
      <c r="F587">
        <v>9.35</v>
      </c>
      <c r="G587">
        <v>7.71</v>
      </c>
      <c r="H587">
        <v>8.1199999999999992</v>
      </c>
      <c r="I587">
        <v>0.51</v>
      </c>
      <c r="J587">
        <v>13.89</v>
      </c>
      <c r="K587">
        <f t="shared" si="90"/>
        <v>32.383333333333333</v>
      </c>
      <c r="L587">
        <f t="shared" si="91"/>
        <v>37.909999999999997</v>
      </c>
      <c r="M587">
        <f t="shared" si="92"/>
        <v>11.6875</v>
      </c>
      <c r="N587">
        <f t="shared" si="93"/>
        <v>1.9275</v>
      </c>
      <c r="O587">
        <f t="shared" si="94"/>
        <v>10.149999999999999</v>
      </c>
      <c r="P587">
        <f t="shared" si="95"/>
        <v>5.795454545454545</v>
      </c>
      <c r="Q587">
        <f t="shared" si="96"/>
        <v>12.861111111111112</v>
      </c>
      <c r="R587">
        <f t="shared" si="97"/>
        <v>37.909999999999997</v>
      </c>
      <c r="S587" t="str">
        <f t="shared" si="98"/>
        <v>Good</v>
      </c>
      <c r="T587" t="str">
        <f t="shared" si="99"/>
        <v>PM10</v>
      </c>
      <c r="U587">
        <v>24.46</v>
      </c>
      <c r="V587">
        <v>75.319999999999993</v>
      </c>
    </row>
    <row r="588" spans="1:22" x14ac:dyDescent="0.3">
      <c r="A588" s="2" t="s">
        <v>15</v>
      </c>
      <c r="B588">
        <v>560026</v>
      </c>
      <c r="C588" s="3">
        <v>44066</v>
      </c>
      <c r="D588">
        <v>14.76</v>
      </c>
      <c r="E588">
        <v>27.47</v>
      </c>
      <c r="F588">
        <v>8.01</v>
      </c>
      <c r="G588">
        <v>7.56</v>
      </c>
      <c r="H588">
        <v>8.83</v>
      </c>
      <c r="I588">
        <v>0.46</v>
      </c>
      <c r="J588">
        <v>12.35</v>
      </c>
      <c r="K588">
        <f t="shared" si="90"/>
        <v>24.6</v>
      </c>
      <c r="L588">
        <f t="shared" si="91"/>
        <v>27.47</v>
      </c>
      <c r="M588">
        <f t="shared" si="92"/>
        <v>10.012499999999999</v>
      </c>
      <c r="N588">
        <f t="shared" si="93"/>
        <v>1.89</v>
      </c>
      <c r="O588">
        <f t="shared" si="94"/>
        <v>11.0375</v>
      </c>
      <c r="P588">
        <f t="shared" si="95"/>
        <v>5.2272727272727275</v>
      </c>
      <c r="Q588">
        <f t="shared" si="96"/>
        <v>11.435185185185185</v>
      </c>
      <c r="R588">
        <f t="shared" si="97"/>
        <v>27.47</v>
      </c>
      <c r="S588" t="str">
        <f t="shared" si="98"/>
        <v>Good</v>
      </c>
      <c r="T588" t="str">
        <f t="shared" si="99"/>
        <v>PM10</v>
      </c>
      <c r="U588">
        <v>24.24</v>
      </c>
      <c r="V588">
        <v>74.94</v>
      </c>
    </row>
    <row r="589" spans="1:22" x14ac:dyDescent="0.3">
      <c r="A589" s="2" t="s">
        <v>15</v>
      </c>
      <c r="B589">
        <v>560026</v>
      </c>
      <c r="C589" s="3">
        <v>44067</v>
      </c>
      <c r="D589">
        <v>21.4</v>
      </c>
      <c r="E589">
        <v>44.47</v>
      </c>
      <c r="F589">
        <v>12.93</v>
      </c>
      <c r="G589">
        <v>7.87</v>
      </c>
      <c r="H589">
        <v>7.36</v>
      </c>
      <c r="I589">
        <v>0.59</v>
      </c>
      <c r="J589">
        <v>13.76</v>
      </c>
      <c r="K589">
        <f t="shared" si="90"/>
        <v>35.666666666666664</v>
      </c>
      <c r="L589">
        <f t="shared" si="91"/>
        <v>44.47</v>
      </c>
      <c r="M589">
        <f t="shared" si="92"/>
        <v>16.162500000000001</v>
      </c>
      <c r="N589">
        <f t="shared" si="93"/>
        <v>1.9675</v>
      </c>
      <c r="O589">
        <f t="shared" si="94"/>
        <v>9.1999999999999993</v>
      </c>
      <c r="P589">
        <f t="shared" si="95"/>
        <v>6.7045454545454541</v>
      </c>
      <c r="Q589">
        <f t="shared" si="96"/>
        <v>12.74074074074074</v>
      </c>
      <c r="R589">
        <f t="shared" si="97"/>
        <v>44.47</v>
      </c>
      <c r="S589" t="str">
        <f t="shared" si="98"/>
        <v>Good</v>
      </c>
      <c r="T589" t="str">
        <f t="shared" si="99"/>
        <v>PM10</v>
      </c>
      <c r="U589">
        <v>24.46</v>
      </c>
      <c r="V589">
        <v>73.650000000000006</v>
      </c>
    </row>
    <row r="590" spans="1:22" x14ac:dyDescent="0.3">
      <c r="A590" s="2" t="s">
        <v>15</v>
      </c>
      <c r="B590">
        <v>560026</v>
      </c>
      <c r="C590" s="3">
        <v>44068</v>
      </c>
      <c r="D590">
        <v>27.03</v>
      </c>
      <c r="E590">
        <v>68.66</v>
      </c>
      <c r="F590">
        <v>16.809999999999999</v>
      </c>
      <c r="G590">
        <v>7.96</v>
      </c>
      <c r="H590">
        <v>9.2899999999999991</v>
      </c>
      <c r="I590">
        <v>0.92</v>
      </c>
      <c r="J590">
        <v>14.46</v>
      </c>
      <c r="K590">
        <f t="shared" si="90"/>
        <v>45.05</v>
      </c>
      <c r="L590">
        <f t="shared" si="91"/>
        <v>68.66</v>
      </c>
      <c r="M590">
        <f t="shared" si="92"/>
        <v>21.012499999999996</v>
      </c>
      <c r="N590">
        <f t="shared" si="93"/>
        <v>1.99</v>
      </c>
      <c r="O590">
        <f t="shared" si="94"/>
        <v>11.612499999999999</v>
      </c>
      <c r="P590">
        <f t="shared" si="95"/>
        <v>10.454545454545455</v>
      </c>
      <c r="Q590">
        <f t="shared" si="96"/>
        <v>13.388888888888889</v>
      </c>
      <c r="R590">
        <f t="shared" si="97"/>
        <v>68.66</v>
      </c>
      <c r="S590" t="str">
        <f t="shared" si="98"/>
        <v>Satisfactory</v>
      </c>
      <c r="T590" t="str">
        <f t="shared" si="99"/>
        <v>PM10</v>
      </c>
      <c r="U590">
        <v>25.52</v>
      </c>
      <c r="V590">
        <v>63.15</v>
      </c>
    </row>
    <row r="591" spans="1:22" x14ac:dyDescent="0.3">
      <c r="A591" s="2" t="s">
        <v>15</v>
      </c>
      <c r="B591">
        <v>560026</v>
      </c>
      <c r="C591" s="3">
        <v>44069</v>
      </c>
      <c r="D591">
        <v>34.950000000000003</v>
      </c>
      <c r="E591">
        <v>73.959999999999994</v>
      </c>
      <c r="F591">
        <v>15.21</v>
      </c>
      <c r="G591">
        <v>8.24</v>
      </c>
      <c r="H591">
        <v>10.39</v>
      </c>
      <c r="I591">
        <v>0.78</v>
      </c>
      <c r="J591">
        <v>12.19</v>
      </c>
      <c r="K591">
        <f t="shared" si="90"/>
        <v>58.250000000000007</v>
      </c>
      <c r="L591">
        <f t="shared" si="91"/>
        <v>73.959999999999994</v>
      </c>
      <c r="M591">
        <f t="shared" si="92"/>
        <v>19.012499999999999</v>
      </c>
      <c r="N591">
        <f t="shared" si="93"/>
        <v>2.06</v>
      </c>
      <c r="O591">
        <f t="shared" si="94"/>
        <v>12.987500000000001</v>
      </c>
      <c r="P591">
        <f t="shared" si="95"/>
        <v>8.8636363636363633</v>
      </c>
      <c r="Q591">
        <f t="shared" si="96"/>
        <v>11.287037037037036</v>
      </c>
      <c r="R591">
        <f t="shared" si="97"/>
        <v>73.959999999999994</v>
      </c>
      <c r="S591" t="str">
        <f t="shared" si="98"/>
        <v>Satisfactory</v>
      </c>
      <c r="T591" t="str">
        <f t="shared" si="99"/>
        <v>PM10</v>
      </c>
      <c r="U591">
        <v>25.76</v>
      </c>
      <c r="V591">
        <v>65.67</v>
      </c>
    </row>
    <row r="592" spans="1:22" x14ac:dyDescent="0.3">
      <c r="A592" s="2" t="s">
        <v>15</v>
      </c>
      <c r="B592">
        <v>560026</v>
      </c>
      <c r="C592" s="3">
        <v>44070</v>
      </c>
      <c r="D592">
        <v>27.53</v>
      </c>
      <c r="E592">
        <v>66.62</v>
      </c>
      <c r="F592">
        <v>15.08</v>
      </c>
      <c r="G592">
        <v>8.1999999999999993</v>
      </c>
      <c r="H592">
        <v>9.64</v>
      </c>
      <c r="I592">
        <v>0.8</v>
      </c>
      <c r="J592">
        <v>11.9</v>
      </c>
      <c r="K592">
        <f t="shared" si="90"/>
        <v>45.883333333333333</v>
      </c>
      <c r="L592">
        <f t="shared" si="91"/>
        <v>66.62</v>
      </c>
      <c r="M592">
        <f t="shared" si="92"/>
        <v>18.850000000000001</v>
      </c>
      <c r="N592">
        <f t="shared" si="93"/>
        <v>2.0499999999999998</v>
      </c>
      <c r="O592">
        <f t="shared" si="94"/>
        <v>12.05</v>
      </c>
      <c r="P592">
        <f t="shared" si="95"/>
        <v>9.0909090909090917</v>
      </c>
      <c r="Q592">
        <f t="shared" si="96"/>
        <v>11.018518518518519</v>
      </c>
      <c r="R592">
        <f t="shared" si="97"/>
        <v>66.62</v>
      </c>
      <c r="S592" t="str">
        <f t="shared" si="98"/>
        <v>Satisfactory</v>
      </c>
      <c r="T592" t="str">
        <f t="shared" si="99"/>
        <v>PM10</v>
      </c>
      <c r="U592">
        <v>24.93</v>
      </c>
      <c r="V592">
        <v>65.3</v>
      </c>
    </row>
    <row r="593" spans="1:22" x14ac:dyDescent="0.3">
      <c r="A593" s="2" t="s">
        <v>15</v>
      </c>
      <c r="B593">
        <v>560026</v>
      </c>
      <c r="C593" s="3">
        <v>44071</v>
      </c>
      <c r="D593">
        <v>33.22</v>
      </c>
      <c r="E593">
        <v>71.760000000000005</v>
      </c>
      <c r="F593">
        <v>16.59</v>
      </c>
      <c r="G593">
        <v>8.23</v>
      </c>
      <c r="H593">
        <v>10.220000000000001</v>
      </c>
      <c r="I593">
        <v>0.68</v>
      </c>
      <c r="J593">
        <v>13.63</v>
      </c>
      <c r="K593">
        <f t="shared" si="90"/>
        <v>55.366666666666667</v>
      </c>
      <c r="L593">
        <f t="shared" si="91"/>
        <v>71.760000000000005</v>
      </c>
      <c r="M593">
        <f t="shared" si="92"/>
        <v>20.737500000000001</v>
      </c>
      <c r="N593">
        <f t="shared" si="93"/>
        <v>2.0575000000000001</v>
      </c>
      <c r="O593">
        <f t="shared" si="94"/>
        <v>12.775000000000002</v>
      </c>
      <c r="P593">
        <f t="shared" si="95"/>
        <v>7.7272727272727275</v>
      </c>
      <c r="Q593">
        <f t="shared" si="96"/>
        <v>12.620370370370372</v>
      </c>
      <c r="R593">
        <f t="shared" si="97"/>
        <v>71.760000000000005</v>
      </c>
      <c r="S593" t="str">
        <f t="shared" si="98"/>
        <v>Satisfactory</v>
      </c>
      <c r="T593" t="str">
        <f t="shared" si="99"/>
        <v>PM10</v>
      </c>
      <c r="U593">
        <v>25.43</v>
      </c>
      <c r="V593">
        <v>62.1</v>
      </c>
    </row>
    <row r="594" spans="1:22" x14ac:dyDescent="0.3">
      <c r="A594" s="2" t="s">
        <v>15</v>
      </c>
      <c r="B594">
        <v>560026</v>
      </c>
      <c r="C594" s="3">
        <v>44072</v>
      </c>
      <c r="D594">
        <v>38.33</v>
      </c>
      <c r="E594">
        <v>70.67</v>
      </c>
      <c r="F594">
        <v>13.47</v>
      </c>
      <c r="G594">
        <v>8.7100000000000009</v>
      </c>
      <c r="H594">
        <v>11.28</v>
      </c>
      <c r="I594">
        <v>0.48</v>
      </c>
      <c r="J594">
        <v>18.04</v>
      </c>
      <c r="K594">
        <f t="shared" si="90"/>
        <v>63.883333333333326</v>
      </c>
      <c r="L594">
        <f t="shared" si="91"/>
        <v>70.67</v>
      </c>
      <c r="M594">
        <f t="shared" si="92"/>
        <v>16.837499999999999</v>
      </c>
      <c r="N594">
        <f t="shared" si="93"/>
        <v>2.1775000000000002</v>
      </c>
      <c r="O594">
        <f t="shared" si="94"/>
        <v>14.1</v>
      </c>
      <c r="P594">
        <f t="shared" si="95"/>
        <v>5.4545454545454541</v>
      </c>
      <c r="Q594">
        <f t="shared" si="96"/>
        <v>16.703703703703702</v>
      </c>
      <c r="R594">
        <f t="shared" si="97"/>
        <v>70.67</v>
      </c>
      <c r="S594" t="str">
        <f t="shared" si="98"/>
        <v>Satisfactory</v>
      </c>
      <c r="T594" t="str">
        <f t="shared" si="99"/>
        <v>PM10</v>
      </c>
      <c r="U594">
        <v>25.79</v>
      </c>
      <c r="V594">
        <v>63.09</v>
      </c>
    </row>
    <row r="595" spans="1:22" x14ac:dyDescent="0.3">
      <c r="A595" s="2" t="s">
        <v>15</v>
      </c>
      <c r="B595">
        <v>560026</v>
      </c>
      <c r="C595" s="3">
        <v>44073</v>
      </c>
      <c r="D595">
        <v>16.11</v>
      </c>
      <c r="E595">
        <v>38</v>
      </c>
      <c r="F595">
        <v>9.6999999999999993</v>
      </c>
      <c r="G595">
        <v>7.71</v>
      </c>
      <c r="H595">
        <v>9.77</v>
      </c>
      <c r="I595">
        <v>0.51</v>
      </c>
      <c r="J595">
        <v>16.25</v>
      </c>
      <c r="K595">
        <f t="shared" si="90"/>
        <v>26.85</v>
      </c>
      <c r="L595">
        <f t="shared" si="91"/>
        <v>38</v>
      </c>
      <c r="M595">
        <f t="shared" si="92"/>
        <v>12.124999999999998</v>
      </c>
      <c r="N595">
        <f t="shared" si="93"/>
        <v>1.9275</v>
      </c>
      <c r="O595">
        <f t="shared" si="94"/>
        <v>12.2125</v>
      </c>
      <c r="P595">
        <f t="shared" si="95"/>
        <v>5.795454545454545</v>
      </c>
      <c r="Q595">
        <f t="shared" si="96"/>
        <v>15.046296296296296</v>
      </c>
      <c r="R595">
        <f t="shared" si="97"/>
        <v>38</v>
      </c>
      <c r="S595" t="str">
        <f t="shared" si="98"/>
        <v>Good</v>
      </c>
      <c r="T595" t="str">
        <f t="shared" si="99"/>
        <v>PM10</v>
      </c>
      <c r="U595">
        <v>26</v>
      </c>
      <c r="V595">
        <v>64.900000000000006</v>
      </c>
    </row>
    <row r="596" spans="1:22" x14ac:dyDescent="0.3">
      <c r="A596" s="2" t="s">
        <v>15</v>
      </c>
      <c r="B596">
        <v>560026</v>
      </c>
      <c r="C596" s="3">
        <v>44074</v>
      </c>
      <c r="D596">
        <v>28.31</v>
      </c>
      <c r="E596">
        <v>51.27</v>
      </c>
      <c r="F596">
        <v>16.920000000000002</v>
      </c>
      <c r="G596">
        <v>7.8</v>
      </c>
      <c r="H596">
        <v>7.66</v>
      </c>
      <c r="I596">
        <v>0.89</v>
      </c>
      <c r="J596">
        <v>16.71</v>
      </c>
      <c r="K596">
        <f t="shared" si="90"/>
        <v>47.18333333333333</v>
      </c>
      <c r="L596">
        <f t="shared" si="91"/>
        <v>51.27</v>
      </c>
      <c r="M596">
        <f t="shared" si="92"/>
        <v>21.150000000000002</v>
      </c>
      <c r="N596">
        <f t="shared" si="93"/>
        <v>1.95</v>
      </c>
      <c r="O596">
        <f t="shared" si="94"/>
        <v>9.5749999999999993</v>
      </c>
      <c r="P596">
        <f t="shared" si="95"/>
        <v>10.113636363636363</v>
      </c>
      <c r="Q596">
        <f t="shared" si="96"/>
        <v>15.472222222222223</v>
      </c>
      <c r="R596">
        <f t="shared" si="97"/>
        <v>51.27</v>
      </c>
      <c r="S596" t="str">
        <f t="shared" si="98"/>
        <v>Satisfactory</v>
      </c>
      <c r="T596" t="str">
        <f t="shared" si="99"/>
        <v>PM10</v>
      </c>
      <c r="U596">
        <v>25.05</v>
      </c>
      <c r="V596">
        <v>71.760000000000005</v>
      </c>
    </row>
    <row r="597" spans="1:22" x14ac:dyDescent="0.3">
      <c r="A597" s="2" t="s">
        <v>15</v>
      </c>
      <c r="B597">
        <v>560026</v>
      </c>
      <c r="C597" s="3">
        <v>44075</v>
      </c>
      <c r="D597">
        <v>19.350000000000001</v>
      </c>
      <c r="E597">
        <v>55.72</v>
      </c>
      <c r="F597">
        <v>17.39</v>
      </c>
      <c r="G597">
        <v>8.2799999999999994</v>
      </c>
      <c r="H597">
        <v>10.029999999999999</v>
      </c>
      <c r="I597">
        <v>1.21</v>
      </c>
      <c r="J597">
        <v>13.38</v>
      </c>
      <c r="K597">
        <f t="shared" si="90"/>
        <v>32.250000000000007</v>
      </c>
      <c r="L597">
        <f t="shared" si="91"/>
        <v>55.72</v>
      </c>
      <c r="M597">
        <f t="shared" si="92"/>
        <v>21.737500000000001</v>
      </c>
      <c r="N597">
        <f t="shared" si="93"/>
        <v>2.0699999999999998</v>
      </c>
      <c r="O597">
        <f t="shared" si="94"/>
        <v>12.537499999999998</v>
      </c>
      <c r="P597">
        <f t="shared" si="95"/>
        <v>13.75</v>
      </c>
      <c r="Q597">
        <f t="shared" si="96"/>
        <v>12.388888888888889</v>
      </c>
      <c r="R597">
        <f t="shared" si="97"/>
        <v>55.72</v>
      </c>
      <c r="S597" t="str">
        <f t="shared" si="98"/>
        <v>Satisfactory</v>
      </c>
      <c r="T597" t="str">
        <f t="shared" si="99"/>
        <v>PM10</v>
      </c>
      <c r="U597">
        <v>24.4</v>
      </c>
      <c r="V597">
        <v>75.040000000000006</v>
      </c>
    </row>
    <row r="598" spans="1:22" x14ac:dyDescent="0.3">
      <c r="A598" s="2" t="s">
        <v>15</v>
      </c>
      <c r="B598">
        <v>560026</v>
      </c>
      <c r="C598" s="3">
        <v>44076</v>
      </c>
      <c r="D598">
        <v>29.34</v>
      </c>
      <c r="E598">
        <v>52.76</v>
      </c>
      <c r="F598">
        <v>18.649999999999999</v>
      </c>
      <c r="G598">
        <v>8.14</v>
      </c>
      <c r="H598">
        <v>8.23</v>
      </c>
      <c r="I598">
        <v>0.99</v>
      </c>
      <c r="J598">
        <v>13.96</v>
      </c>
      <c r="K598">
        <f t="shared" si="90"/>
        <v>48.9</v>
      </c>
      <c r="L598">
        <f t="shared" si="91"/>
        <v>52.76</v>
      </c>
      <c r="M598">
        <f t="shared" si="92"/>
        <v>23.312499999999996</v>
      </c>
      <c r="N598">
        <f t="shared" si="93"/>
        <v>2.0350000000000001</v>
      </c>
      <c r="O598">
        <f t="shared" si="94"/>
        <v>10.2875</v>
      </c>
      <c r="P598">
        <f t="shared" si="95"/>
        <v>11.25</v>
      </c>
      <c r="Q598">
        <f t="shared" si="96"/>
        <v>12.925925925925927</v>
      </c>
      <c r="R598">
        <f t="shared" si="97"/>
        <v>52.76</v>
      </c>
      <c r="S598" t="str">
        <f t="shared" si="98"/>
        <v>Satisfactory</v>
      </c>
      <c r="T598" t="str">
        <f t="shared" si="99"/>
        <v>PM10</v>
      </c>
      <c r="U598">
        <v>23.05</v>
      </c>
      <c r="V598">
        <v>83.09</v>
      </c>
    </row>
    <row r="599" spans="1:22" x14ac:dyDescent="0.3">
      <c r="A599" s="2" t="s">
        <v>15</v>
      </c>
      <c r="B599">
        <v>560026</v>
      </c>
      <c r="C599" s="3">
        <v>44077</v>
      </c>
      <c r="D599">
        <v>28.02</v>
      </c>
      <c r="E599">
        <v>49.19</v>
      </c>
      <c r="F599">
        <v>20.09</v>
      </c>
      <c r="G599">
        <v>8.1300000000000008</v>
      </c>
      <c r="H599">
        <v>7.97</v>
      </c>
      <c r="I599">
        <v>0.95</v>
      </c>
      <c r="J599">
        <v>17.55</v>
      </c>
      <c r="K599">
        <f t="shared" si="90"/>
        <v>46.7</v>
      </c>
      <c r="L599">
        <f t="shared" si="91"/>
        <v>49.19</v>
      </c>
      <c r="M599">
        <f t="shared" si="92"/>
        <v>25.112500000000001</v>
      </c>
      <c r="N599">
        <f t="shared" si="93"/>
        <v>2.0325000000000002</v>
      </c>
      <c r="O599">
        <f t="shared" si="94"/>
        <v>9.9625000000000004</v>
      </c>
      <c r="P599">
        <f t="shared" si="95"/>
        <v>10.795454545454545</v>
      </c>
      <c r="Q599">
        <f t="shared" si="96"/>
        <v>16.25</v>
      </c>
      <c r="R599">
        <f t="shared" si="97"/>
        <v>49.19</v>
      </c>
      <c r="S599" t="str">
        <f t="shared" si="98"/>
        <v>Good</v>
      </c>
      <c r="T599" t="str">
        <f t="shared" si="99"/>
        <v>PM10</v>
      </c>
      <c r="U599">
        <v>24.18</v>
      </c>
      <c r="V599">
        <v>76.98</v>
      </c>
    </row>
    <row r="600" spans="1:22" x14ac:dyDescent="0.3">
      <c r="A600" s="2" t="s">
        <v>15</v>
      </c>
      <c r="B600">
        <v>560026</v>
      </c>
      <c r="C600" s="3">
        <v>44078</v>
      </c>
      <c r="D600">
        <v>30.71</v>
      </c>
      <c r="E600">
        <v>60.84</v>
      </c>
      <c r="F600">
        <v>19.579999999999998</v>
      </c>
      <c r="G600">
        <v>8.52</v>
      </c>
      <c r="H600">
        <v>9.58</v>
      </c>
      <c r="I600">
        <v>0.75</v>
      </c>
      <c r="J600">
        <v>17.61</v>
      </c>
      <c r="K600">
        <f t="shared" si="90"/>
        <v>51.183333333333337</v>
      </c>
      <c r="L600">
        <f t="shared" si="91"/>
        <v>60.84</v>
      </c>
      <c r="M600">
        <f t="shared" si="92"/>
        <v>24.474999999999998</v>
      </c>
      <c r="N600">
        <f t="shared" si="93"/>
        <v>2.13</v>
      </c>
      <c r="O600">
        <f t="shared" si="94"/>
        <v>11.975</v>
      </c>
      <c r="P600">
        <f t="shared" si="95"/>
        <v>8.5227272727272734</v>
      </c>
      <c r="Q600">
        <f t="shared" si="96"/>
        <v>16.305555555555554</v>
      </c>
      <c r="R600">
        <f t="shared" si="97"/>
        <v>60.84</v>
      </c>
      <c r="S600" t="str">
        <f t="shared" si="98"/>
        <v>Satisfactory</v>
      </c>
      <c r="T600" t="str">
        <f t="shared" si="99"/>
        <v>PM10</v>
      </c>
      <c r="U600">
        <v>26.08</v>
      </c>
      <c r="V600">
        <v>68.72</v>
      </c>
    </row>
    <row r="601" spans="1:22" x14ac:dyDescent="0.3">
      <c r="A601" s="2" t="s">
        <v>15</v>
      </c>
      <c r="B601">
        <v>560026</v>
      </c>
      <c r="C601" s="3">
        <v>44079</v>
      </c>
      <c r="D601">
        <v>44.91</v>
      </c>
      <c r="E601">
        <v>64.03</v>
      </c>
      <c r="F601">
        <v>18.149999999999999</v>
      </c>
      <c r="G601">
        <v>9.69</v>
      </c>
      <c r="H601">
        <v>7.42</v>
      </c>
      <c r="I601">
        <v>0.68</v>
      </c>
      <c r="J601">
        <v>27.44</v>
      </c>
      <c r="K601">
        <f t="shared" si="90"/>
        <v>74.849999999999994</v>
      </c>
      <c r="L601">
        <f t="shared" si="91"/>
        <v>64.03</v>
      </c>
      <c r="M601">
        <f t="shared" si="92"/>
        <v>22.687499999999996</v>
      </c>
      <c r="N601">
        <f t="shared" si="93"/>
        <v>2.4224999999999999</v>
      </c>
      <c r="O601">
        <f t="shared" si="94"/>
        <v>9.2750000000000004</v>
      </c>
      <c r="P601">
        <f t="shared" si="95"/>
        <v>7.7272727272727275</v>
      </c>
      <c r="Q601">
        <f t="shared" si="96"/>
        <v>25.407407407407408</v>
      </c>
      <c r="R601">
        <f t="shared" si="97"/>
        <v>74.849999999999994</v>
      </c>
      <c r="S601" t="str">
        <f t="shared" si="98"/>
        <v>Satisfactory</v>
      </c>
      <c r="T601" t="str">
        <f t="shared" si="99"/>
        <v>PM2.5</v>
      </c>
      <c r="U601">
        <v>25.67</v>
      </c>
      <c r="V601">
        <v>72.42</v>
      </c>
    </row>
    <row r="602" spans="1:22" x14ac:dyDescent="0.3">
      <c r="A602" s="2" t="s">
        <v>15</v>
      </c>
      <c r="B602">
        <v>560026</v>
      </c>
      <c r="C602" s="3">
        <v>44080</v>
      </c>
      <c r="D602">
        <v>38.51</v>
      </c>
      <c r="E602">
        <v>54.14</v>
      </c>
      <c r="F602">
        <v>11.87</v>
      </c>
      <c r="G602">
        <v>9.3800000000000008</v>
      </c>
      <c r="H602">
        <v>8.9600000000000009</v>
      </c>
      <c r="I602">
        <v>0.48</v>
      </c>
      <c r="J602">
        <v>27.45</v>
      </c>
      <c r="K602">
        <f t="shared" si="90"/>
        <v>64.183333333333337</v>
      </c>
      <c r="L602">
        <f t="shared" si="91"/>
        <v>54.14</v>
      </c>
      <c r="M602">
        <f t="shared" si="92"/>
        <v>14.8375</v>
      </c>
      <c r="N602">
        <f t="shared" si="93"/>
        <v>2.3450000000000002</v>
      </c>
      <c r="O602">
        <f t="shared" si="94"/>
        <v>11.200000000000001</v>
      </c>
      <c r="P602">
        <f t="shared" si="95"/>
        <v>5.4545454545454541</v>
      </c>
      <c r="Q602">
        <f t="shared" si="96"/>
        <v>25.416666666666668</v>
      </c>
      <c r="R602">
        <f t="shared" si="97"/>
        <v>64.183333333333337</v>
      </c>
      <c r="S602" t="str">
        <f t="shared" si="98"/>
        <v>Satisfactory</v>
      </c>
      <c r="T602" t="str">
        <f t="shared" si="99"/>
        <v>PM2.5</v>
      </c>
      <c r="U602">
        <v>26.24</v>
      </c>
      <c r="V602">
        <v>70.09</v>
      </c>
    </row>
    <row r="603" spans="1:22" x14ac:dyDescent="0.3">
      <c r="A603" s="2" t="s">
        <v>15</v>
      </c>
      <c r="B603">
        <v>560026</v>
      </c>
      <c r="C603" s="3">
        <v>44081</v>
      </c>
      <c r="D603">
        <v>16</v>
      </c>
      <c r="E603">
        <v>31.69</v>
      </c>
      <c r="F603">
        <v>10.47</v>
      </c>
      <c r="G603">
        <v>7.58</v>
      </c>
      <c r="H603">
        <v>8.69</v>
      </c>
      <c r="I603">
        <v>0.46</v>
      </c>
      <c r="J603">
        <v>17.16</v>
      </c>
      <c r="K603">
        <f t="shared" si="90"/>
        <v>26.666666666666668</v>
      </c>
      <c r="L603">
        <f t="shared" si="91"/>
        <v>31.69</v>
      </c>
      <c r="M603">
        <f t="shared" si="92"/>
        <v>13.0875</v>
      </c>
      <c r="N603">
        <f t="shared" si="93"/>
        <v>1.895</v>
      </c>
      <c r="O603">
        <f t="shared" si="94"/>
        <v>10.862500000000001</v>
      </c>
      <c r="P603">
        <f t="shared" si="95"/>
        <v>5.2272727272727275</v>
      </c>
      <c r="Q603">
        <f t="shared" si="96"/>
        <v>15.888888888888889</v>
      </c>
      <c r="R603">
        <f t="shared" si="97"/>
        <v>31.69</v>
      </c>
      <c r="S603" t="str">
        <f t="shared" si="98"/>
        <v>Good</v>
      </c>
      <c r="T603" t="str">
        <f t="shared" si="99"/>
        <v>PM10</v>
      </c>
      <c r="U603">
        <v>24.13</v>
      </c>
      <c r="V603">
        <v>74.010000000000005</v>
      </c>
    </row>
    <row r="604" spans="1:22" x14ac:dyDescent="0.3">
      <c r="A604" s="2" t="s">
        <v>15</v>
      </c>
      <c r="B604">
        <v>560026</v>
      </c>
      <c r="C604" s="3">
        <v>44082</v>
      </c>
      <c r="D604">
        <v>18.29</v>
      </c>
      <c r="E604">
        <v>30.42</v>
      </c>
      <c r="F604">
        <v>12.22</v>
      </c>
      <c r="G604">
        <v>7.95</v>
      </c>
      <c r="H604">
        <v>7.07</v>
      </c>
      <c r="I604">
        <v>0.6</v>
      </c>
      <c r="J604">
        <v>14.62</v>
      </c>
      <c r="K604">
        <f t="shared" si="90"/>
        <v>30.483333333333334</v>
      </c>
      <c r="L604">
        <f t="shared" si="91"/>
        <v>30.42</v>
      </c>
      <c r="M604">
        <f t="shared" si="92"/>
        <v>15.275</v>
      </c>
      <c r="N604">
        <f t="shared" si="93"/>
        <v>1.9875</v>
      </c>
      <c r="O604">
        <f t="shared" si="94"/>
        <v>8.8375000000000004</v>
      </c>
      <c r="P604">
        <f t="shared" si="95"/>
        <v>6.8181818181818175</v>
      </c>
      <c r="Q604">
        <f t="shared" si="96"/>
        <v>13.537037037037036</v>
      </c>
      <c r="R604">
        <f t="shared" si="97"/>
        <v>30.483333333333334</v>
      </c>
      <c r="S604" t="str">
        <f t="shared" si="98"/>
        <v>Good</v>
      </c>
      <c r="T604" t="str">
        <f t="shared" si="99"/>
        <v>PM2.5</v>
      </c>
      <c r="U604">
        <v>24.94</v>
      </c>
      <c r="V604">
        <v>73.790000000000006</v>
      </c>
    </row>
    <row r="605" spans="1:22" x14ac:dyDescent="0.3">
      <c r="A605" s="2" t="s">
        <v>15</v>
      </c>
      <c r="B605">
        <v>560026</v>
      </c>
      <c r="C605" s="3">
        <v>44083</v>
      </c>
      <c r="D605">
        <v>16.399999999999999</v>
      </c>
      <c r="E605">
        <v>31.08</v>
      </c>
      <c r="F605">
        <v>12.04</v>
      </c>
      <c r="G605">
        <v>7.81</v>
      </c>
      <c r="H605">
        <v>8.74</v>
      </c>
      <c r="I605">
        <v>0.5</v>
      </c>
      <c r="J605">
        <v>16.059999999999999</v>
      </c>
      <c r="K605">
        <f t="shared" si="90"/>
        <v>27.333333333333329</v>
      </c>
      <c r="L605">
        <f t="shared" si="91"/>
        <v>31.08</v>
      </c>
      <c r="M605">
        <f t="shared" si="92"/>
        <v>15.05</v>
      </c>
      <c r="N605">
        <f t="shared" si="93"/>
        <v>1.9524999999999999</v>
      </c>
      <c r="O605">
        <f t="shared" si="94"/>
        <v>10.925000000000001</v>
      </c>
      <c r="P605">
        <f t="shared" si="95"/>
        <v>5.6818181818181817</v>
      </c>
      <c r="Q605">
        <f t="shared" si="96"/>
        <v>14.870370370370368</v>
      </c>
      <c r="R605">
        <f t="shared" si="97"/>
        <v>31.08</v>
      </c>
      <c r="S605" t="str">
        <f t="shared" si="98"/>
        <v>Good</v>
      </c>
      <c r="T605" t="str">
        <f t="shared" si="99"/>
        <v>PM10</v>
      </c>
      <c r="U605">
        <v>24.32</v>
      </c>
      <c r="V605">
        <v>78.78</v>
      </c>
    </row>
    <row r="606" spans="1:22" x14ac:dyDescent="0.3">
      <c r="A606" s="2" t="s">
        <v>15</v>
      </c>
      <c r="B606">
        <v>560026</v>
      </c>
      <c r="C606" s="3">
        <v>44084</v>
      </c>
      <c r="D606">
        <v>16.850000000000001</v>
      </c>
      <c r="E606">
        <v>28.92</v>
      </c>
      <c r="F606">
        <v>12.88</v>
      </c>
      <c r="G606">
        <v>7.8</v>
      </c>
      <c r="H606">
        <v>8.1300000000000008</v>
      </c>
      <c r="I606">
        <v>0.47</v>
      </c>
      <c r="J606">
        <v>15.44</v>
      </c>
      <c r="K606">
        <f t="shared" si="90"/>
        <v>28.083333333333336</v>
      </c>
      <c r="L606">
        <f t="shared" si="91"/>
        <v>28.92</v>
      </c>
      <c r="M606">
        <f t="shared" si="92"/>
        <v>16.100000000000001</v>
      </c>
      <c r="N606">
        <f t="shared" si="93"/>
        <v>1.95</v>
      </c>
      <c r="O606">
        <f t="shared" si="94"/>
        <v>10.162500000000001</v>
      </c>
      <c r="P606">
        <f t="shared" si="95"/>
        <v>5.3409090909090908</v>
      </c>
      <c r="Q606">
        <f t="shared" si="96"/>
        <v>14.296296296296296</v>
      </c>
      <c r="R606">
        <f t="shared" si="97"/>
        <v>28.92</v>
      </c>
      <c r="S606" t="str">
        <f t="shared" si="98"/>
        <v>Good</v>
      </c>
      <c r="T606" t="str">
        <f t="shared" si="99"/>
        <v>PM10</v>
      </c>
      <c r="U606">
        <v>22.99</v>
      </c>
      <c r="V606">
        <v>79.16</v>
      </c>
    </row>
    <row r="607" spans="1:22" x14ac:dyDescent="0.3">
      <c r="A607" s="2" t="s">
        <v>15</v>
      </c>
      <c r="B607">
        <v>560026</v>
      </c>
      <c r="C607" s="3">
        <v>44085</v>
      </c>
      <c r="D607">
        <v>18.79</v>
      </c>
      <c r="E607">
        <v>32.5</v>
      </c>
      <c r="F607">
        <v>11.54</v>
      </c>
      <c r="G607">
        <v>7.49</v>
      </c>
      <c r="H607">
        <v>6.47</v>
      </c>
      <c r="I607">
        <v>0.56999999999999995</v>
      </c>
      <c r="J607">
        <v>14.09</v>
      </c>
      <c r="K607">
        <f t="shared" si="90"/>
        <v>31.316666666666666</v>
      </c>
      <c r="L607">
        <f t="shared" si="91"/>
        <v>32.5</v>
      </c>
      <c r="M607">
        <f t="shared" si="92"/>
        <v>14.425000000000001</v>
      </c>
      <c r="N607">
        <f t="shared" si="93"/>
        <v>1.8725000000000001</v>
      </c>
      <c r="O607">
        <f t="shared" si="94"/>
        <v>8.0875000000000004</v>
      </c>
      <c r="P607">
        <f t="shared" si="95"/>
        <v>6.4772727272727266</v>
      </c>
      <c r="Q607">
        <f t="shared" si="96"/>
        <v>13.046296296296296</v>
      </c>
      <c r="R607">
        <f t="shared" si="97"/>
        <v>32.5</v>
      </c>
      <c r="S607" t="str">
        <f t="shared" si="98"/>
        <v>Good</v>
      </c>
      <c r="T607" t="str">
        <f t="shared" si="99"/>
        <v>PM10</v>
      </c>
      <c r="U607">
        <v>22.19</v>
      </c>
      <c r="V607">
        <v>78.989999999999995</v>
      </c>
    </row>
    <row r="608" spans="1:22" x14ac:dyDescent="0.3">
      <c r="A608" s="2" t="s">
        <v>15</v>
      </c>
      <c r="B608">
        <v>560026</v>
      </c>
      <c r="C608" s="3">
        <v>44088</v>
      </c>
      <c r="D608">
        <v>31.94</v>
      </c>
      <c r="E608">
        <v>68.599999999999994</v>
      </c>
      <c r="F608">
        <v>16.25</v>
      </c>
      <c r="G608">
        <v>7.84</v>
      </c>
      <c r="H608">
        <v>6.95</v>
      </c>
      <c r="I608">
        <v>0.76</v>
      </c>
      <c r="J608">
        <v>10.27</v>
      </c>
      <c r="K608">
        <f t="shared" si="90"/>
        <v>53.233333333333334</v>
      </c>
      <c r="L608">
        <f t="shared" si="91"/>
        <v>68.599999999999994</v>
      </c>
      <c r="M608">
        <f t="shared" si="92"/>
        <v>20.3125</v>
      </c>
      <c r="N608">
        <f t="shared" si="93"/>
        <v>1.96</v>
      </c>
      <c r="O608">
        <f t="shared" si="94"/>
        <v>8.6875</v>
      </c>
      <c r="P608">
        <f t="shared" si="95"/>
        <v>8.6363636363636367</v>
      </c>
      <c r="Q608">
        <f t="shared" si="96"/>
        <v>9.5092592592592595</v>
      </c>
      <c r="R608">
        <f t="shared" si="97"/>
        <v>68.599999999999994</v>
      </c>
      <c r="S608" t="str">
        <f t="shared" si="98"/>
        <v>Satisfactory</v>
      </c>
      <c r="T608" t="str">
        <f t="shared" si="99"/>
        <v>PM10</v>
      </c>
      <c r="U608">
        <v>22.61</v>
      </c>
      <c r="V608">
        <v>78.5</v>
      </c>
    </row>
    <row r="609" spans="1:22" x14ac:dyDescent="0.3">
      <c r="A609" s="2" t="s">
        <v>15</v>
      </c>
      <c r="B609">
        <v>560026</v>
      </c>
      <c r="C609" s="3">
        <v>44089</v>
      </c>
      <c r="D609">
        <v>30.76</v>
      </c>
      <c r="E609">
        <v>63.41</v>
      </c>
      <c r="F609">
        <v>14.32</v>
      </c>
      <c r="G609">
        <v>7.95</v>
      </c>
      <c r="H609">
        <v>10.84</v>
      </c>
      <c r="I609">
        <v>0.51</v>
      </c>
      <c r="J609">
        <v>8.27</v>
      </c>
      <c r="K609">
        <f t="shared" si="90"/>
        <v>51.266666666666666</v>
      </c>
      <c r="L609">
        <f t="shared" si="91"/>
        <v>63.41</v>
      </c>
      <c r="M609">
        <f t="shared" si="92"/>
        <v>17.899999999999999</v>
      </c>
      <c r="N609">
        <f t="shared" si="93"/>
        <v>1.9875</v>
      </c>
      <c r="O609">
        <f t="shared" si="94"/>
        <v>13.55</v>
      </c>
      <c r="P609">
        <f t="shared" si="95"/>
        <v>5.795454545454545</v>
      </c>
      <c r="Q609">
        <f t="shared" si="96"/>
        <v>7.6574074074074074</v>
      </c>
      <c r="R609">
        <f t="shared" si="97"/>
        <v>63.41</v>
      </c>
      <c r="S609" t="str">
        <f t="shared" si="98"/>
        <v>Satisfactory</v>
      </c>
      <c r="T609" t="str">
        <f t="shared" si="99"/>
        <v>PM10</v>
      </c>
      <c r="U609">
        <v>22.59</v>
      </c>
      <c r="V609">
        <v>76.69</v>
      </c>
    </row>
    <row r="610" spans="1:22" x14ac:dyDescent="0.3">
      <c r="A610" s="2" t="s">
        <v>15</v>
      </c>
      <c r="B610">
        <v>560026</v>
      </c>
      <c r="C610" s="3">
        <v>44090</v>
      </c>
      <c r="D610">
        <v>68.12</v>
      </c>
      <c r="E610">
        <v>105.75</v>
      </c>
      <c r="F610">
        <v>19.899999999999999</v>
      </c>
      <c r="G610">
        <v>9.59</v>
      </c>
      <c r="H610">
        <v>18.48</v>
      </c>
      <c r="I610">
        <v>0.63</v>
      </c>
      <c r="J610">
        <v>13.19</v>
      </c>
      <c r="K610">
        <f t="shared" si="90"/>
        <v>127.06666666666668</v>
      </c>
      <c r="L610">
        <f t="shared" si="91"/>
        <v>103.83333333333333</v>
      </c>
      <c r="M610">
        <f t="shared" si="92"/>
        <v>24.874999999999996</v>
      </c>
      <c r="N610">
        <f t="shared" si="93"/>
        <v>2.3975</v>
      </c>
      <c r="O610">
        <f t="shared" si="94"/>
        <v>23.1</v>
      </c>
      <c r="P610">
        <f t="shared" si="95"/>
        <v>7.1590909090909092</v>
      </c>
      <c r="Q610">
        <f t="shared" si="96"/>
        <v>12.212962962962962</v>
      </c>
      <c r="R610">
        <f t="shared" si="97"/>
        <v>127.06666666666668</v>
      </c>
      <c r="S610" t="str">
        <f t="shared" si="98"/>
        <v>Moderate</v>
      </c>
      <c r="T610" t="str">
        <f t="shared" si="99"/>
        <v>PM2.5</v>
      </c>
      <c r="U610">
        <v>25.18</v>
      </c>
      <c r="V610">
        <v>68.709999999999994</v>
      </c>
    </row>
    <row r="611" spans="1:22" x14ac:dyDescent="0.3">
      <c r="A611" s="2" t="s">
        <v>15</v>
      </c>
      <c r="B611">
        <v>560026</v>
      </c>
      <c r="C611" s="3">
        <v>44091</v>
      </c>
      <c r="D611">
        <v>29.63</v>
      </c>
      <c r="E611">
        <v>58.07</v>
      </c>
      <c r="F611">
        <v>14.9</v>
      </c>
      <c r="G611">
        <v>8.17</v>
      </c>
      <c r="H611">
        <v>6.58</v>
      </c>
      <c r="I611">
        <v>0.87</v>
      </c>
      <c r="J611">
        <v>12.79</v>
      </c>
      <c r="K611">
        <f t="shared" si="90"/>
        <v>49.383333333333333</v>
      </c>
      <c r="L611">
        <f t="shared" si="91"/>
        <v>58.07</v>
      </c>
      <c r="M611">
        <f t="shared" si="92"/>
        <v>18.625</v>
      </c>
      <c r="N611">
        <f t="shared" si="93"/>
        <v>2.0425</v>
      </c>
      <c r="O611">
        <f t="shared" si="94"/>
        <v>8.2249999999999996</v>
      </c>
      <c r="P611">
        <f t="shared" si="95"/>
        <v>9.8863636363636367</v>
      </c>
      <c r="Q611">
        <f t="shared" si="96"/>
        <v>11.842592592592592</v>
      </c>
      <c r="R611">
        <f t="shared" si="97"/>
        <v>58.07</v>
      </c>
      <c r="S611" t="str">
        <f t="shared" si="98"/>
        <v>Satisfactory</v>
      </c>
      <c r="T611" t="str">
        <f t="shared" si="99"/>
        <v>PM10</v>
      </c>
      <c r="U611">
        <v>23.67</v>
      </c>
      <c r="V611">
        <v>73.709999999999994</v>
      </c>
    </row>
    <row r="612" spans="1:22" x14ac:dyDescent="0.3">
      <c r="A612" s="2" t="s">
        <v>15</v>
      </c>
      <c r="B612">
        <v>560026</v>
      </c>
      <c r="C612" s="3">
        <v>44092</v>
      </c>
      <c r="D612">
        <v>18.760000000000002</v>
      </c>
      <c r="E612">
        <v>38.1</v>
      </c>
      <c r="F612">
        <v>14.46</v>
      </c>
      <c r="G612">
        <v>7.68</v>
      </c>
      <c r="H612">
        <v>9.34</v>
      </c>
      <c r="I612">
        <v>0.6</v>
      </c>
      <c r="J612">
        <v>12.22</v>
      </c>
      <c r="K612">
        <f t="shared" si="90"/>
        <v>31.266666666666669</v>
      </c>
      <c r="L612">
        <f t="shared" si="91"/>
        <v>38.1</v>
      </c>
      <c r="M612">
        <f t="shared" si="92"/>
        <v>18.074999999999999</v>
      </c>
      <c r="N612">
        <f t="shared" si="93"/>
        <v>1.92</v>
      </c>
      <c r="O612">
        <f t="shared" si="94"/>
        <v>11.675000000000001</v>
      </c>
      <c r="P612">
        <f t="shared" si="95"/>
        <v>6.8181818181818175</v>
      </c>
      <c r="Q612">
        <f t="shared" si="96"/>
        <v>11.314814814814815</v>
      </c>
      <c r="R612">
        <f t="shared" si="97"/>
        <v>38.1</v>
      </c>
      <c r="S612" t="str">
        <f t="shared" si="98"/>
        <v>Good</v>
      </c>
      <c r="T612" t="str">
        <f t="shared" si="99"/>
        <v>PM10</v>
      </c>
      <c r="U612">
        <v>23.99</v>
      </c>
      <c r="V612">
        <v>73.86</v>
      </c>
    </row>
    <row r="613" spans="1:22" x14ac:dyDescent="0.3">
      <c r="A613" s="2" t="s">
        <v>15</v>
      </c>
      <c r="B613">
        <v>560026</v>
      </c>
      <c r="C613" s="3">
        <v>44093</v>
      </c>
      <c r="D613">
        <v>19.89</v>
      </c>
      <c r="E613">
        <v>36.82</v>
      </c>
      <c r="F613">
        <v>14.45</v>
      </c>
      <c r="G613">
        <v>7.7</v>
      </c>
      <c r="H613">
        <v>9.7899999999999991</v>
      </c>
      <c r="I613">
        <v>0.56999999999999995</v>
      </c>
      <c r="J613">
        <v>11.98</v>
      </c>
      <c r="K613">
        <f t="shared" si="90"/>
        <v>33.15</v>
      </c>
      <c r="L613">
        <f t="shared" si="91"/>
        <v>36.82</v>
      </c>
      <c r="M613">
        <f t="shared" si="92"/>
        <v>18.0625</v>
      </c>
      <c r="N613">
        <f t="shared" si="93"/>
        <v>1.925</v>
      </c>
      <c r="O613">
        <f t="shared" si="94"/>
        <v>12.237499999999999</v>
      </c>
      <c r="P613">
        <f t="shared" si="95"/>
        <v>6.4772727272727266</v>
      </c>
      <c r="Q613">
        <f t="shared" si="96"/>
        <v>11.092592592592593</v>
      </c>
      <c r="R613">
        <f t="shared" si="97"/>
        <v>36.82</v>
      </c>
      <c r="S613" t="str">
        <f t="shared" si="98"/>
        <v>Good</v>
      </c>
      <c r="T613" t="str">
        <f t="shared" si="99"/>
        <v>PM10</v>
      </c>
      <c r="U613">
        <v>22.28</v>
      </c>
      <c r="V613">
        <v>80.290000000000006</v>
      </c>
    </row>
    <row r="614" spans="1:22" x14ac:dyDescent="0.3">
      <c r="A614" s="2" t="s">
        <v>15</v>
      </c>
      <c r="B614">
        <v>560026</v>
      </c>
      <c r="C614" s="3">
        <v>44094</v>
      </c>
      <c r="D614">
        <v>14.79</v>
      </c>
      <c r="E614">
        <v>19.29</v>
      </c>
      <c r="F614">
        <v>13.21</v>
      </c>
      <c r="G614">
        <v>7.48</v>
      </c>
      <c r="H614">
        <v>9.0399999999999991</v>
      </c>
      <c r="I614">
        <v>0.19</v>
      </c>
      <c r="J614">
        <v>12.77</v>
      </c>
      <c r="K614">
        <f t="shared" si="90"/>
        <v>24.65</v>
      </c>
      <c r="L614">
        <f t="shared" si="91"/>
        <v>19.29</v>
      </c>
      <c r="M614">
        <f t="shared" si="92"/>
        <v>16.512499999999999</v>
      </c>
      <c r="N614">
        <f t="shared" si="93"/>
        <v>1.87</v>
      </c>
      <c r="O614">
        <f t="shared" si="94"/>
        <v>11.299999999999999</v>
      </c>
      <c r="P614">
        <f t="shared" si="95"/>
        <v>2.1590909090909092</v>
      </c>
      <c r="Q614">
        <f t="shared" si="96"/>
        <v>11.824074074074074</v>
      </c>
      <c r="R614">
        <f t="shared" si="97"/>
        <v>24.65</v>
      </c>
      <c r="S614" t="str">
        <f t="shared" si="98"/>
        <v>Good</v>
      </c>
      <c r="T614" t="str">
        <f t="shared" si="99"/>
        <v>PM2.5</v>
      </c>
      <c r="U614">
        <v>20.5</v>
      </c>
      <c r="V614">
        <v>87.06</v>
      </c>
    </row>
    <row r="615" spans="1:22" x14ac:dyDescent="0.3">
      <c r="A615" s="2" t="s">
        <v>15</v>
      </c>
      <c r="B615">
        <v>560026</v>
      </c>
      <c r="C615" s="3">
        <v>44095</v>
      </c>
      <c r="D615">
        <v>16.649999999999999</v>
      </c>
      <c r="E615">
        <v>34.799999999999997</v>
      </c>
      <c r="F615">
        <v>13.19</v>
      </c>
      <c r="G615">
        <v>7.65</v>
      </c>
      <c r="H615">
        <v>8.6199999999999992</v>
      </c>
      <c r="I615">
        <v>0.43</v>
      </c>
      <c r="J615">
        <v>12.16</v>
      </c>
      <c r="K615">
        <f t="shared" si="90"/>
        <v>27.749999999999996</v>
      </c>
      <c r="L615">
        <f t="shared" si="91"/>
        <v>34.799999999999997</v>
      </c>
      <c r="M615">
        <f t="shared" si="92"/>
        <v>16.487500000000001</v>
      </c>
      <c r="N615">
        <f t="shared" si="93"/>
        <v>1.9125000000000001</v>
      </c>
      <c r="O615">
        <f t="shared" si="94"/>
        <v>10.774999999999999</v>
      </c>
      <c r="P615">
        <f t="shared" si="95"/>
        <v>4.8863636363636358</v>
      </c>
      <c r="Q615">
        <f t="shared" si="96"/>
        <v>11.25925925925926</v>
      </c>
      <c r="R615">
        <f t="shared" si="97"/>
        <v>34.799999999999997</v>
      </c>
      <c r="S615" t="str">
        <f t="shared" si="98"/>
        <v>Good</v>
      </c>
      <c r="T615" t="str">
        <f t="shared" si="99"/>
        <v>PM10</v>
      </c>
      <c r="U615">
        <v>21.86</v>
      </c>
      <c r="V615">
        <v>78.349999999999994</v>
      </c>
    </row>
    <row r="616" spans="1:22" x14ac:dyDescent="0.3">
      <c r="A616" s="2" t="s">
        <v>15</v>
      </c>
      <c r="B616">
        <v>560026</v>
      </c>
      <c r="C616" s="3">
        <v>44096</v>
      </c>
      <c r="D616">
        <v>18.75</v>
      </c>
      <c r="E616">
        <v>38.36</v>
      </c>
      <c r="F616">
        <v>16.559999999999999</v>
      </c>
      <c r="G616">
        <v>7.63</v>
      </c>
      <c r="H616">
        <v>10</v>
      </c>
      <c r="I616">
        <v>0.16</v>
      </c>
      <c r="J616">
        <v>14.1</v>
      </c>
      <c r="K616">
        <f t="shared" si="90"/>
        <v>31.25</v>
      </c>
      <c r="L616">
        <f t="shared" si="91"/>
        <v>38.36</v>
      </c>
      <c r="M616">
        <f t="shared" si="92"/>
        <v>20.699999999999996</v>
      </c>
      <c r="N616">
        <f t="shared" si="93"/>
        <v>1.9075</v>
      </c>
      <c r="O616">
        <f t="shared" si="94"/>
        <v>12.5</v>
      </c>
      <c r="P616">
        <f t="shared" si="95"/>
        <v>1.8181818181818181</v>
      </c>
      <c r="Q616">
        <f t="shared" si="96"/>
        <v>13.055555555555555</v>
      </c>
      <c r="R616">
        <f t="shared" si="97"/>
        <v>38.36</v>
      </c>
      <c r="S616" t="str">
        <f t="shared" si="98"/>
        <v>Good</v>
      </c>
      <c r="T616" t="str">
        <f t="shared" si="99"/>
        <v>PM10</v>
      </c>
      <c r="U616">
        <v>21.87</v>
      </c>
      <c r="V616">
        <v>78.42</v>
      </c>
    </row>
    <row r="617" spans="1:22" x14ac:dyDescent="0.3">
      <c r="A617" s="2" t="s">
        <v>15</v>
      </c>
      <c r="B617">
        <v>560026</v>
      </c>
      <c r="C617" s="3">
        <v>44097</v>
      </c>
      <c r="D617">
        <v>55.84</v>
      </c>
      <c r="E617">
        <v>103.6</v>
      </c>
      <c r="F617">
        <v>21.28</v>
      </c>
      <c r="G617">
        <v>8.6300000000000008</v>
      </c>
      <c r="H617">
        <v>13.14</v>
      </c>
      <c r="I617">
        <v>0.55000000000000004</v>
      </c>
      <c r="J617">
        <v>12.75</v>
      </c>
      <c r="K617">
        <f t="shared" si="90"/>
        <v>93.066666666666677</v>
      </c>
      <c r="L617">
        <f t="shared" si="91"/>
        <v>102.39999999999999</v>
      </c>
      <c r="M617">
        <f t="shared" si="92"/>
        <v>26.6</v>
      </c>
      <c r="N617">
        <f t="shared" si="93"/>
        <v>2.1575000000000002</v>
      </c>
      <c r="O617">
        <f t="shared" si="94"/>
        <v>16.425000000000001</v>
      </c>
      <c r="P617">
        <f t="shared" si="95"/>
        <v>6.25</v>
      </c>
      <c r="Q617">
        <f t="shared" si="96"/>
        <v>11.805555555555555</v>
      </c>
      <c r="R617">
        <f t="shared" si="97"/>
        <v>102.39999999999999</v>
      </c>
      <c r="S617" t="str">
        <f t="shared" si="98"/>
        <v>Moderate</v>
      </c>
      <c r="T617" t="str">
        <f t="shared" si="99"/>
        <v>PM10</v>
      </c>
      <c r="U617">
        <v>22.49</v>
      </c>
      <c r="V617">
        <v>72.709999999999994</v>
      </c>
    </row>
    <row r="618" spans="1:22" x14ac:dyDescent="0.3">
      <c r="A618" s="2" t="s">
        <v>15</v>
      </c>
      <c r="B618">
        <v>560026</v>
      </c>
      <c r="C618" s="3">
        <v>44098</v>
      </c>
      <c r="D618">
        <v>43.69</v>
      </c>
      <c r="E618">
        <v>83.43</v>
      </c>
      <c r="F618">
        <v>19.16</v>
      </c>
      <c r="G618">
        <v>8.3000000000000007</v>
      </c>
      <c r="H618">
        <v>7.47</v>
      </c>
      <c r="I618">
        <v>0.54</v>
      </c>
      <c r="J618">
        <v>10.29</v>
      </c>
      <c r="K618">
        <f t="shared" si="90"/>
        <v>72.816666666666663</v>
      </c>
      <c r="L618">
        <f t="shared" si="91"/>
        <v>83.43</v>
      </c>
      <c r="M618">
        <f t="shared" si="92"/>
        <v>23.95</v>
      </c>
      <c r="N618">
        <f t="shared" si="93"/>
        <v>2.0750000000000002</v>
      </c>
      <c r="O618">
        <f t="shared" si="94"/>
        <v>9.3375000000000004</v>
      </c>
      <c r="P618">
        <f t="shared" si="95"/>
        <v>6.1363636363636367</v>
      </c>
      <c r="Q618">
        <f t="shared" si="96"/>
        <v>9.5277777777777768</v>
      </c>
      <c r="R618">
        <f t="shared" si="97"/>
        <v>83.43</v>
      </c>
      <c r="S618" t="str">
        <f t="shared" si="98"/>
        <v>Satisfactory</v>
      </c>
      <c r="T618" t="str">
        <f t="shared" si="99"/>
        <v>PM10</v>
      </c>
      <c r="U618">
        <v>23.33</v>
      </c>
      <c r="V618">
        <v>73.8</v>
      </c>
    </row>
    <row r="619" spans="1:22" x14ac:dyDescent="0.3">
      <c r="A619" s="2" t="s">
        <v>15</v>
      </c>
      <c r="B619">
        <v>560026</v>
      </c>
      <c r="C619" s="3">
        <v>44099</v>
      </c>
      <c r="D619">
        <v>25.42</v>
      </c>
      <c r="E619">
        <v>51.23</v>
      </c>
      <c r="F619">
        <v>17.79</v>
      </c>
      <c r="G619">
        <v>7.9</v>
      </c>
      <c r="H619">
        <v>9.6199999999999992</v>
      </c>
      <c r="I619">
        <v>0.35</v>
      </c>
      <c r="J619">
        <v>14.01</v>
      </c>
      <c r="K619">
        <f t="shared" si="90"/>
        <v>42.366666666666667</v>
      </c>
      <c r="L619">
        <f t="shared" si="91"/>
        <v>51.23</v>
      </c>
      <c r="M619">
        <f t="shared" si="92"/>
        <v>22.237500000000001</v>
      </c>
      <c r="N619">
        <f t="shared" si="93"/>
        <v>1.9750000000000001</v>
      </c>
      <c r="O619">
        <f t="shared" si="94"/>
        <v>12.024999999999999</v>
      </c>
      <c r="P619">
        <f t="shared" si="95"/>
        <v>3.9772727272727271</v>
      </c>
      <c r="Q619">
        <f t="shared" si="96"/>
        <v>12.972222222222221</v>
      </c>
      <c r="R619">
        <f t="shared" si="97"/>
        <v>51.23</v>
      </c>
      <c r="S619" t="str">
        <f t="shared" si="98"/>
        <v>Satisfactory</v>
      </c>
      <c r="T619" t="str">
        <f t="shared" si="99"/>
        <v>PM10</v>
      </c>
      <c r="U619">
        <v>25.67</v>
      </c>
      <c r="V619">
        <v>68.53</v>
      </c>
    </row>
    <row r="620" spans="1:22" x14ac:dyDescent="0.3">
      <c r="A620" s="2" t="s">
        <v>15</v>
      </c>
      <c r="B620">
        <v>560026</v>
      </c>
      <c r="C620" s="3">
        <v>44100</v>
      </c>
      <c r="D620">
        <v>31.84</v>
      </c>
      <c r="E620">
        <v>67.66</v>
      </c>
      <c r="F620">
        <v>19.670000000000002</v>
      </c>
      <c r="G620">
        <v>8.18</v>
      </c>
      <c r="H620">
        <v>9.24</v>
      </c>
      <c r="I620">
        <v>0.79</v>
      </c>
      <c r="J620">
        <v>9.74</v>
      </c>
      <c r="K620">
        <f t="shared" si="90"/>
        <v>53.06666666666667</v>
      </c>
      <c r="L620">
        <f t="shared" si="91"/>
        <v>67.66</v>
      </c>
      <c r="M620">
        <f t="shared" si="92"/>
        <v>24.587500000000002</v>
      </c>
      <c r="N620">
        <f t="shared" si="93"/>
        <v>2.0449999999999999</v>
      </c>
      <c r="O620">
        <f t="shared" si="94"/>
        <v>11.55</v>
      </c>
      <c r="P620">
        <f t="shared" si="95"/>
        <v>8.9772727272727266</v>
      </c>
      <c r="Q620">
        <f t="shared" si="96"/>
        <v>9.018518518518519</v>
      </c>
      <c r="R620">
        <f t="shared" si="97"/>
        <v>67.66</v>
      </c>
      <c r="S620" t="str">
        <f t="shared" si="98"/>
        <v>Satisfactory</v>
      </c>
      <c r="T620" t="str">
        <f t="shared" si="99"/>
        <v>PM10</v>
      </c>
      <c r="U620">
        <v>23.46</v>
      </c>
      <c r="V620">
        <v>74.67</v>
      </c>
    </row>
    <row r="621" spans="1:22" x14ac:dyDescent="0.3">
      <c r="A621" s="2" t="s">
        <v>15</v>
      </c>
      <c r="B621">
        <v>560026</v>
      </c>
      <c r="C621" s="3">
        <v>44101</v>
      </c>
      <c r="D621">
        <v>24.17</v>
      </c>
      <c r="E621">
        <v>51.52</v>
      </c>
      <c r="F621">
        <v>15.83</v>
      </c>
      <c r="G621">
        <v>7.91</v>
      </c>
      <c r="H621">
        <v>9.1</v>
      </c>
      <c r="I621">
        <v>0.63</v>
      </c>
      <c r="J621">
        <v>11.62</v>
      </c>
      <c r="K621">
        <f t="shared" si="90"/>
        <v>40.283333333333331</v>
      </c>
      <c r="L621">
        <f t="shared" si="91"/>
        <v>51.52</v>
      </c>
      <c r="M621">
        <f t="shared" si="92"/>
        <v>19.787500000000001</v>
      </c>
      <c r="N621">
        <f t="shared" si="93"/>
        <v>1.9775</v>
      </c>
      <c r="O621">
        <f t="shared" si="94"/>
        <v>11.375</v>
      </c>
      <c r="P621">
        <f t="shared" si="95"/>
        <v>7.1590909090909092</v>
      </c>
      <c r="Q621">
        <f t="shared" si="96"/>
        <v>10.759259259259258</v>
      </c>
      <c r="R621">
        <f t="shared" si="97"/>
        <v>51.52</v>
      </c>
      <c r="S621" t="str">
        <f t="shared" si="98"/>
        <v>Satisfactory</v>
      </c>
      <c r="T621" t="str">
        <f t="shared" si="99"/>
        <v>PM10</v>
      </c>
      <c r="U621">
        <v>23.64</v>
      </c>
      <c r="V621">
        <v>71.73</v>
      </c>
    </row>
    <row r="622" spans="1:22" x14ac:dyDescent="0.3">
      <c r="A622" s="2" t="s">
        <v>15</v>
      </c>
      <c r="B622">
        <v>560026</v>
      </c>
      <c r="C622" s="3">
        <v>44102</v>
      </c>
      <c r="D622">
        <v>23.78</v>
      </c>
      <c r="E622">
        <v>50.05</v>
      </c>
      <c r="F622">
        <v>15.62</v>
      </c>
      <c r="G622">
        <v>7.67</v>
      </c>
      <c r="H622">
        <v>8.8699999999999992</v>
      </c>
      <c r="I622">
        <v>0.62</v>
      </c>
      <c r="J622">
        <v>12.99</v>
      </c>
      <c r="K622">
        <f t="shared" si="90"/>
        <v>39.633333333333333</v>
      </c>
      <c r="L622">
        <f t="shared" si="91"/>
        <v>50.05</v>
      </c>
      <c r="M622">
        <f t="shared" si="92"/>
        <v>19.524999999999999</v>
      </c>
      <c r="N622">
        <f t="shared" si="93"/>
        <v>1.9175</v>
      </c>
      <c r="O622">
        <f t="shared" si="94"/>
        <v>11.087499999999999</v>
      </c>
      <c r="P622">
        <f t="shared" si="95"/>
        <v>7.045454545454545</v>
      </c>
      <c r="Q622">
        <f t="shared" si="96"/>
        <v>12.027777777777779</v>
      </c>
      <c r="R622">
        <f t="shared" si="97"/>
        <v>50.05</v>
      </c>
      <c r="S622" t="str">
        <f t="shared" si="98"/>
        <v>Satisfactory</v>
      </c>
      <c r="T622" t="str">
        <f t="shared" si="99"/>
        <v>PM10</v>
      </c>
      <c r="U622">
        <v>23.95</v>
      </c>
      <c r="V622">
        <v>73.400000000000006</v>
      </c>
    </row>
    <row r="623" spans="1:22" x14ac:dyDescent="0.3">
      <c r="A623" s="2" t="s">
        <v>15</v>
      </c>
      <c r="B623">
        <v>560026</v>
      </c>
      <c r="C623" s="3">
        <v>44103</v>
      </c>
      <c r="D623">
        <v>28.42</v>
      </c>
      <c r="E623">
        <v>54.53</v>
      </c>
      <c r="F623">
        <v>22.13</v>
      </c>
      <c r="G623">
        <v>8</v>
      </c>
      <c r="H623">
        <v>8.77</v>
      </c>
      <c r="I623">
        <v>1.07</v>
      </c>
      <c r="J623">
        <v>12.54</v>
      </c>
      <c r="K623">
        <f t="shared" si="90"/>
        <v>47.366666666666667</v>
      </c>
      <c r="L623">
        <f t="shared" si="91"/>
        <v>54.53</v>
      </c>
      <c r="M623">
        <f t="shared" si="92"/>
        <v>27.662500000000001</v>
      </c>
      <c r="N623">
        <f t="shared" si="93"/>
        <v>2</v>
      </c>
      <c r="O623">
        <f t="shared" si="94"/>
        <v>10.9625</v>
      </c>
      <c r="P623">
        <f t="shared" si="95"/>
        <v>12.15909090909091</v>
      </c>
      <c r="Q623">
        <f t="shared" si="96"/>
        <v>11.611111111111111</v>
      </c>
      <c r="R623">
        <f t="shared" si="97"/>
        <v>54.53</v>
      </c>
      <c r="S623" t="str">
        <f t="shared" si="98"/>
        <v>Satisfactory</v>
      </c>
      <c r="T623" t="str">
        <f t="shared" si="99"/>
        <v>PM10</v>
      </c>
      <c r="U623">
        <v>22.73</v>
      </c>
      <c r="V623">
        <v>81.31</v>
      </c>
    </row>
    <row r="624" spans="1:22" x14ac:dyDescent="0.3">
      <c r="A624" s="2" t="s">
        <v>15</v>
      </c>
      <c r="B624">
        <v>560026</v>
      </c>
      <c r="C624" s="3">
        <v>44104</v>
      </c>
      <c r="D624">
        <v>24.61</v>
      </c>
      <c r="E624">
        <v>51.29</v>
      </c>
      <c r="F624">
        <v>19.989999999999998</v>
      </c>
      <c r="G624">
        <v>7.83</v>
      </c>
      <c r="H624">
        <v>8.5500000000000007</v>
      </c>
      <c r="I624">
        <v>0.71</v>
      </c>
      <c r="J624">
        <v>12.5</v>
      </c>
      <c r="K624">
        <f t="shared" si="90"/>
        <v>41.016666666666666</v>
      </c>
      <c r="L624">
        <f t="shared" si="91"/>
        <v>51.29</v>
      </c>
      <c r="M624">
        <f t="shared" si="92"/>
        <v>24.987499999999997</v>
      </c>
      <c r="N624">
        <f t="shared" si="93"/>
        <v>1.9575</v>
      </c>
      <c r="O624">
        <f t="shared" si="94"/>
        <v>10.687500000000002</v>
      </c>
      <c r="P624">
        <f t="shared" si="95"/>
        <v>8.0681818181818183</v>
      </c>
      <c r="Q624">
        <f t="shared" si="96"/>
        <v>11.574074074074074</v>
      </c>
      <c r="R624">
        <f t="shared" si="97"/>
        <v>51.29</v>
      </c>
      <c r="S624" t="str">
        <f t="shared" si="98"/>
        <v>Satisfactory</v>
      </c>
      <c r="T624" t="str">
        <f t="shared" si="99"/>
        <v>PM10</v>
      </c>
      <c r="U624">
        <v>22.37</v>
      </c>
      <c r="V624">
        <v>79.55</v>
      </c>
    </row>
    <row r="625" spans="1:22" x14ac:dyDescent="0.3">
      <c r="A625" s="2" t="s">
        <v>15</v>
      </c>
      <c r="B625">
        <v>560026</v>
      </c>
      <c r="C625" s="3">
        <v>44105</v>
      </c>
      <c r="D625">
        <v>28.15</v>
      </c>
      <c r="E625">
        <v>66.8</v>
      </c>
      <c r="F625">
        <v>21.57</v>
      </c>
      <c r="G625">
        <v>7.7</v>
      </c>
      <c r="H625">
        <v>9.77</v>
      </c>
      <c r="I625">
        <v>0.92</v>
      </c>
      <c r="J625">
        <v>12.53</v>
      </c>
      <c r="K625">
        <f t="shared" si="90"/>
        <v>46.916666666666664</v>
      </c>
      <c r="L625">
        <f t="shared" si="91"/>
        <v>66.8</v>
      </c>
      <c r="M625">
        <f t="shared" si="92"/>
        <v>26.962499999999999</v>
      </c>
      <c r="N625">
        <f t="shared" si="93"/>
        <v>1.925</v>
      </c>
      <c r="O625">
        <f t="shared" si="94"/>
        <v>12.2125</v>
      </c>
      <c r="P625">
        <f t="shared" si="95"/>
        <v>10.454545454545455</v>
      </c>
      <c r="Q625">
        <f t="shared" si="96"/>
        <v>11.601851851851851</v>
      </c>
      <c r="R625">
        <f t="shared" si="97"/>
        <v>66.8</v>
      </c>
      <c r="S625" t="str">
        <f t="shared" si="98"/>
        <v>Satisfactory</v>
      </c>
      <c r="T625" t="str">
        <f t="shared" si="99"/>
        <v>PM10</v>
      </c>
      <c r="U625">
        <v>23.7</v>
      </c>
      <c r="V625">
        <v>68.67</v>
      </c>
    </row>
    <row r="626" spans="1:22" x14ac:dyDescent="0.3">
      <c r="A626" s="2" t="s">
        <v>15</v>
      </c>
      <c r="B626">
        <v>560026</v>
      </c>
      <c r="C626" s="3">
        <v>44106</v>
      </c>
      <c r="D626">
        <v>29.75</v>
      </c>
      <c r="E626">
        <v>65.97</v>
      </c>
      <c r="F626">
        <v>20</v>
      </c>
      <c r="G626">
        <v>8.27</v>
      </c>
      <c r="H626">
        <v>9.1300000000000008</v>
      </c>
      <c r="I626">
        <v>0.65</v>
      </c>
      <c r="J626">
        <v>20.03</v>
      </c>
      <c r="K626">
        <f t="shared" ref="K626:K688" si="100">IF(ISTEXT(D626),0,IF(D626&lt;=30,D626*50/30,IF(AND(D626&gt;30,D626&lt;=60),50+(D626-30)*50/30,IF(AND(D626&gt;60,D626&lt;=90),100+(D626-60)*100/30,IF(AND(D626&gt;90,D626&lt;=120),200+(D626-90)*(100/30),IF(AND(D626&gt;120,D626&lt;=250),300+(D626-120)*(100/130),IF(D626&gt;250,400+(D626-250)*(100/130))))))))</f>
        <v>49.583333333333336</v>
      </c>
      <c r="L626">
        <f t="shared" ref="L626:L688" si="101">IF(ISTEXT(E626),0,IF(E626&lt;=50,E626,IF(AND(E626&gt;50,E626&lt;=100),E626,IF(AND(E626&gt;100,E626&lt;=250),100+(E626-100)*100/150,IF(AND(E626&gt;250,E626&lt;=350),200+(E626-250),IF(AND(E626&gt;350,E626&lt;=430),300+(E626-350)*(100/80),IF(E626&gt;430,400+(E626-430)*(100/80))))))))</f>
        <v>65.97</v>
      </c>
      <c r="M626">
        <f t="shared" ref="M626:M688" si="102">IF(ISTEXT(F626),0,IF(F626&lt;=40,F626*50/40,IF(AND(F626&gt;40,F626&lt;=80),50+(F626-40)*50/40,IF(AND(F626&gt;80,F626&lt;=180),100+(F626-80)*100/100,IF(AND(F626&gt;180,F626&lt;=280),200+(F626-180)*(100/100),IF(AND(F626&gt;280,F626&lt;=400),300+(F626-280)*(100/120),IF(F626&gt;400,400+(F626-400)*(100/120))))))))</f>
        <v>25</v>
      </c>
      <c r="N626">
        <f t="shared" ref="N626:N688" si="103">IF(ISTEXT(G626),0,IF(G626&lt;=200,G626*50/200,IF(AND(G626&gt;200,G626&lt;=400),50+(G626-200)*50/200,IF(AND(G626&gt;400,G626&lt;=800),100+(G626-400)*100/400,IF(AND(G626&gt;800,G626&lt;=1200),200+(G626-800)*(100/400),IF(AND(G626&gt;1200,G626&lt;=1800),300+(G626-1200)*(100/600),IF(G626&gt;1800,400+(G626-1800)*(100/600))))))))</f>
        <v>2.0674999999999999</v>
      </c>
      <c r="O626">
        <f t="shared" ref="O626:O688" si="104">IF(ISTEXT(H626),0,IF(H626&lt;=40,H626*50/40,IF(AND(H626&gt;40,H626&lt;=80),50+(H626-40)*50/40,IF(AND(H626&gt;80,H626&lt;=380),100+(H626-80)*100/300,IF(AND(H626&gt;380,H626&lt;=800),200+(H626-380)*(100/420),IF(AND(H626&gt;800,H626&lt;=1600),300+(H626-800)*(100/800),IF(H626&gt;1600,400+(H626-1600)*(100/800))))))))</f>
        <v>11.412500000000001</v>
      </c>
      <c r="P626">
        <f t="shared" ref="P626:P688" si="105">IF(I626&lt;=4.4,(50-0)/(4.4-0)*(I626-0)+0,
IF(I626&lt;=9.4,(100-51)/(9.4-4.5)*(I626-4.5)+51,
IF(I626&lt;=12.4,(150-101)/(12.4-9.5)*(I626-9.5)+101,
IF(I626&lt;=15.4,(200-151)/(15.4-12.5)*(I626-12.5)+151,
IF(I626&lt;=30.4,(300-201)/(30.4-15.5)*(I626-15.5)+201,
(500-301)/(50.4-30.5)*(I626-30.5)+301)))))</f>
        <v>7.3863636363636367</v>
      </c>
      <c r="Q626">
        <f t="shared" ref="Q626:Q688" si="106">IF(J626&lt;=54,(50-0)/(54-0)*(J626-0)+0,
IF(J626&lt;=70,(100-51)/(70-55)*(J626-55)+51,
IF(J626&lt;=85,(150-101)/(85-71)*(J626-71)+101,
IF(J626&lt;=105,(200-151)/(105-86)*(J626-86)+151,
IF(J626&lt;=200,(300-201)/(200-106)*(J626-106)+201,
(500-301)/(300-201)*(J626-201)+301)))))</f>
        <v>18.546296296296298</v>
      </c>
      <c r="R626">
        <f t="shared" ref="R626:R688" si="107">MAX(K626:Q626)</f>
        <v>65.97</v>
      </c>
      <c r="S626" t="str">
        <f t="shared" ref="S626:S688" si="108">IF(R626&lt;=50,"Good",
IF(R626&lt;=100,"Satisfactory",
IF(R626&lt;=200,"Moderate",
IF(R626&lt;=300,"Poor",
IF(R626&lt;=400,"Very Poor",
"Severe")))))</f>
        <v>Satisfactory</v>
      </c>
      <c r="T626" t="str">
        <f t="shared" ref="T626:T688" si="109">IF(MAX(K626:Q626)=K626,"PM2.5",
IF(MAX(K626:Q626)=L626,"PM10",
IF(MAX(K626:Q626)=M626,"NO2",
IF(MAX(K626:Q626)=N626,"NH3",
IF(MAX(K626:Q626)=O626,"SO2",
IF(MAX(K626:Q626)=P626,"CO",
IF(MAX(K626:Q626)=Q626,"OZONE","")))))))</f>
        <v>PM10</v>
      </c>
      <c r="U626">
        <v>24.81</v>
      </c>
      <c r="V626">
        <v>69.23</v>
      </c>
    </row>
    <row r="627" spans="1:22" x14ac:dyDescent="0.3">
      <c r="A627" s="2" t="s">
        <v>15</v>
      </c>
      <c r="B627">
        <v>560026</v>
      </c>
      <c r="C627" s="3">
        <v>44107</v>
      </c>
      <c r="D627">
        <v>59.29</v>
      </c>
      <c r="E627">
        <v>94.01</v>
      </c>
      <c r="F627">
        <v>17.829999999999998</v>
      </c>
      <c r="G627">
        <v>8.44</v>
      </c>
      <c r="H627">
        <v>14.92</v>
      </c>
      <c r="I627">
        <v>0.71</v>
      </c>
      <c r="J627">
        <v>18.11</v>
      </c>
      <c r="K627">
        <f t="shared" si="100"/>
        <v>98.816666666666663</v>
      </c>
      <c r="L627">
        <f t="shared" si="101"/>
        <v>94.01</v>
      </c>
      <c r="M627">
        <f t="shared" si="102"/>
        <v>22.287499999999998</v>
      </c>
      <c r="N627">
        <f t="shared" si="103"/>
        <v>2.11</v>
      </c>
      <c r="O627">
        <f t="shared" si="104"/>
        <v>18.649999999999999</v>
      </c>
      <c r="P627">
        <f t="shared" si="105"/>
        <v>8.0681818181818183</v>
      </c>
      <c r="Q627">
        <f t="shared" si="106"/>
        <v>16.768518518518519</v>
      </c>
      <c r="R627">
        <f t="shared" si="107"/>
        <v>98.816666666666663</v>
      </c>
      <c r="S627" t="str">
        <f t="shared" si="108"/>
        <v>Satisfactory</v>
      </c>
      <c r="T627" t="str">
        <f t="shared" si="109"/>
        <v>PM2.5</v>
      </c>
      <c r="U627">
        <v>23.73</v>
      </c>
      <c r="V627">
        <v>75.86</v>
      </c>
    </row>
    <row r="628" spans="1:22" x14ac:dyDescent="0.3">
      <c r="A628" s="2" t="s">
        <v>15</v>
      </c>
      <c r="B628">
        <v>560026</v>
      </c>
      <c r="C628" s="3">
        <v>44108</v>
      </c>
      <c r="D628">
        <v>79.61</v>
      </c>
      <c r="E628">
        <v>145.47</v>
      </c>
      <c r="F628">
        <v>12.99</v>
      </c>
      <c r="G628">
        <v>8.9</v>
      </c>
      <c r="H628">
        <v>13.76</v>
      </c>
      <c r="I628">
        <v>0.8</v>
      </c>
      <c r="J628">
        <v>12.63</v>
      </c>
      <c r="K628">
        <f t="shared" si="100"/>
        <v>165.36666666666667</v>
      </c>
      <c r="L628">
        <f t="shared" si="101"/>
        <v>130.31333333333333</v>
      </c>
      <c r="M628">
        <f t="shared" si="102"/>
        <v>16.237500000000001</v>
      </c>
      <c r="N628">
        <f t="shared" si="103"/>
        <v>2.2250000000000001</v>
      </c>
      <c r="O628">
        <f t="shared" si="104"/>
        <v>17.2</v>
      </c>
      <c r="P628">
        <f t="shared" si="105"/>
        <v>9.0909090909090917</v>
      </c>
      <c r="Q628">
        <f t="shared" si="106"/>
        <v>11.694444444444445</v>
      </c>
      <c r="R628">
        <f t="shared" si="107"/>
        <v>165.36666666666667</v>
      </c>
      <c r="S628" t="str">
        <f t="shared" si="108"/>
        <v>Moderate</v>
      </c>
      <c r="T628" t="str">
        <f t="shared" si="109"/>
        <v>PM2.5</v>
      </c>
      <c r="U628">
        <v>22.42</v>
      </c>
      <c r="V628">
        <v>77.02</v>
      </c>
    </row>
    <row r="629" spans="1:22" x14ac:dyDescent="0.3">
      <c r="A629" s="2" t="s">
        <v>15</v>
      </c>
      <c r="B629">
        <v>560026</v>
      </c>
      <c r="C629" s="3">
        <v>44109</v>
      </c>
      <c r="D629">
        <v>36.83</v>
      </c>
      <c r="E629">
        <v>83.4</v>
      </c>
      <c r="F629">
        <v>22.46</v>
      </c>
      <c r="G629">
        <v>8.68</v>
      </c>
      <c r="H629">
        <v>9.32</v>
      </c>
      <c r="I629">
        <v>0.93</v>
      </c>
      <c r="J629">
        <v>15.56</v>
      </c>
      <c r="K629">
        <f t="shared" si="100"/>
        <v>61.383333333333326</v>
      </c>
      <c r="L629">
        <f t="shared" si="101"/>
        <v>83.4</v>
      </c>
      <c r="M629">
        <f t="shared" si="102"/>
        <v>28.074999999999999</v>
      </c>
      <c r="N629">
        <f t="shared" si="103"/>
        <v>2.17</v>
      </c>
      <c r="O629">
        <f t="shared" si="104"/>
        <v>11.65</v>
      </c>
      <c r="P629">
        <f t="shared" si="105"/>
        <v>10.568181818181818</v>
      </c>
      <c r="Q629">
        <f t="shared" si="106"/>
        <v>14.407407407407408</v>
      </c>
      <c r="R629">
        <f t="shared" si="107"/>
        <v>83.4</v>
      </c>
      <c r="S629" t="str">
        <f t="shared" si="108"/>
        <v>Satisfactory</v>
      </c>
      <c r="T629" t="str">
        <f t="shared" si="109"/>
        <v>PM10</v>
      </c>
      <c r="U629">
        <v>23.68</v>
      </c>
      <c r="V629">
        <v>69.48</v>
      </c>
    </row>
    <row r="630" spans="1:22" x14ac:dyDescent="0.3">
      <c r="A630" s="2" t="s">
        <v>15</v>
      </c>
      <c r="B630">
        <v>560026</v>
      </c>
      <c r="C630" s="3">
        <v>44110</v>
      </c>
      <c r="D630">
        <v>40.65</v>
      </c>
      <c r="E630">
        <v>94.75</v>
      </c>
      <c r="F630">
        <v>28.18</v>
      </c>
      <c r="G630">
        <v>9.4</v>
      </c>
      <c r="H630">
        <v>9.19</v>
      </c>
      <c r="I630">
        <v>0.87</v>
      </c>
      <c r="J630">
        <v>19.96</v>
      </c>
      <c r="K630">
        <f t="shared" si="100"/>
        <v>67.75</v>
      </c>
      <c r="L630">
        <f t="shared" si="101"/>
        <v>94.75</v>
      </c>
      <c r="M630">
        <f t="shared" si="102"/>
        <v>35.225000000000001</v>
      </c>
      <c r="N630">
        <f t="shared" si="103"/>
        <v>2.35</v>
      </c>
      <c r="O630">
        <f t="shared" si="104"/>
        <v>11.487500000000001</v>
      </c>
      <c r="P630">
        <f t="shared" si="105"/>
        <v>9.8863636363636367</v>
      </c>
      <c r="Q630">
        <f t="shared" si="106"/>
        <v>18.481481481481481</v>
      </c>
      <c r="R630">
        <f t="shared" si="107"/>
        <v>94.75</v>
      </c>
      <c r="S630" t="str">
        <f t="shared" si="108"/>
        <v>Satisfactory</v>
      </c>
      <c r="T630" t="str">
        <f t="shared" si="109"/>
        <v>PM10</v>
      </c>
      <c r="U630">
        <v>25.7</v>
      </c>
      <c r="V630">
        <v>64.36</v>
      </c>
    </row>
    <row r="631" spans="1:22" x14ac:dyDescent="0.3">
      <c r="A631" s="2" t="s">
        <v>15</v>
      </c>
      <c r="B631">
        <v>560026</v>
      </c>
      <c r="C631" s="3">
        <v>44111</v>
      </c>
      <c r="D631">
        <v>39.56</v>
      </c>
      <c r="E631">
        <v>87.55</v>
      </c>
      <c r="F631">
        <v>22.97</v>
      </c>
      <c r="G631">
        <v>9.01</v>
      </c>
      <c r="H631">
        <v>10.01</v>
      </c>
      <c r="I631">
        <v>0.81</v>
      </c>
      <c r="J631">
        <v>22.5</v>
      </c>
      <c r="K631">
        <f t="shared" si="100"/>
        <v>65.933333333333337</v>
      </c>
      <c r="L631">
        <f t="shared" si="101"/>
        <v>87.55</v>
      </c>
      <c r="M631">
        <f t="shared" si="102"/>
        <v>28.712499999999999</v>
      </c>
      <c r="N631">
        <f t="shared" si="103"/>
        <v>2.2524999999999999</v>
      </c>
      <c r="O631">
        <f t="shared" si="104"/>
        <v>12.512499999999999</v>
      </c>
      <c r="P631">
        <f t="shared" si="105"/>
        <v>9.204545454545455</v>
      </c>
      <c r="Q631">
        <f t="shared" si="106"/>
        <v>20.833333333333332</v>
      </c>
      <c r="R631">
        <f t="shared" si="107"/>
        <v>87.55</v>
      </c>
      <c r="S631" t="str">
        <f t="shared" si="108"/>
        <v>Satisfactory</v>
      </c>
      <c r="T631" t="str">
        <f t="shared" si="109"/>
        <v>PM10</v>
      </c>
      <c r="U631">
        <v>25.7</v>
      </c>
      <c r="V631">
        <v>67.3</v>
      </c>
    </row>
    <row r="632" spans="1:22" x14ac:dyDescent="0.3">
      <c r="A632" s="2" t="s">
        <v>15</v>
      </c>
      <c r="B632">
        <v>560026</v>
      </c>
      <c r="C632" s="3">
        <v>44112</v>
      </c>
      <c r="D632">
        <v>48.01</v>
      </c>
      <c r="E632">
        <v>106.15</v>
      </c>
      <c r="F632">
        <v>26.06</v>
      </c>
      <c r="G632">
        <v>9.2799999999999994</v>
      </c>
      <c r="H632">
        <v>13.64</v>
      </c>
      <c r="I632">
        <v>0.39</v>
      </c>
      <c r="J632">
        <v>17.47</v>
      </c>
      <c r="K632">
        <f t="shared" si="100"/>
        <v>80.016666666666666</v>
      </c>
      <c r="L632">
        <f t="shared" si="101"/>
        <v>104.10000000000001</v>
      </c>
      <c r="M632">
        <f t="shared" si="102"/>
        <v>32.575000000000003</v>
      </c>
      <c r="N632">
        <f t="shared" si="103"/>
        <v>2.3199999999999998</v>
      </c>
      <c r="O632">
        <f t="shared" si="104"/>
        <v>17.05</v>
      </c>
      <c r="P632">
        <f t="shared" si="105"/>
        <v>4.4318181818181817</v>
      </c>
      <c r="Q632">
        <f t="shared" si="106"/>
        <v>16.175925925925924</v>
      </c>
      <c r="R632">
        <f t="shared" si="107"/>
        <v>104.10000000000001</v>
      </c>
      <c r="S632" t="str">
        <f t="shared" si="108"/>
        <v>Moderate</v>
      </c>
      <c r="T632" t="str">
        <f t="shared" si="109"/>
        <v>PM10</v>
      </c>
      <c r="U632">
        <v>26.5</v>
      </c>
      <c r="V632">
        <v>63.66</v>
      </c>
    </row>
    <row r="633" spans="1:22" x14ac:dyDescent="0.3">
      <c r="A633" s="2" t="s">
        <v>15</v>
      </c>
      <c r="B633">
        <v>560026</v>
      </c>
      <c r="C633" s="3">
        <v>44113</v>
      </c>
      <c r="D633">
        <v>63.83</v>
      </c>
      <c r="E633">
        <v>122.86</v>
      </c>
      <c r="F633">
        <v>20.309999999999999</v>
      </c>
      <c r="G633">
        <v>9.66</v>
      </c>
      <c r="H633">
        <v>15.24</v>
      </c>
      <c r="I633">
        <v>0.55000000000000004</v>
      </c>
      <c r="J633">
        <v>8.07</v>
      </c>
      <c r="K633">
        <f t="shared" si="100"/>
        <v>112.76666666666667</v>
      </c>
      <c r="L633">
        <f t="shared" si="101"/>
        <v>115.24</v>
      </c>
      <c r="M633">
        <f t="shared" si="102"/>
        <v>25.387499999999996</v>
      </c>
      <c r="N633">
        <f t="shared" si="103"/>
        <v>2.415</v>
      </c>
      <c r="O633">
        <f t="shared" si="104"/>
        <v>19.05</v>
      </c>
      <c r="P633">
        <f t="shared" si="105"/>
        <v>6.25</v>
      </c>
      <c r="Q633">
        <f t="shared" si="106"/>
        <v>7.4722222222222223</v>
      </c>
      <c r="R633">
        <f t="shared" si="107"/>
        <v>115.24</v>
      </c>
      <c r="S633" t="str">
        <f t="shared" si="108"/>
        <v>Moderate</v>
      </c>
      <c r="T633" t="str">
        <f t="shared" si="109"/>
        <v>PM10</v>
      </c>
      <c r="U633">
        <v>24.36</v>
      </c>
      <c r="V633">
        <v>76.2</v>
      </c>
    </row>
    <row r="634" spans="1:22" x14ac:dyDescent="0.3">
      <c r="A634" s="2" t="s">
        <v>15</v>
      </c>
      <c r="B634">
        <v>560026</v>
      </c>
      <c r="C634" s="3">
        <v>44114</v>
      </c>
      <c r="D634">
        <v>34.81</v>
      </c>
      <c r="E634">
        <v>67.42</v>
      </c>
      <c r="F634">
        <v>21.92</v>
      </c>
      <c r="G634">
        <v>8.11</v>
      </c>
      <c r="H634">
        <v>11.01</v>
      </c>
      <c r="I634">
        <v>0.6</v>
      </c>
      <c r="J634">
        <v>23.95</v>
      </c>
      <c r="K634">
        <f t="shared" si="100"/>
        <v>58.016666666666673</v>
      </c>
      <c r="L634">
        <f t="shared" si="101"/>
        <v>67.42</v>
      </c>
      <c r="M634">
        <f t="shared" si="102"/>
        <v>27.4</v>
      </c>
      <c r="N634">
        <f t="shared" si="103"/>
        <v>2.0274999999999999</v>
      </c>
      <c r="O634">
        <f t="shared" si="104"/>
        <v>13.762499999999999</v>
      </c>
      <c r="P634">
        <f t="shared" si="105"/>
        <v>6.8181818181818175</v>
      </c>
      <c r="Q634">
        <f t="shared" si="106"/>
        <v>22.175925925925924</v>
      </c>
      <c r="R634">
        <f t="shared" si="107"/>
        <v>67.42</v>
      </c>
      <c r="S634" t="str">
        <f t="shared" si="108"/>
        <v>Satisfactory</v>
      </c>
      <c r="T634" t="str">
        <f t="shared" si="109"/>
        <v>PM10</v>
      </c>
      <c r="U634">
        <v>23.3</v>
      </c>
      <c r="V634">
        <v>76.52</v>
      </c>
    </row>
    <row r="635" spans="1:22" x14ac:dyDescent="0.3">
      <c r="A635" s="2" t="s">
        <v>15</v>
      </c>
      <c r="B635">
        <v>560026</v>
      </c>
      <c r="C635" s="3">
        <v>44115</v>
      </c>
      <c r="D635">
        <v>27.12</v>
      </c>
      <c r="E635">
        <v>38.6</v>
      </c>
      <c r="F635">
        <v>16.37</v>
      </c>
      <c r="G635">
        <v>8.19</v>
      </c>
      <c r="H635">
        <v>9.1999999999999993</v>
      </c>
      <c r="I635">
        <v>0.52</v>
      </c>
      <c r="J635">
        <v>21.62</v>
      </c>
      <c r="K635">
        <f t="shared" si="100"/>
        <v>45.2</v>
      </c>
      <c r="L635">
        <f t="shared" si="101"/>
        <v>38.6</v>
      </c>
      <c r="M635">
        <f t="shared" si="102"/>
        <v>20.462499999999999</v>
      </c>
      <c r="N635">
        <f t="shared" si="103"/>
        <v>2.0474999999999999</v>
      </c>
      <c r="O635">
        <f t="shared" si="104"/>
        <v>11.499999999999998</v>
      </c>
      <c r="P635">
        <f t="shared" si="105"/>
        <v>5.9090909090909092</v>
      </c>
      <c r="Q635">
        <f t="shared" si="106"/>
        <v>20.018518518518519</v>
      </c>
      <c r="R635">
        <f t="shared" si="107"/>
        <v>45.2</v>
      </c>
      <c r="S635" t="str">
        <f t="shared" si="108"/>
        <v>Good</v>
      </c>
      <c r="T635" t="str">
        <f t="shared" si="109"/>
        <v>PM2.5</v>
      </c>
      <c r="U635">
        <v>21.95</v>
      </c>
      <c r="V635">
        <v>83.96</v>
      </c>
    </row>
    <row r="636" spans="1:22" x14ac:dyDescent="0.3">
      <c r="A636" s="2" t="s">
        <v>15</v>
      </c>
      <c r="B636">
        <v>560026</v>
      </c>
      <c r="C636" s="3">
        <v>44116</v>
      </c>
      <c r="D636">
        <v>44.88</v>
      </c>
      <c r="E636">
        <v>67.260000000000005</v>
      </c>
      <c r="F636">
        <v>21.7</v>
      </c>
      <c r="G636">
        <v>8.6199999999999992</v>
      </c>
      <c r="H636">
        <v>12.33</v>
      </c>
      <c r="I636">
        <v>0.57999999999999996</v>
      </c>
      <c r="J636">
        <v>21.97</v>
      </c>
      <c r="K636">
        <f t="shared" si="100"/>
        <v>74.800000000000011</v>
      </c>
      <c r="L636">
        <f t="shared" si="101"/>
        <v>67.260000000000005</v>
      </c>
      <c r="M636">
        <f t="shared" si="102"/>
        <v>27.125</v>
      </c>
      <c r="N636">
        <f t="shared" si="103"/>
        <v>2.1549999999999998</v>
      </c>
      <c r="O636">
        <f t="shared" si="104"/>
        <v>15.4125</v>
      </c>
      <c r="P636">
        <f t="shared" si="105"/>
        <v>6.5909090909090899</v>
      </c>
      <c r="Q636">
        <f t="shared" si="106"/>
        <v>20.342592592592592</v>
      </c>
      <c r="R636">
        <f t="shared" si="107"/>
        <v>74.800000000000011</v>
      </c>
      <c r="S636" t="str">
        <f t="shared" si="108"/>
        <v>Satisfactory</v>
      </c>
      <c r="T636" t="str">
        <f t="shared" si="109"/>
        <v>PM2.5</v>
      </c>
      <c r="U636">
        <v>21.66</v>
      </c>
      <c r="V636">
        <v>83.42</v>
      </c>
    </row>
    <row r="637" spans="1:22" x14ac:dyDescent="0.3">
      <c r="A637" s="2" t="s">
        <v>15</v>
      </c>
      <c r="B637">
        <v>560026</v>
      </c>
      <c r="C637" s="3">
        <v>44117</v>
      </c>
      <c r="D637">
        <v>37.46</v>
      </c>
      <c r="E637">
        <v>62.92</v>
      </c>
      <c r="F637">
        <v>20.99</v>
      </c>
      <c r="G637">
        <v>8.65</v>
      </c>
      <c r="H637">
        <v>12</v>
      </c>
      <c r="I637">
        <v>0.57999999999999996</v>
      </c>
      <c r="J637">
        <v>25.22</v>
      </c>
      <c r="K637">
        <f t="shared" si="100"/>
        <v>62.433333333333337</v>
      </c>
      <c r="L637">
        <f t="shared" si="101"/>
        <v>62.92</v>
      </c>
      <c r="M637">
        <f t="shared" si="102"/>
        <v>26.237500000000001</v>
      </c>
      <c r="N637">
        <f t="shared" si="103"/>
        <v>2.1625000000000001</v>
      </c>
      <c r="O637">
        <f t="shared" si="104"/>
        <v>15</v>
      </c>
      <c r="P637">
        <f t="shared" si="105"/>
        <v>6.5909090909090899</v>
      </c>
      <c r="Q637">
        <f t="shared" si="106"/>
        <v>23.351851851851851</v>
      </c>
      <c r="R637">
        <f t="shared" si="107"/>
        <v>62.92</v>
      </c>
      <c r="S637" t="str">
        <f t="shared" si="108"/>
        <v>Satisfactory</v>
      </c>
      <c r="T637" t="str">
        <f t="shared" si="109"/>
        <v>PM10</v>
      </c>
      <c r="U637">
        <v>21.3</v>
      </c>
      <c r="V637">
        <v>82.79</v>
      </c>
    </row>
    <row r="638" spans="1:22" x14ac:dyDescent="0.3">
      <c r="A638" s="2" t="s">
        <v>15</v>
      </c>
      <c r="B638">
        <v>560026</v>
      </c>
      <c r="C638" s="3">
        <v>44118</v>
      </c>
      <c r="D638">
        <v>52.99</v>
      </c>
      <c r="E638">
        <v>83.68</v>
      </c>
      <c r="F638">
        <v>18.13</v>
      </c>
      <c r="G638">
        <v>8.67</v>
      </c>
      <c r="H638">
        <v>12.15</v>
      </c>
      <c r="I638">
        <v>0.6</v>
      </c>
      <c r="J638">
        <v>21.61</v>
      </c>
      <c r="K638">
        <f t="shared" si="100"/>
        <v>88.316666666666663</v>
      </c>
      <c r="L638">
        <f t="shared" si="101"/>
        <v>83.68</v>
      </c>
      <c r="M638">
        <f t="shared" si="102"/>
        <v>22.662500000000001</v>
      </c>
      <c r="N638">
        <f t="shared" si="103"/>
        <v>2.1675</v>
      </c>
      <c r="O638">
        <f t="shared" si="104"/>
        <v>15.1875</v>
      </c>
      <c r="P638">
        <f t="shared" si="105"/>
        <v>6.8181818181818175</v>
      </c>
      <c r="Q638">
        <f t="shared" si="106"/>
        <v>20.00925925925926</v>
      </c>
      <c r="R638">
        <f t="shared" si="107"/>
        <v>88.316666666666663</v>
      </c>
      <c r="S638" t="str">
        <f t="shared" si="108"/>
        <v>Satisfactory</v>
      </c>
      <c r="T638" t="str">
        <f t="shared" si="109"/>
        <v>PM2.5</v>
      </c>
      <c r="U638">
        <v>21.35</v>
      </c>
      <c r="V638">
        <v>78.739999999999995</v>
      </c>
    </row>
    <row r="639" spans="1:22" x14ac:dyDescent="0.3">
      <c r="A639" s="2" t="s">
        <v>15</v>
      </c>
      <c r="B639">
        <v>560026</v>
      </c>
      <c r="C639" s="3">
        <v>44119</v>
      </c>
      <c r="D639">
        <v>31.59</v>
      </c>
      <c r="E639">
        <v>65.58</v>
      </c>
      <c r="F639">
        <v>16.2</v>
      </c>
      <c r="G639">
        <v>8.4700000000000006</v>
      </c>
      <c r="H639">
        <v>11.44</v>
      </c>
      <c r="I639">
        <v>0.46</v>
      </c>
      <c r="J639">
        <v>16.27</v>
      </c>
      <c r="K639">
        <f t="shared" si="100"/>
        <v>52.65</v>
      </c>
      <c r="L639">
        <f t="shared" si="101"/>
        <v>65.58</v>
      </c>
      <c r="M639">
        <f t="shared" si="102"/>
        <v>20.25</v>
      </c>
      <c r="N639">
        <f t="shared" si="103"/>
        <v>2.1175000000000002</v>
      </c>
      <c r="O639">
        <f t="shared" si="104"/>
        <v>14.3</v>
      </c>
      <c r="P639">
        <f t="shared" si="105"/>
        <v>5.2272727272727275</v>
      </c>
      <c r="Q639">
        <f t="shared" si="106"/>
        <v>15.064814814814815</v>
      </c>
      <c r="R639">
        <f t="shared" si="107"/>
        <v>65.58</v>
      </c>
      <c r="S639" t="str">
        <f t="shared" si="108"/>
        <v>Satisfactory</v>
      </c>
      <c r="T639" t="str">
        <f t="shared" si="109"/>
        <v>PM10</v>
      </c>
      <c r="U639">
        <v>22.45</v>
      </c>
      <c r="V639">
        <v>75.540000000000006</v>
      </c>
    </row>
    <row r="640" spans="1:22" x14ac:dyDescent="0.3">
      <c r="A640" s="2" t="s">
        <v>15</v>
      </c>
      <c r="B640">
        <v>560026</v>
      </c>
      <c r="C640" s="3">
        <v>44120</v>
      </c>
      <c r="D640">
        <v>43.29</v>
      </c>
      <c r="E640">
        <v>97.48</v>
      </c>
      <c r="F640">
        <v>21.89</v>
      </c>
      <c r="G640">
        <v>9.0299999999999994</v>
      </c>
      <c r="H640">
        <v>10.72</v>
      </c>
      <c r="I640">
        <v>0.71</v>
      </c>
      <c r="J640">
        <v>24.83</v>
      </c>
      <c r="K640">
        <f t="shared" si="100"/>
        <v>72.150000000000006</v>
      </c>
      <c r="L640">
        <f t="shared" si="101"/>
        <v>97.48</v>
      </c>
      <c r="M640">
        <f t="shared" si="102"/>
        <v>27.362500000000001</v>
      </c>
      <c r="N640">
        <f t="shared" si="103"/>
        <v>2.2574999999999998</v>
      </c>
      <c r="O640">
        <f t="shared" si="104"/>
        <v>13.4</v>
      </c>
      <c r="P640">
        <f t="shared" si="105"/>
        <v>8.0681818181818183</v>
      </c>
      <c r="Q640">
        <f t="shared" si="106"/>
        <v>22.99074074074074</v>
      </c>
      <c r="R640">
        <f t="shared" si="107"/>
        <v>97.48</v>
      </c>
      <c r="S640" t="str">
        <f t="shared" si="108"/>
        <v>Satisfactory</v>
      </c>
      <c r="T640" t="str">
        <f t="shared" si="109"/>
        <v>PM10</v>
      </c>
      <c r="U640">
        <v>23.52</v>
      </c>
      <c r="V640">
        <v>70.260000000000005</v>
      </c>
    </row>
    <row r="641" spans="1:22" x14ac:dyDescent="0.3">
      <c r="A641" s="2" t="s">
        <v>15</v>
      </c>
      <c r="B641">
        <v>560026</v>
      </c>
      <c r="C641" s="3">
        <v>44121</v>
      </c>
      <c r="D641">
        <v>52.11</v>
      </c>
      <c r="E641">
        <v>110.34</v>
      </c>
      <c r="F641">
        <v>25.84</v>
      </c>
      <c r="G641">
        <v>9.1999999999999993</v>
      </c>
      <c r="H641">
        <v>12.23</v>
      </c>
      <c r="I641">
        <v>0.99</v>
      </c>
      <c r="J641">
        <v>22.62</v>
      </c>
      <c r="K641">
        <f t="shared" si="100"/>
        <v>86.85</v>
      </c>
      <c r="L641">
        <f t="shared" si="101"/>
        <v>106.89333333333333</v>
      </c>
      <c r="M641">
        <f t="shared" si="102"/>
        <v>32.299999999999997</v>
      </c>
      <c r="N641">
        <f t="shared" si="103"/>
        <v>2.2999999999999998</v>
      </c>
      <c r="O641">
        <f t="shared" si="104"/>
        <v>15.2875</v>
      </c>
      <c r="P641">
        <f t="shared" si="105"/>
        <v>11.25</v>
      </c>
      <c r="Q641">
        <f t="shared" si="106"/>
        <v>20.944444444444446</v>
      </c>
      <c r="R641">
        <f t="shared" si="107"/>
        <v>106.89333333333333</v>
      </c>
      <c r="S641" t="str">
        <f t="shared" si="108"/>
        <v>Moderate</v>
      </c>
      <c r="T641" t="str">
        <f t="shared" si="109"/>
        <v>PM10</v>
      </c>
      <c r="U641">
        <v>23.9</v>
      </c>
      <c r="V641">
        <v>66.680000000000007</v>
      </c>
    </row>
    <row r="642" spans="1:22" x14ac:dyDescent="0.3">
      <c r="A642" s="2" t="s">
        <v>15</v>
      </c>
      <c r="B642">
        <v>560026</v>
      </c>
      <c r="C642" s="3">
        <v>44122</v>
      </c>
      <c r="D642">
        <v>42.93</v>
      </c>
      <c r="E642">
        <v>92.82</v>
      </c>
      <c r="F642">
        <v>22.71</v>
      </c>
      <c r="G642">
        <v>8.75</v>
      </c>
      <c r="H642">
        <v>10.38</v>
      </c>
      <c r="I642">
        <v>0.96</v>
      </c>
      <c r="J642">
        <v>15.98</v>
      </c>
      <c r="K642">
        <f t="shared" si="100"/>
        <v>71.55</v>
      </c>
      <c r="L642">
        <f t="shared" si="101"/>
        <v>92.82</v>
      </c>
      <c r="M642">
        <f t="shared" si="102"/>
        <v>28.387499999999999</v>
      </c>
      <c r="N642">
        <f t="shared" si="103"/>
        <v>2.1875</v>
      </c>
      <c r="O642">
        <f t="shared" si="104"/>
        <v>12.975</v>
      </c>
      <c r="P642">
        <f t="shared" si="105"/>
        <v>10.909090909090908</v>
      </c>
      <c r="Q642">
        <f t="shared" si="106"/>
        <v>14.796296296296298</v>
      </c>
      <c r="R642">
        <f t="shared" si="107"/>
        <v>92.82</v>
      </c>
      <c r="S642" t="str">
        <f t="shared" si="108"/>
        <v>Satisfactory</v>
      </c>
      <c r="T642" t="str">
        <f t="shared" si="109"/>
        <v>PM10</v>
      </c>
      <c r="U642">
        <v>23.87</v>
      </c>
      <c r="V642">
        <v>73.28</v>
      </c>
    </row>
    <row r="643" spans="1:22" x14ac:dyDescent="0.3">
      <c r="A643" s="2" t="s">
        <v>15</v>
      </c>
      <c r="B643">
        <v>560026</v>
      </c>
      <c r="C643" s="3">
        <v>44123</v>
      </c>
      <c r="D643">
        <v>47.58</v>
      </c>
      <c r="E643">
        <v>109.6</v>
      </c>
      <c r="F643">
        <v>26.69</v>
      </c>
      <c r="G643">
        <v>8.25</v>
      </c>
      <c r="H643">
        <v>12.44</v>
      </c>
      <c r="I643">
        <v>1.69</v>
      </c>
      <c r="J643">
        <v>10.7</v>
      </c>
      <c r="K643">
        <f t="shared" si="100"/>
        <v>79.3</v>
      </c>
      <c r="L643">
        <f t="shared" si="101"/>
        <v>106.39999999999999</v>
      </c>
      <c r="M643">
        <f t="shared" si="102"/>
        <v>33.362499999999997</v>
      </c>
      <c r="N643">
        <f t="shared" si="103"/>
        <v>2.0625</v>
      </c>
      <c r="O643">
        <f t="shared" si="104"/>
        <v>15.55</v>
      </c>
      <c r="P643">
        <f t="shared" si="105"/>
        <v>19.204545454545453</v>
      </c>
      <c r="Q643">
        <f t="shared" si="106"/>
        <v>9.9074074074074066</v>
      </c>
      <c r="R643">
        <f t="shared" si="107"/>
        <v>106.39999999999999</v>
      </c>
      <c r="S643" t="str">
        <f t="shared" si="108"/>
        <v>Moderate</v>
      </c>
      <c r="T643" t="str">
        <f t="shared" si="109"/>
        <v>PM10</v>
      </c>
      <c r="U643">
        <v>23.35</v>
      </c>
      <c r="V643">
        <v>80.11</v>
      </c>
    </row>
    <row r="644" spans="1:22" x14ac:dyDescent="0.3">
      <c r="A644" s="2" t="s">
        <v>15</v>
      </c>
      <c r="B644">
        <v>560026</v>
      </c>
      <c r="C644" s="3">
        <v>44124</v>
      </c>
      <c r="D644">
        <v>38.840000000000003</v>
      </c>
      <c r="E644">
        <v>72.27</v>
      </c>
      <c r="F644">
        <v>21.95</v>
      </c>
      <c r="G644">
        <v>7.92</v>
      </c>
      <c r="H644">
        <v>9.1300000000000008</v>
      </c>
      <c r="I644">
        <v>0.8</v>
      </c>
      <c r="J644">
        <v>12.78</v>
      </c>
      <c r="K644">
        <f t="shared" si="100"/>
        <v>64.733333333333334</v>
      </c>
      <c r="L644">
        <f t="shared" si="101"/>
        <v>72.27</v>
      </c>
      <c r="M644">
        <f t="shared" si="102"/>
        <v>27.4375</v>
      </c>
      <c r="N644">
        <f t="shared" si="103"/>
        <v>1.98</v>
      </c>
      <c r="O644">
        <f t="shared" si="104"/>
        <v>11.412500000000001</v>
      </c>
      <c r="P644">
        <f t="shared" si="105"/>
        <v>9.0909090909090917</v>
      </c>
      <c r="Q644">
        <f t="shared" si="106"/>
        <v>11.833333333333332</v>
      </c>
      <c r="R644">
        <f t="shared" si="107"/>
        <v>72.27</v>
      </c>
      <c r="S644" t="str">
        <f t="shared" si="108"/>
        <v>Satisfactory</v>
      </c>
      <c r="T644" t="str">
        <f t="shared" si="109"/>
        <v>PM10</v>
      </c>
      <c r="U644">
        <v>22.85</v>
      </c>
      <c r="V644">
        <v>81.77</v>
      </c>
    </row>
    <row r="645" spans="1:22" x14ac:dyDescent="0.3">
      <c r="A645" s="2" t="s">
        <v>15</v>
      </c>
      <c r="B645">
        <v>560026</v>
      </c>
      <c r="C645" s="3">
        <v>44125</v>
      </c>
      <c r="D645">
        <v>26.38</v>
      </c>
      <c r="E645">
        <v>61.49</v>
      </c>
      <c r="F645">
        <v>23.36</v>
      </c>
      <c r="G645">
        <v>7.75</v>
      </c>
      <c r="H645">
        <v>7.99</v>
      </c>
      <c r="I645">
        <v>0.9</v>
      </c>
      <c r="J645">
        <v>15.74</v>
      </c>
      <c r="K645">
        <f t="shared" si="100"/>
        <v>43.966666666666669</v>
      </c>
      <c r="L645">
        <f t="shared" si="101"/>
        <v>61.49</v>
      </c>
      <c r="M645">
        <f t="shared" si="102"/>
        <v>29.2</v>
      </c>
      <c r="N645">
        <f t="shared" si="103"/>
        <v>1.9375</v>
      </c>
      <c r="O645">
        <f t="shared" si="104"/>
        <v>9.9875000000000007</v>
      </c>
      <c r="P645">
        <f t="shared" si="105"/>
        <v>10.227272727272727</v>
      </c>
      <c r="Q645">
        <f t="shared" si="106"/>
        <v>14.574074074074074</v>
      </c>
      <c r="R645">
        <f t="shared" si="107"/>
        <v>61.49</v>
      </c>
      <c r="S645" t="str">
        <f t="shared" si="108"/>
        <v>Satisfactory</v>
      </c>
      <c r="T645" t="str">
        <f t="shared" si="109"/>
        <v>PM10</v>
      </c>
      <c r="U645">
        <v>23.64</v>
      </c>
      <c r="V645">
        <v>77.08</v>
      </c>
    </row>
    <row r="646" spans="1:22" x14ac:dyDescent="0.3">
      <c r="A646" s="2" t="s">
        <v>15</v>
      </c>
      <c r="B646">
        <v>560026</v>
      </c>
      <c r="C646" s="3">
        <v>44126</v>
      </c>
      <c r="D646">
        <v>25.97</v>
      </c>
      <c r="E646">
        <v>41.68</v>
      </c>
      <c r="F646">
        <v>16.93</v>
      </c>
      <c r="G646">
        <v>7.95</v>
      </c>
      <c r="H646">
        <v>10.9</v>
      </c>
      <c r="I646">
        <v>0.54</v>
      </c>
      <c r="J646">
        <v>14.11</v>
      </c>
      <c r="K646">
        <f t="shared" si="100"/>
        <v>43.283333333333331</v>
      </c>
      <c r="L646">
        <f t="shared" si="101"/>
        <v>41.68</v>
      </c>
      <c r="M646">
        <f t="shared" si="102"/>
        <v>21.162500000000001</v>
      </c>
      <c r="N646">
        <f t="shared" si="103"/>
        <v>1.9875</v>
      </c>
      <c r="O646">
        <f t="shared" si="104"/>
        <v>13.625</v>
      </c>
      <c r="P646">
        <f t="shared" si="105"/>
        <v>6.1363636363636367</v>
      </c>
      <c r="Q646">
        <f t="shared" si="106"/>
        <v>13.064814814814815</v>
      </c>
      <c r="R646">
        <f t="shared" si="107"/>
        <v>43.283333333333331</v>
      </c>
      <c r="S646" t="str">
        <f t="shared" si="108"/>
        <v>Good</v>
      </c>
      <c r="T646" t="str">
        <f t="shared" si="109"/>
        <v>PM2.5</v>
      </c>
      <c r="U646">
        <v>22.42</v>
      </c>
      <c r="V646">
        <v>83.14</v>
      </c>
    </row>
    <row r="647" spans="1:22" x14ac:dyDescent="0.3">
      <c r="A647" s="2" t="s">
        <v>15</v>
      </c>
      <c r="B647">
        <v>560026</v>
      </c>
      <c r="C647" s="3">
        <v>44127</v>
      </c>
      <c r="D647">
        <v>27.38</v>
      </c>
      <c r="E647">
        <v>40.44</v>
      </c>
      <c r="F647">
        <v>18.45</v>
      </c>
      <c r="G647">
        <v>7.73</v>
      </c>
      <c r="H647">
        <v>6.14</v>
      </c>
      <c r="I647">
        <v>0.33</v>
      </c>
      <c r="J647">
        <v>16.899999999999999</v>
      </c>
      <c r="K647">
        <f t="shared" si="100"/>
        <v>45.633333333333333</v>
      </c>
      <c r="L647">
        <f t="shared" si="101"/>
        <v>40.44</v>
      </c>
      <c r="M647">
        <f t="shared" si="102"/>
        <v>23.0625</v>
      </c>
      <c r="N647">
        <f t="shared" si="103"/>
        <v>1.9325000000000001</v>
      </c>
      <c r="O647">
        <f t="shared" si="104"/>
        <v>7.6749999999999998</v>
      </c>
      <c r="P647">
        <f t="shared" si="105"/>
        <v>3.75</v>
      </c>
      <c r="Q647">
        <f t="shared" si="106"/>
        <v>15.648148148148147</v>
      </c>
      <c r="R647">
        <f t="shared" si="107"/>
        <v>45.633333333333333</v>
      </c>
      <c r="S647" t="str">
        <f t="shared" si="108"/>
        <v>Good</v>
      </c>
      <c r="T647" t="str">
        <f t="shared" si="109"/>
        <v>PM2.5</v>
      </c>
      <c r="U647">
        <v>21.8</v>
      </c>
      <c r="V647">
        <v>94.02</v>
      </c>
    </row>
    <row r="648" spans="1:22" x14ac:dyDescent="0.3">
      <c r="A648" s="2" t="s">
        <v>15</v>
      </c>
      <c r="B648">
        <v>560026</v>
      </c>
      <c r="C648" s="3">
        <v>44128</v>
      </c>
      <c r="D648">
        <v>34.119999999999997</v>
      </c>
      <c r="E648">
        <v>66.97</v>
      </c>
      <c r="F648">
        <v>22.33</v>
      </c>
      <c r="G648">
        <v>8.35</v>
      </c>
      <c r="H648">
        <v>10.68</v>
      </c>
      <c r="I648">
        <v>0.81</v>
      </c>
      <c r="J648">
        <v>14.7</v>
      </c>
      <c r="K648">
        <f t="shared" si="100"/>
        <v>56.86666666666666</v>
      </c>
      <c r="L648">
        <f t="shared" si="101"/>
        <v>66.97</v>
      </c>
      <c r="M648">
        <f t="shared" si="102"/>
        <v>27.912500000000001</v>
      </c>
      <c r="N648">
        <f t="shared" si="103"/>
        <v>2.0874999999999999</v>
      </c>
      <c r="O648">
        <f t="shared" si="104"/>
        <v>13.35</v>
      </c>
      <c r="P648">
        <f t="shared" si="105"/>
        <v>9.204545454545455</v>
      </c>
      <c r="Q648">
        <f t="shared" si="106"/>
        <v>13.611111111111111</v>
      </c>
      <c r="R648">
        <f t="shared" si="107"/>
        <v>66.97</v>
      </c>
      <c r="S648" t="str">
        <f t="shared" si="108"/>
        <v>Satisfactory</v>
      </c>
      <c r="T648" t="str">
        <f t="shared" si="109"/>
        <v>PM10</v>
      </c>
      <c r="U648">
        <v>21.69</v>
      </c>
      <c r="V648">
        <v>66.650000000000006</v>
      </c>
    </row>
    <row r="649" spans="1:22" x14ac:dyDescent="0.3">
      <c r="A649" s="2" t="s">
        <v>15</v>
      </c>
      <c r="B649">
        <v>560026</v>
      </c>
      <c r="C649" s="3">
        <v>44129</v>
      </c>
      <c r="D649">
        <v>50.42</v>
      </c>
      <c r="E649">
        <v>86.96</v>
      </c>
      <c r="F649">
        <v>22.62</v>
      </c>
      <c r="G649">
        <v>8.8000000000000007</v>
      </c>
      <c r="H649">
        <v>8.27</v>
      </c>
      <c r="I649">
        <v>0.78</v>
      </c>
      <c r="J649">
        <v>27.78</v>
      </c>
      <c r="K649">
        <f t="shared" si="100"/>
        <v>84.033333333333331</v>
      </c>
      <c r="L649">
        <f t="shared" si="101"/>
        <v>86.96</v>
      </c>
      <c r="M649">
        <f t="shared" si="102"/>
        <v>28.274999999999999</v>
      </c>
      <c r="N649">
        <f t="shared" si="103"/>
        <v>2.2000000000000002</v>
      </c>
      <c r="O649">
        <f t="shared" si="104"/>
        <v>10.3375</v>
      </c>
      <c r="P649">
        <f t="shared" si="105"/>
        <v>8.8636363636363633</v>
      </c>
      <c r="Q649">
        <f t="shared" si="106"/>
        <v>25.722222222222225</v>
      </c>
      <c r="R649">
        <f t="shared" si="107"/>
        <v>86.96</v>
      </c>
      <c r="S649" t="str">
        <f t="shared" si="108"/>
        <v>Satisfactory</v>
      </c>
      <c r="T649" t="str">
        <f t="shared" si="109"/>
        <v>PM10</v>
      </c>
      <c r="U649">
        <v>23.56</v>
      </c>
      <c r="V649">
        <v>71.123571429999998</v>
      </c>
    </row>
    <row r="650" spans="1:22" x14ac:dyDescent="0.3">
      <c r="A650" s="2" t="s">
        <v>15</v>
      </c>
      <c r="B650">
        <v>560026</v>
      </c>
      <c r="C650" s="3">
        <v>44130</v>
      </c>
      <c r="D650">
        <v>73.09</v>
      </c>
      <c r="E650">
        <v>131.86000000000001</v>
      </c>
      <c r="F650">
        <v>36.36</v>
      </c>
      <c r="G650">
        <v>10.06</v>
      </c>
      <c r="H650">
        <v>11.05</v>
      </c>
      <c r="I650">
        <v>1.32</v>
      </c>
      <c r="J650">
        <v>21.39</v>
      </c>
      <c r="K650">
        <f t="shared" si="100"/>
        <v>143.63333333333335</v>
      </c>
      <c r="L650">
        <f t="shared" si="101"/>
        <v>121.24000000000001</v>
      </c>
      <c r="M650">
        <f t="shared" si="102"/>
        <v>45.45</v>
      </c>
      <c r="N650">
        <f t="shared" si="103"/>
        <v>2.5150000000000001</v>
      </c>
      <c r="O650">
        <f t="shared" si="104"/>
        <v>13.8125</v>
      </c>
      <c r="P650">
        <f t="shared" si="105"/>
        <v>15</v>
      </c>
      <c r="Q650">
        <f t="shared" si="106"/>
        <v>19.805555555555557</v>
      </c>
      <c r="R650">
        <f t="shared" si="107"/>
        <v>143.63333333333335</v>
      </c>
      <c r="S650" t="str">
        <f t="shared" si="108"/>
        <v>Moderate</v>
      </c>
      <c r="T650" t="str">
        <f t="shared" si="109"/>
        <v>PM2.5</v>
      </c>
      <c r="U650">
        <v>24.98</v>
      </c>
      <c r="V650">
        <v>71.123571429999998</v>
      </c>
    </row>
    <row r="651" spans="1:22" x14ac:dyDescent="0.3">
      <c r="A651" s="2" t="s">
        <v>15</v>
      </c>
      <c r="B651">
        <v>560026</v>
      </c>
      <c r="C651" s="3">
        <v>44131</v>
      </c>
      <c r="D651">
        <v>72.290000000000006</v>
      </c>
      <c r="E651">
        <v>141.57</v>
      </c>
      <c r="F651">
        <v>40.29</v>
      </c>
      <c r="G651">
        <v>10.199999999999999</v>
      </c>
      <c r="H651">
        <v>6.48</v>
      </c>
      <c r="I651">
        <v>1.05</v>
      </c>
      <c r="J651">
        <v>24.03</v>
      </c>
      <c r="K651">
        <f t="shared" si="100"/>
        <v>140.9666666666667</v>
      </c>
      <c r="L651">
        <f t="shared" si="101"/>
        <v>127.71333333333332</v>
      </c>
      <c r="M651">
        <f t="shared" si="102"/>
        <v>50.362499999999997</v>
      </c>
      <c r="N651">
        <f t="shared" si="103"/>
        <v>2.5499999999999998</v>
      </c>
      <c r="O651">
        <f t="shared" si="104"/>
        <v>8.1</v>
      </c>
      <c r="P651">
        <f t="shared" si="105"/>
        <v>11.931818181818182</v>
      </c>
      <c r="Q651">
        <f t="shared" si="106"/>
        <v>22.25</v>
      </c>
      <c r="R651">
        <f t="shared" si="107"/>
        <v>140.9666666666667</v>
      </c>
      <c r="S651" t="str">
        <f t="shared" si="108"/>
        <v>Moderate</v>
      </c>
      <c r="T651" t="str">
        <f t="shared" si="109"/>
        <v>PM2.5</v>
      </c>
      <c r="U651">
        <v>25.25</v>
      </c>
      <c r="V651">
        <v>27.38</v>
      </c>
    </row>
    <row r="652" spans="1:22" x14ac:dyDescent="0.3">
      <c r="A652" s="2" t="s">
        <v>15</v>
      </c>
      <c r="B652">
        <v>560026</v>
      </c>
      <c r="C652" s="3">
        <v>44132</v>
      </c>
      <c r="D652">
        <v>65.27</v>
      </c>
      <c r="E652">
        <v>134.62</v>
      </c>
      <c r="F652">
        <v>40.85</v>
      </c>
      <c r="G652">
        <v>9.86</v>
      </c>
      <c r="H652">
        <v>11.28</v>
      </c>
      <c r="I652">
        <v>0.91</v>
      </c>
      <c r="J652">
        <v>23.7</v>
      </c>
      <c r="K652">
        <f t="shared" si="100"/>
        <v>117.56666666666665</v>
      </c>
      <c r="L652">
        <f t="shared" si="101"/>
        <v>123.08</v>
      </c>
      <c r="M652">
        <f t="shared" si="102"/>
        <v>51.0625</v>
      </c>
      <c r="N652">
        <f t="shared" si="103"/>
        <v>2.4649999999999999</v>
      </c>
      <c r="O652">
        <f t="shared" si="104"/>
        <v>14.1</v>
      </c>
      <c r="P652">
        <f t="shared" si="105"/>
        <v>10.340909090909092</v>
      </c>
      <c r="Q652">
        <f t="shared" si="106"/>
        <v>21.944444444444443</v>
      </c>
      <c r="R652">
        <f t="shared" si="107"/>
        <v>123.08</v>
      </c>
      <c r="S652" t="str">
        <f t="shared" si="108"/>
        <v>Moderate</v>
      </c>
      <c r="T652" t="str">
        <f t="shared" si="109"/>
        <v>PM10</v>
      </c>
      <c r="U652">
        <v>24.08</v>
      </c>
      <c r="V652">
        <v>42.23</v>
      </c>
    </row>
    <row r="653" spans="1:22" x14ac:dyDescent="0.3">
      <c r="A653" s="2" t="s">
        <v>15</v>
      </c>
      <c r="B653">
        <v>560026</v>
      </c>
      <c r="C653" s="3">
        <v>44133</v>
      </c>
      <c r="D653">
        <v>65.599999999999994</v>
      </c>
      <c r="E653">
        <v>139.53</v>
      </c>
      <c r="F653">
        <v>44.03</v>
      </c>
      <c r="G653">
        <v>9.83</v>
      </c>
      <c r="H653">
        <v>7.74</v>
      </c>
      <c r="I653">
        <v>0.95</v>
      </c>
      <c r="J653">
        <v>29.69</v>
      </c>
      <c r="K653">
        <f t="shared" si="100"/>
        <v>118.66666666666664</v>
      </c>
      <c r="L653">
        <f t="shared" si="101"/>
        <v>126.35333333333332</v>
      </c>
      <c r="M653">
        <f t="shared" si="102"/>
        <v>55.037500000000001</v>
      </c>
      <c r="N653">
        <f t="shared" si="103"/>
        <v>2.4575</v>
      </c>
      <c r="O653">
        <f t="shared" si="104"/>
        <v>9.6750000000000007</v>
      </c>
      <c r="P653">
        <f t="shared" si="105"/>
        <v>10.795454545454545</v>
      </c>
      <c r="Q653">
        <f t="shared" si="106"/>
        <v>27.49074074074074</v>
      </c>
      <c r="R653">
        <f t="shared" si="107"/>
        <v>126.35333333333332</v>
      </c>
      <c r="S653" t="str">
        <f t="shared" si="108"/>
        <v>Moderate</v>
      </c>
      <c r="T653" t="str">
        <f t="shared" si="109"/>
        <v>PM10</v>
      </c>
      <c r="U653">
        <v>23.91</v>
      </c>
      <c r="V653">
        <v>55.47</v>
      </c>
    </row>
    <row r="654" spans="1:22" x14ac:dyDescent="0.3">
      <c r="A654" s="2" t="s">
        <v>15</v>
      </c>
      <c r="B654">
        <v>560026</v>
      </c>
      <c r="C654" s="3">
        <v>44134</v>
      </c>
      <c r="D654">
        <v>45.510344830000001</v>
      </c>
      <c r="E654">
        <v>106.14</v>
      </c>
      <c r="F654">
        <v>31.25</v>
      </c>
      <c r="G654">
        <v>9.36</v>
      </c>
      <c r="H654">
        <v>12.41</v>
      </c>
      <c r="I654">
        <v>0.32</v>
      </c>
      <c r="J654">
        <v>30.47</v>
      </c>
      <c r="K654">
        <f t="shared" si="100"/>
        <v>75.850574716666671</v>
      </c>
      <c r="L654">
        <f t="shared" si="101"/>
        <v>104.09333333333333</v>
      </c>
      <c r="M654">
        <f t="shared" si="102"/>
        <v>39.0625</v>
      </c>
      <c r="N654">
        <f t="shared" si="103"/>
        <v>2.34</v>
      </c>
      <c r="O654">
        <f t="shared" si="104"/>
        <v>15.512499999999999</v>
      </c>
      <c r="P654">
        <f t="shared" si="105"/>
        <v>3.6363636363636362</v>
      </c>
      <c r="Q654">
        <f t="shared" si="106"/>
        <v>28.212962962962962</v>
      </c>
      <c r="R654">
        <f t="shared" si="107"/>
        <v>104.09333333333333</v>
      </c>
      <c r="S654" t="str">
        <f t="shared" si="108"/>
        <v>Moderate</v>
      </c>
      <c r="T654" t="str">
        <f t="shared" si="109"/>
        <v>PM10</v>
      </c>
      <c r="U654">
        <v>21.16</v>
      </c>
      <c r="V654">
        <v>60.64</v>
      </c>
    </row>
    <row r="655" spans="1:22" x14ac:dyDescent="0.3">
      <c r="A655" s="2" t="s">
        <v>15</v>
      </c>
      <c r="B655">
        <v>560026</v>
      </c>
      <c r="C655" s="3">
        <v>44135</v>
      </c>
      <c r="D655">
        <v>45.510344830000001</v>
      </c>
      <c r="E655">
        <v>89.539666670000003</v>
      </c>
      <c r="F655">
        <v>24.10766667</v>
      </c>
      <c r="G655">
        <v>8.7696666669999992</v>
      </c>
      <c r="H655">
        <v>10.698333330000001</v>
      </c>
      <c r="I655">
        <v>0.76766666699999997</v>
      </c>
      <c r="J655">
        <v>19.430666670000001</v>
      </c>
      <c r="K655">
        <f t="shared" si="100"/>
        <v>75.850574716666671</v>
      </c>
      <c r="L655">
        <f t="shared" si="101"/>
        <v>89.539666670000003</v>
      </c>
      <c r="M655">
        <f t="shared" si="102"/>
        <v>30.134583337499997</v>
      </c>
      <c r="N655">
        <f t="shared" si="103"/>
        <v>2.1924166667499998</v>
      </c>
      <c r="O655">
        <f t="shared" si="104"/>
        <v>13.3729166625</v>
      </c>
      <c r="P655">
        <f t="shared" si="105"/>
        <v>8.7234848522727262</v>
      </c>
      <c r="Q655">
        <f t="shared" si="106"/>
        <v>17.991358027777778</v>
      </c>
      <c r="R655">
        <f t="shared" si="107"/>
        <v>89.539666670000003</v>
      </c>
      <c r="S655" t="str">
        <f t="shared" si="108"/>
        <v>Satisfactory</v>
      </c>
      <c r="T655" t="str">
        <f t="shared" si="109"/>
        <v>PM10</v>
      </c>
      <c r="U655">
        <v>23.419666670000002</v>
      </c>
      <c r="V655">
        <v>71.123571429999998</v>
      </c>
    </row>
    <row r="656" spans="1:22" x14ac:dyDescent="0.3">
      <c r="A656" s="2" t="s">
        <v>15</v>
      </c>
      <c r="B656">
        <v>560026</v>
      </c>
      <c r="C656" s="3">
        <v>44136</v>
      </c>
      <c r="D656">
        <v>75.400000000000006</v>
      </c>
      <c r="E656">
        <v>135.94999999999999</v>
      </c>
      <c r="F656">
        <v>32.89</v>
      </c>
      <c r="G656">
        <v>10.94</v>
      </c>
      <c r="H656">
        <v>11.81</v>
      </c>
      <c r="I656">
        <v>0.92</v>
      </c>
      <c r="J656">
        <v>73.05</v>
      </c>
      <c r="K656">
        <f t="shared" si="100"/>
        <v>151.33333333333334</v>
      </c>
      <c r="L656">
        <f t="shared" si="101"/>
        <v>123.96666666666667</v>
      </c>
      <c r="M656">
        <f t="shared" si="102"/>
        <v>41.112499999999997</v>
      </c>
      <c r="N656">
        <f t="shared" si="103"/>
        <v>2.7349999999999999</v>
      </c>
      <c r="O656">
        <f t="shared" si="104"/>
        <v>14.762499999999999</v>
      </c>
      <c r="P656">
        <f t="shared" si="105"/>
        <v>10.454545454545455</v>
      </c>
      <c r="Q656">
        <f t="shared" si="106"/>
        <v>108.17499999999998</v>
      </c>
      <c r="R656">
        <f t="shared" si="107"/>
        <v>151.33333333333334</v>
      </c>
      <c r="S656" t="str">
        <f t="shared" si="108"/>
        <v>Moderate</v>
      </c>
      <c r="T656" t="str">
        <f t="shared" si="109"/>
        <v>PM2.5</v>
      </c>
      <c r="U656">
        <v>27.83</v>
      </c>
      <c r="V656">
        <v>48.17</v>
      </c>
    </row>
    <row r="657" spans="1:22" x14ac:dyDescent="0.3">
      <c r="A657" s="2" t="s">
        <v>15</v>
      </c>
      <c r="B657">
        <v>560026</v>
      </c>
      <c r="C657" s="3">
        <v>44138</v>
      </c>
      <c r="D657">
        <v>68.88</v>
      </c>
      <c r="E657">
        <v>129.31</v>
      </c>
      <c r="F657">
        <v>36.79</v>
      </c>
      <c r="G657">
        <v>10.41</v>
      </c>
      <c r="H657">
        <v>8.9600000000000009</v>
      </c>
      <c r="I657">
        <v>0.95</v>
      </c>
      <c r="J657">
        <v>30.27</v>
      </c>
      <c r="K657">
        <f t="shared" si="100"/>
        <v>129.6</v>
      </c>
      <c r="L657">
        <f t="shared" si="101"/>
        <v>119.53999999999999</v>
      </c>
      <c r="M657">
        <f t="shared" si="102"/>
        <v>45.987499999999997</v>
      </c>
      <c r="N657">
        <f t="shared" si="103"/>
        <v>2.6025</v>
      </c>
      <c r="O657">
        <f t="shared" si="104"/>
        <v>11.200000000000001</v>
      </c>
      <c r="P657">
        <f t="shared" si="105"/>
        <v>10.795454545454545</v>
      </c>
      <c r="Q657">
        <f t="shared" si="106"/>
        <v>28.027777777777779</v>
      </c>
      <c r="R657">
        <f t="shared" si="107"/>
        <v>129.6</v>
      </c>
      <c r="S657" t="str">
        <f t="shared" si="108"/>
        <v>Moderate</v>
      </c>
      <c r="T657" t="str">
        <f t="shared" si="109"/>
        <v>PM2.5</v>
      </c>
      <c r="U657">
        <v>25.67</v>
      </c>
      <c r="V657">
        <v>59.39</v>
      </c>
    </row>
    <row r="658" spans="1:22" x14ac:dyDescent="0.3">
      <c r="A658" s="2" t="s">
        <v>15</v>
      </c>
      <c r="B658">
        <v>560026</v>
      </c>
      <c r="C658" s="3">
        <v>44139</v>
      </c>
      <c r="D658">
        <v>59.89</v>
      </c>
      <c r="E658">
        <v>115.24</v>
      </c>
      <c r="F658">
        <v>31.23</v>
      </c>
      <c r="G658">
        <v>10.02</v>
      </c>
      <c r="H658">
        <v>11.83</v>
      </c>
      <c r="I658">
        <v>0.84</v>
      </c>
      <c r="J658">
        <v>23.91</v>
      </c>
      <c r="K658">
        <f t="shared" si="100"/>
        <v>99.816666666666663</v>
      </c>
      <c r="L658">
        <f t="shared" si="101"/>
        <v>110.16</v>
      </c>
      <c r="M658">
        <f t="shared" si="102"/>
        <v>39.037500000000001</v>
      </c>
      <c r="N658">
        <f t="shared" si="103"/>
        <v>2.5049999999999999</v>
      </c>
      <c r="O658">
        <f t="shared" si="104"/>
        <v>14.7875</v>
      </c>
      <c r="P658">
        <f t="shared" si="105"/>
        <v>9.545454545454545</v>
      </c>
      <c r="Q658">
        <f t="shared" si="106"/>
        <v>22.138888888888889</v>
      </c>
      <c r="R658">
        <f t="shared" si="107"/>
        <v>110.16</v>
      </c>
      <c r="S658" t="str">
        <f t="shared" si="108"/>
        <v>Moderate</v>
      </c>
      <c r="T658" t="str">
        <f t="shared" si="109"/>
        <v>PM10</v>
      </c>
      <c r="U658">
        <v>25.42</v>
      </c>
      <c r="V658">
        <v>65.739999999999995</v>
      </c>
    </row>
    <row r="659" spans="1:22" x14ac:dyDescent="0.3">
      <c r="A659" s="2" t="s">
        <v>15</v>
      </c>
      <c r="B659">
        <v>560026</v>
      </c>
      <c r="C659" s="3">
        <v>44140</v>
      </c>
      <c r="D659">
        <v>37.15</v>
      </c>
      <c r="E659">
        <v>78.89</v>
      </c>
      <c r="F659">
        <v>85.9</v>
      </c>
      <c r="G659">
        <v>9.19</v>
      </c>
      <c r="H659">
        <v>15.42</v>
      </c>
      <c r="I659">
        <v>1.0900000000000001</v>
      </c>
      <c r="J659">
        <v>19.87</v>
      </c>
      <c r="K659">
        <f t="shared" si="100"/>
        <v>61.916666666666664</v>
      </c>
      <c r="L659">
        <f t="shared" si="101"/>
        <v>78.89</v>
      </c>
      <c r="M659">
        <f t="shared" si="102"/>
        <v>105.9</v>
      </c>
      <c r="N659">
        <f t="shared" si="103"/>
        <v>2.2974999999999999</v>
      </c>
      <c r="O659">
        <f t="shared" si="104"/>
        <v>19.274999999999999</v>
      </c>
      <c r="P659">
        <f t="shared" si="105"/>
        <v>12.386363636363637</v>
      </c>
      <c r="Q659">
        <f t="shared" si="106"/>
        <v>18.398148148148149</v>
      </c>
      <c r="R659">
        <f t="shared" si="107"/>
        <v>105.9</v>
      </c>
      <c r="S659" t="str">
        <f t="shared" si="108"/>
        <v>Moderate</v>
      </c>
      <c r="T659" t="str">
        <f t="shared" si="109"/>
        <v>NO2</v>
      </c>
      <c r="U659">
        <v>25.63</v>
      </c>
      <c r="V659">
        <v>69.510000000000005</v>
      </c>
    </row>
    <row r="660" spans="1:22" x14ac:dyDescent="0.3">
      <c r="A660" s="2" t="s">
        <v>15</v>
      </c>
      <c r="B660">
        <v>560026</v>
      </c>
      <c r="C660" s="3">
        <v>44141</v>
      </c>
      <c r="D660">
        <v>28.47</v>
      </c>
      <c r="E660">
        <v>56.54</v>
      </c>
      <c r="F660">
        <v>31.246923079999998</v>
      </c>
      <c r="G660">
        <v>9.3980769229999996</v>
      </c>
      <c r="H660">
        <v>9.92</v>
      </c>
      <c r="I660">
        <v>0.76</v>
      </c>
      <c r="J660">
        <v>14.4</v>
      </c>
      <c r="K660">
        <f t="shared" si="100"/>
        <v>47.45</v>
      </c>
      <c r="L660">
        <f t="shared" si="101"/>
        <v>56.54</v>
      </c>
      <c r="M660">
        <f t="shared" si="102"/>
        <v>39.058653849999999</v>
      </c>
      <c r="N660">
        <f t="shared" si="103"/>
        <v>2.3495192307499999</v>
      </c>
      <c r="O660">
        <f t="shared" si="104"/>
        <v>12.4</v>
      </c>
      <c r="P660">
        <f t="shared" si="105"/>
        <v>8.6363636363636367</v>
      </c>
      <c r="Q660">
        <f t="shared" si="106"/>
        <v>13.333333333333334</v>
      </c>
      <c r="R660">
        <f t="shared" si="107"/>
        <v>56.54</v>
      </c>
      <c r="S660" t="str">
        <f t="shared" si="108"/>
        <v>Satisfactory</v>
      </c>
      <c r="T660" t="str">
        <f t="shared" si="109"/>
        <v>PM10</v>
      </c>
      <c r="U660">
        <v>24.82</v>
      </c>
      <c r="V660">
        <v>70.67</v>
      </c>
    </row>
    <row r="661" spans="1:22" x14ac:dyDescent="0.3">
      <c r="A661" s="2" t="s">
        <v>15</v>
      </c>
      <c r="B661">
        <v>560026</v>
      </c>
      <c r="C661" s="3">
        <v>44142</v>
      </c>
      <c r="D661">
        <v>28.64</v>
      </c>
      <c r="E661">
        <v>69.02</v>
      </c>
      <c r="F661">
        <v>31.246923079999998</v>
      </c>
      <c r="G661">
        <v>9.3980769229999996</v>
      </c>
      <c r="H661">
        <v>8.56</v>
      </c>
      <c r="I661">
        <v>0.94</v>
      </c>
      <c r="J661">
        <v>10.53</v>
      </c>
      <c r="K661">
        <f t="shared" si="100"/>
        <v>47.733333333333334</v>
      </c>
      <c r="L661">
        <f t="shared" si="101"/>
        <v>69.02</v>
      </c>
      <c r="M661">
        <f t="shared" si="102"/>
        <v>39.058653849999999</v>
      </c>
      <c r="N661">
        <f t="shared" si="103"/>
        <v>2.3495192307499999</v>
      </c>
      <c r="O661">
        <f t="shared" si="104"/>
        <v>10.7</v>
      </c>
      <c r="P661">
        <f t="shared" si="105"/>
        <v>10.681818181818182</v>
      </c>
      <c r="Q661">
        <f t="shared" si="106"/>
        <v>9.75</v>
      </c>
      <c r="R661">
        <f t="shared" si="107"/>
        <v>69.02</v>
      </c>
      <c r="S661" t="str">
        <f t="shared" si="108"/>
        <v>Satisfactory</v>
      </c>
      <c r="T661" t="str">
        <f t="shared" si="109"/>
        <v>PM10</v>
      </c>
      <c r="U661">
        <v>24.96</v>
      </c>
      <c r="V661">
        <v>67.06</v>
      </c>
    </row>
    <row r="662" spans="1:22" x14ac:dyDescent="0.3">
      <c r="A662" s="2" t="s">
        <v>15</v>
      </c>
      <c r="B662">
        <v>560026</v>
      </c>
      <c r="C662" s="3">
        <v>44143</v>
      </c>
      <c r="D662">
        <v>43.27</v>
      </c>
      <c r="E662">
        <v>87.24</v>
      </c>
      <c r="F662">
        <v>31.246923079999998</v>
      </c>
      <c r="G662">
        <v>9.3980769229999996</v>
      </c>
      <c r="H662">
        <v>8.9</v>
      </c>
      <c r="I662">
        <v>0.83</v>
      </c>
      <c r="J662">
        <v>22.49</v>
      </c>
      <c r="K662">
        <f t="shared" si="100"/>
        <v>72.116666666666674</v>
      </c>
      <c r="L662">
        <f t="shared" si="101"/>
        <v>87.24</v>
      </c>
      <c r="M662">
        <f t="shared" si="102"/>
        <v>39.058653849999999</v>
      </c>
      <c r="N662">
        <f t="shared" si="103"/>
        <v>2.3495192307499999</v>
      </c>
      <c r="O662">
        <f t="shared" si="104"/>
        <v>11.125</v>
      </c>
      <c r="P662">
        <f t="shared" si="105"/>
        <v>9.4318181818181817</v>
      </c>
      <c r="Q662">
        <f t="shared" si="106"/>
        <v>20.824074074074073</v>
      </c>
      <c r="R662">
        <f t="shared" si="107"/>
        <v>87.24</v>
      </c>
      <c r="S662" t="str">
        <f t="shared" si="108"/>
        <v>Satisfactory</v>
      </c>
      <c r="T662" t="str">
        <f t="shared" si="109"/>
        <v>PM10</v>
      </c>
      <c r="U662">
        <v>24.52</v>
      </c>
      <c r="V662">
        <v>66.56</v>
      </c>
    </row>
    <row r="663" spans="1:22" x14ac:dyDescent="0.3">
      <c r="A663" s="2" t="s">
        <v>15</v>
      </c>
      <c r="B663">
        <v>560026</v>
      </c>
      <c r="C663" s="3">
        <v>44144</v>
      </c>
      <c r="D663">
        <v>71.930000000000007</v>
      </c>
      <c r="E663">
        <v>130.30000000000001</v>
      </c>
      <c r="F663">
        <v>31.246923079999998</v>
      </c>
      <c r="G663">
        <v>9.3980769229999996</v>
      </c>
      <c r="H663">
        <v>10.51</v>
      </c>
      <c r="I663">
        <v>1.02</v>
      </c>
      <c r="J663">
        <v>34.61</v>
      </c>
      <c r="K663">
        <f t="shared" si="100"/>
        <v>139.76666666666668</v>
      </c>
      <c r="L663">
        <f t="shared" si="101"/>
        <v>120.2</v>
      </c>
      <c r="M663">
        <f t="shared" si="102"/>
        <v>39.058653849999999</v>
      </c>
      <c r="N663">
        <f t="shared" si="103"/>
        <v>2.3495192307499999</v>
      </c>
      <c r="O663">
        <f t="shared" si="104"/>
        <v>13.137499999999999</v>
      </c>
      <c r="P663">
        <f t="shared" si="105"/>
        <v>11.59090909090909</v>
      </c>
      <c r="Q663">
        <f t="shared" si="106"/>
        <v>32.046296296296298</v>
      </c>
      <c r="R663">
        <f t="shared" si="107"/>
        <v>139.76666666666668</v>
      </c>
      <c r="S663" t="str">
        <f t="shared" si="108"/>
        <v>Moderate</v>
      </c>
      <c r="T663" t="str">
        <f t="shared" si="109"/>
        <v>PM2.5</v>
      </c>
      <c r="U663">
        <v>24.47</v>
      </c>
      <c r="V663">
        <v>61.05</v>
      </c>
    </row>
    <row r="664" spans="1:22" x14ac:dyDescent="0.3">
      <c r="A664" s="2" t="s">
        <v>15</v>
      </c>
      <c r="B664">
        <v>560026</v>
      </c>
      <c r="C664" s="3">
        <v>44145</v>
      </c>
      <c r="D664">
        <v>63.59</v>
      </c>
      <c r="E664">
        <v>136.63999999999999</v>
      </c>
      <c r="F664">
        <v>57.75</v>
      </c>
      <c r="G664">
        <v>11.21</v>
      </c>
      <c r="H664">
        <v>15.59</v>
      </c>
      <c r="I664">
        <v>1.1599999999999999</v>
      </c>
      <c r="J664">
        <v>35.630000000000003</v>
      </c>
      <c r="K664">
        <f t="shared" si="100"/>
        <v>111.96666666666668</v>
      </c>
      <c r="L664">
        <f t="shared" si="101"/>
        <v>124.42666666666666</v>
      </c>
      <c r="M664">
        <f t="shared" si="102"/>
        <v>72.1875</v>
      </c>
      <c r="N664">
        <f t="shared" si="103"/>
        <v>2.8025000000000002</v>
      </c>
      <c r="O664">
        <f t="shared" si="104"/>
        <v>19.487500000000001</v>
      </c>
      <c r="P664">
        <f t="shared" si="105"/>
        <v>13.18181818181818</v>
      </c>
      <c r="Q664">
        <f t="shared" si="106"/>
        <v>32.99074074074074</v>
      </c>
      <c r="R664">
        <f t="shared" si="107"/>
        <v>124.42666666666666</v>
      </c>
      <c r="S664" t="str">
        <f t="shared" si="108"/>
        <v>Moderate</v>
      </c>
      <c r="T664" t="str">
        <f t="shared" si="109"/>
        <v>PM10</v>
      </c>
      <c r="U664">
        <v>23.03</v>
      </c>
      <c r="V664">
        <v>49.44</v>
      </c>
    </row>
    <row r="665" spans="1:22" x14ac:dyDescent="0.3">
      <c r="A665" s="2" t="s">
        <v>15</v>
      </c>
      <c r="B665">
        <v>560026</v>
      </c>
      <c r="C665" s="3">
        <v>44146</v>
      </c>
      <c r="D665">
        <v>61.1</v>
      </c>
      <c r="E665">
        <v>124.1</v>
      </c>
      <c r="F665">
        <v>39.090000000000003</v>
      </c>
      <c r="G665">
        <v>13.14</v>
      </c>
      <c r="H665">
        <v>15.28</v>
      </c>
      <c r="I665">
        <v>1.28</v>
      </c>
      <c r="J665">
        <v>30.14</v>
      </c>
      <c r="K665">
        <f t="shared" si="100"/>
        <v>103.66666666666667</v>
      </c>
      <c r="L665">
        <f t="shared" si="101"/>
        <v>116.06666666666666</v>
      </c>
      <c r="M665">
        <f t="shared" si="102"/>
        <v>48.862500000000004</v>
      </c>
      <c r="N665">
        <f t="shared" si="103"/>
        <v>3.2850000000000001</v>
      </c>
      <c r="O665">
        <f t="shared" si="104"/>
        <v>19.100000000000001</v>
      </c>
      <c r="P665">
        <f t="shared" si="105"/>
        <v>14.545454545454545</v>
      </c>
      <c r="Q665">
        <f t="shared" si="106"/>
        <v>27.907407407407408</v>
      </c>
      <c r="R665">
        <f t="shared" si="107"/>
        <v>116.06666666666666</v>
      </c>
      <c r="S665" t="str">
        <f t="shared" si="108"/>
        <v>Moderate</v>
      </c>
      <c r="T665" t="str">
        <f t="shared" si="109"/>
        <v>PM10</v>
      </c>
      <c r="U665">
        <v>23.3</v>
      </c>
      <c r="V665">
        <v>58.52</v>
      </c>
    </row>
    <row r="666" spans="1:22" x14ac:dyDescent="0.3">
      <c r="A666" s="2" t="s">
        <v>15</v>
      </c>
      <c r="B666">
        <v>560026</v>
      </c>
      <c r="C666" s="3">
        <v>44147</v>
      </c>
      <c r="D666">
        <v>35.21</v>
      </c>
      <c r="E666">
        <v>80.709999999999994</v>
      </c>
      <c r="F666">
        <v>27.88</v>
      </c>
      <c r="G666">
        <v>8.76</v>
      </c>
      <c r="H666">
        <v>12.57</v>
      </c>
      <c r="I666">
        <v>1.3</v>
      </c>
      <c r="J666">
        <v>19.510000000000002</v>
      </c>
      <c r="K666">
        <f t="shared" si="100"/>
        <v>58.683333333333337</v>
      </c>
      <c r="L666">
        <f t="shared" si="101"/>
        <v>80.709999999999994</v>
      </c>
      <c r="M666">
        <f t="shared" si="102"/>
        <v>34.85</v>
      </c>
      <c r="N666">
        <f t="shared" si="103"/>
        <v>2.19</v>
      </c>
      <c r="O666">
        <f t="shared" si="104"/>
        <v>15.7125</v>
      </c>
      <c r="P666">
        <f t="shared" si="105"/>
        <v>14.772727272727273</v>
      </c>
      <c r="Q666">
        <f t="shared" si="106"/>
        <v>18.064814814814817</v>
      </c>
      <c r="R666">
        <f t="shared" si="107"/>
        <v>80.709999999999994</v>
      </c>
      <c r="S666" t="str">
        <f t="shared" si="108"/>
        <v>Satisfactory</v>
      </c>
      <c r="T666" t="str">
        <f t="shared" si="109"/>
        <v>PM10</v>
      </c>
      <c r="U666">
        <v>24.33</v>
      </c>
      <c r="V666">
        <v>68.16</v>
      </c>
    </row>
    <row r="667" spans="1:22" x14ac:dyDescent="0.3">
      <c r="A667" s="2" t="s">
        <v>15</v>
      </c>
      <c r="B667">
        <v>560026</v>
      </c>
      <c r="C667" s="3">
        <v>44148</v>
      </c>
      <c r="D667">
        <v>28.11</v>
      </c>
      <c r="E667">
        <v>51.57</v>
      </c>
      <c r="F667">
        <v>25.52</v>
      </c>
      <c r="G667">
        <v>7.97</v>
      </c>
      <c r="H667">
        <v>12.19</v>
      </c>
      <c r="I667">
        <v>1.41</v>
      </c>
      <c r="J667">
        <v>10.33</v>
      </c>
      <c r="K667">
        <f t="shared" si="100"/>
        <v>46.85</v>
      </c>
      <c r="L667">
        <f t="shared" si="101"/>
        <v>51.57</v>
      </c>
      <c r="M667">
        <f t="shared" si="102"/>
        <v>31.9</v>
      </c>
      <c r="N667">
        <f t="shared" si="103"/>
        <v>1.9924999999999999</v>
      </c>
      <c r="O667">
        <f t="shared" si="104"/>
        <v>15.237500000000001</v>
      </c>
      <c r="P667">
        <f t="shared" si="105"/>
        <v>16.02272727272727</v>
      </c>
      <c r="Q667">
        <f t="shared" si="106"/>
        <v>9.5648148148148149</v>
      </c>
      <c r="R667">
        <f t="shared" si="107"/>
        <v>51.57</v>
      </c>
      <c r="S667" t="str">
        <f t="shared" si="108"/>
        <v>Satisfactory</v>
      </c>
      <c r="T667" t="str">
        <f t="shared" si="109"/>
        <v>PM10</v>
      </c>
      <c r="U667">
        <v>22.96</v>
      </c>
      <c r="V667">
        <v>77.099999999999994</v>
      </c>
    </row>
    <row r="668" spans="1:22" x14ac:dyDescent="0.3">
      <c r="A668" s="2" t="s">
        <v>15</v>
      </c>
      <c r="B668">
        <v>560026</v>
      </c>
      <c r="C668" s="3">
        <v>44149</v>
      </c>
      <c r="D668">
        <v>34.08</v>
      </c>
      <c r="E668">
        <v>78.290000000000006</v>
      </c>
      <c r="F668">
        <v>23.76</v>
      </c>
      <c r="G668">
        <v>7.99</v>
      </c>
      <c r="H668">
        <v>13.53</v>
      </c>
      <c r="I668">
        <v>1.1000000000000001</v>
      </c>
      <c r="J668">
        <v>14.57</v>
      </c>
      <c r="K668">
        <f t="shared" si="100"/>
        <v>56.8</v>
      </c>
      <c r="L668">
        <f t="shared" si="101"/>
        <v>78.290000000000006</v>
      </c>
      <c r="M668">
        <f t="shared" si="102"/>
        <v>29.7</v>
      </c>
      <c r="N668">
        <f t="shared" si="103"/>
        <v>1.9975000000000001</v>
      </c>
      <c r="O668">
        <f t="shared" si="104"/>
        <v>16.912500000000001</v>
      </c>
      <c r="P668">
        <f t="shared" si="105"/>
        <v>12.5</v>
      </c>
      <c r="Q668">
        <f t="shared" si="106"/>
        <v>13.49074074074074</v>
      </c>
      <c r="R668">
        <f t="shared" si="107"/>
        <v>78.290000000000006</v>
      </c>
      <c r="S668" t="str">
        <f t="shared" si="108"/>
        <v>Satisfactory</v>
      </c>
      <c r="T668" t="str">
        <f t="shared" si="109"/>
        <v>PM10</v>
      </c>
      <c r="U668">
        <v>23.9</v>
      </c>
      <c r="V668">
        <v>68.900000000000006</v>
      </c>
    </row>
    <row r="669" spans="1:22" x14ac:dyDescent="0.3">
      <c r="A669" s="2" t="s">
        <v>15</v>
      </c>
      <c r="B669">
        <v>560026</v>
      </c>
      <c r="C669" s="3">
        <v>44150</v>
      </c>
      <c r="D669">
        <v>42.16</v>
      </c>
      <c r="E669">
        <v>70.19</v>
      </c>
      <c r="F669">
        <v>21.66</v>
      </c>
      <c r="G669">
        <v>8.33</v>
      </c>
      <c r="H669">
        <v>11.76</v>
      </c>
      <c r="I669">
        <v>1.2</v>
      </c>
      <c r="J669">
        <v>17.64</v>
      </c>
      <c r="K669">
        <f t="shared" si="100"/>
        <v>70.266666666666652</v>
      </c>
      <c r="L669">
        <f t="shared" si="101"/>
        <v>70.19</v>
      </c>
      <c r="M669">
        <f t="shared" si="102"/>
        <v>27.074999999999999</v>
      </c>
      <c r="N669">
        <f t="shared" si="103"/>
        <v>2.0825</v>
      </c>
      <c r="O669">
        <f t="shared" si="104"/>
        <v>14.7</v>
      </c>
      <c r="P669">
        <f t="shared" si="105"/>
        <v>13.636363636363635</v>
      </c>
      <c r="Q669">
        <f t="shared" si="106"/>
        <v>16.333333333333336</v>
      </c>
      <c r="R669">
        <f t="shared" si="107"/>
        <v>70.266666666666652</v>
      </c>
      <c r="S669" t="str">
        <f t="shared" si="108"/>
        <v>Satisfactory</v>
      </c>
      <c r="T669" t="str">
        <f t="shared" si="109"/>
        <v>PM2.5</v>
      </c>
      <c r="U669">
        <v>22.3</v>
      </c>
      <c r="V669">
        <v>78.27</v>
      </c>
    </row>
    <row r="670" spans="1:22" x14ac:dyDescent="0.3">
      <c r="A670" s="2" t="s">
        <v>15</v>
      </c>
      <c r="B670">
        <v>560026</v>
      </c>
      <c r="C670" s="3">
        <v>44151</v>
      </c>
      <c r="D670">
        <v>24.87</v>
      </c>
      <c r="E670">
        <v>41.3</v>
      </c>
      <c r="F670">
        <v>18.91</v>
      </c>
      <c r="G670">
        <v>7.37</v>
      </c>
      <c r="H670">
        <v>11.93</v>
      </c>
      <c r="I670">
        <v>0.91</v>
      </c>
      <c r="J670">
        <v>11.8</v>
      </c>
      <c r="K670">
        <f t="shared" si="100"/>
        <v>41.45</v>
      </c>
      <c r="L670">
        <f t="shared" si="101"/>
        <v>41.3</v>
      </c>
      <c r="M670">
        <f t="shared" si="102"/>
        <v>23.637499999999999</v>
      </c>
      <c r="N670">
        <f t="shared" si="103"/>
        <v>1.8425</v>
      </c>
      <c r="O670">
        <f t="shared" si="104"/>
        <v>14.9125</v>
      </c>
      <c r="P670">
        <f t="shared" si="105"/>
        <v>10.340909090909092</v>
      </c>
      <c r="Q670">
        <f t="shared" si="106"/>
        <v>10.925925925925927</v>
      </c>
      <c r="R670">
        <f t="shared" si="107"/>
        <v>41.45</v>
      </c>
      <c r="S670" t="str">
        <f t="shared" si="108"/>
        <v>Good</v>
      </c>
      <c r="T670" t="str">
        <f t="shared" si="109"/>
        <v>PM2.5</v>
      </c>
      <c r="U670">
        <v>22.27</v>
      </c>
      <c r="V670">
        <v>81.790000000000006</v>
      </c>
    </row>
    <row r="671" spans="1:22" x14ac:dyDescent="0.3">
      <c r="A671" s="2" t="s">
        <v>15</v>
      </c>
      <c r="B671">
        <v>560026</v>
      </c>
      <c r="C671" s="3">
        <v>44152</v>
      </c>
      <c r="D671">
        <v>20.95</v>
      </c>
      <c r="E671">
        <v>50.25</v>
      </c>
      <c r="F671">
        <v>21.01</v>
      </c>
      <c r="G671">
        <v>7.92</v>
      </c>
      <c r="H671">
        <v>10.34</v>
      </c>
      <c r="I671">
        <v>0.61</v>
      </c>
      <c r="J671">
        <v>13.25</v>
      </c>
      <c r="K671">
        <f t="shared" si="100"/>
        <v>34.916666666666664</v>
      </c>
      <c r="L671">
        <f t="shared" si="101"/>
        <v>50.25</v>
      </c>
      <c r="M671">
        <f t="shared" si="102"/>
        <v>26.262499999999999</v>
      </c>
      <c r="N671">
        <f t="shared" si="103"/>
        <v>1.98</v>
      </c>
      <c r="O671">
        <f t="shared" si="104"/>
        <v>12.925000000000001</v>
      </c>
      <c r="P671">
        <f t="shared" si="105"/>
        <v>6.9318181818181817</v>
      </c>
      <c r="Q671">
        <f t="shared" si="106"/>
        <v>12.268518518518519</v>
      </c>
      <c r="R671">
        <f t="shared" si="107"/>
        <v>50.25</v>
      </c>
      <c r="S671" t="str">
        <f t="shared" si="108"/>
        <v>Satisfactory</v>
      </c>
      <c r="T671" t="str">
        <f t="shared" si="109"/>
        <v>PM10</v>
      </c>
      <c r="U671">
        <v>23.1</v>
      </c>
      <c r="V671">
        <v>74.33</v>
      </c>
    </row>
    <row r="672" spans="1:22" x14ac:dyDescent="0.3">
      <c r="A672" s="2" t="s">
        <v>15</v>
      </c>
      <c r="B672">
        <v>560026</v>
      </c>
      <c r="C672" s="3">
        <v>44153</v>
      </c>
      <c r="D672">
        <v>23.52</v>
      </c>
      <c r="E672">
        <v>57.54</v>
      </c>
      <c r="F672">
        <v>19.86</v>
      </c>
      <c r="G672">
        <v>8.4700000000000006</v>
      </c>
      <c r="H672">
        <v>9.24</v>
      </c>
      <c r="I672">
        <v>0.57999999999999996</v>
      </c>
      <c r="J672">
        <v>14.39</v>
      </c>
      <c r="K672">
        <f t="shared" si="100"/>
        <v>39.200000000000003</v>
      </c>
      <c r="L672">
        <f t="shared" si="101"/>
        <v>57.54</v>
      </c>
      <c r="M672">
        <f t="shared" si="102"/>
        <v>24.824999999999999</v>
      </c>
      <c r="N672">
        <f t="shared" si="103"/>
        <v>2.1175000000000002</v>
      </c>
      <c r="O672">
        <f t="shared" si="104"/>
        <v>11.55</v>
      </c>
      <c r="P672">
        <f t="shared" si="105"/>
        <v>6.5909090909090899</v>
      </c>
      <c r="Q672">
        <f t="shared" si="106"/>
        <v>13.324074074074074</v>
      </c>
      <c r="R672">
        <f t="shared" si="107"/>
        <v>57.54</v>
      </c>
      <c r="S672" t="str">
        <f t="shared" si="108"/>
        <v>Satisfactory</v>
      </c>
      <c r="T672" t="str">
        <f t="shared" si="109"/>
        <v>PM10</v>
      </c>
      <c r="U672">
        <v>23.53</v>
      </c>
      <c r="V672">
        <v>71.8</v>
      </c>
    </row>
    <row r="673" spans="1:22" x14ac:dyDescent="0.3">
      <c r="A673" s="2" t="s">
        <v>15</v>
      </c>
      <c r="B673">
        <v>560026</v>
      </c>
      <c r="C673" s="3">
        <v>44154</v>
      </c>
      <c r="D673">
        <v>28.39</v>
      </c>
      <c r="E673">
        <v>62.09</v>
      </c>
      <c r="F673">
        <v>22.38</v>
      </c>
      <c r="G673">
        <v>9.16</v>
      </c>
      <c r="H673">
        <v>10.84</v>
      </c>
      <c r="I673">
        <v>0.66</v>
      </c>
      <c r="J673">
        <v>17.27</v>
      </c>
      <c r="K673">
        <f t="shared" si="100"/>
        <v>47.31666666666667</v>
      </c>
      <c r="L673">
        <f t="shared" si="101"/>
        <v>62.09</v>
      </c>
      <c r="M673">
        <f t="shared" si="102"/>
        <v>27.975000000000001</v>
      </c>
      <c r="N673">
        <f t="shared" si="103"/>
        <v>2.29</v>
      </c>
      <c r="O673">
        <f t="shared" si="104"/>
        <v>13.55</v>
      </c>
      <c r="P673">
        <f t="shared" si="105"/>
        <v>7.5</v>
      </c>
      <c r="Q673">
        <f t="shared" si="106"/>
        <v>15.99074074074074</v>
      </c>
      <c r="R673">
        <f t="shared" si="107"/>
        <v>62.09</v>
      </c>
      <c r="S673" t="str">
        <f t="shared" si="108"/>
        <v>Satisfactory</v>
      </c>
      <c r="T673" t="str">
        <f t="shared" si="109"/>
        <v>PM10</v>
      </c>
      <c r="U673">
        <v>23.76</v>
      </c>
      <c r="V673">
        <v>69.900000000000006</v>
      </c>
    </row>
    <row r="674" spans="1:22" x14ac:dyDescent="0.3">
      <c r="A674" s="2" t="s">
        <v>15</v>
      </c>
      <c r="B674">
        <v>560026</v>
      </c>
      <c r="C674" s="3">
        <v>44155</v>
      </c>
      <c r="D674">
        <v>29.69</v>
      </c>
      <c r="E674">
        <v>61.53</v>
      </c>
      <c r="F674">
        <v>22.48</v>
      </c>
      <c r="G674">
        <v>8.6</v>
      </c>
      <c r="H674">
        <v>8.7100000000000009</v>
      </c>
      <c r="I674">
        <v>0.66</v>
      </c>
      <c r="J674">
        <v>18.899999999999999</v>
      </c>
      <c r="K674">
        <f t="shared" si="100"/>
        <v>49.483333333333334</v>
      </c>
      <c r="L674">
        <f t="shared" si="101"/>
        <v>61.53</v>
      </c>
      <c r="M674">
        <f t="shared" si="102"/>
        <v>28.1</v>
      </c>
      <c r="N674">
        <f t="shared" si="103"/>
        <v>2.15</v>
      </c>
      <c r="O674">
        <f t="shared" si="104"/>
        <v>10.887500000000001</v>
      </c>
      <c r="P674">
        <f t="shared" si="105"/>
        <v>7.5</v>
      </c>
      <c r="Q674">
        <f t="shared" si="106"/>
        <v>17.5</v>
      </c>
      <c r="R674">
        <f t="shared" si="107"/>
        <v>61.53</v>
      </c>
      <c r="S674" t="str">
        <f t="shared" si="108"/>
        <v>Satisfactory</v>
      </c>
      <c r="T674" t="str">
        <f t="shared" si="109"/>
        <v>PM10</v>
      </c>
      <c r="U674">
        <v>23.61</v>
      </c>
      <c r="V674">
        <v>62.76</v>
      </c>
    </row>
    <row r="675" spans="1:22" x14ac:dyDescent="0.3">
      <c r="A675" s="2" t="s">
        <v>15</v>
      </c>
      <c r="B675">
        <v>560026</v>
      </c>
      <c r="C675" s="3">
        <v>44156</v>
      </c>
      <c r="D675">
        <v>35.69</v>
      </c>
      <c r="E675">
        <v>88.21</v>
      </c>
      <c r="F675">
        <v>41.53</v>
      </c>
      <c r="G675">
        <v>9.25</v>
      </c>
      <c r="H675">
        <v>12.27</v>
      </c>
      <c r="I675">
        <v>1.06</v>
      </c>
      <c r="J675">
        <v>17.97</v>
      </c>
      <c r="K675">
        <f t="shared" si="100"/>
        <v>59.483333333333327</v>
      </c>
      <c r="L675">
        <f t="shared" si="101"/>
        <v>88.21</v>
      </c>
      <c r="M675">
        <f t="shared" si="102"/>
        <v>51.912500000000001</v>
      </c>
      <c r="N675">
        <f t="shared" si="103"/>
        <v>2.3125</v>
      </c>
      <c r="O675">
        <f t="shared" si="104"/>
        <v>15.3375</v>
      </c>
      <c r="P675">
        <f t="shared" si="105"/>
        <v>12.045454545454545</v>
      </c>
      <c r="Q675">
        <f t="shared" si="106"/>
        <v>16.638888888888889</v>
      </c>
      <c r="R675">
        <f t="shared" si="107"/>
        <v>88.21</v>
      </c>
      <c r="S675" t="str">
        <f t="shared" si="108"/>
        <v>Satisfactory</v>
      </c>
      <c r="T675" t="str">
        <f t="shared" si="109"/>
        <v>PM10</v>
      </c>
      <c r="U675">
        <v>23.67</v>
      </c>
      <c r="V675">
        <v>50.02</v>
      </c>
    </row>
    <row r="676" spans="1:22" x14ac:dyDescent="0.3">
      <c r="A676" s="2" t="s">
        <v>15</v>
      </c>
      <c r="B676">
        <v>560026</v>
      </c>
      <c r="C676" s="3">
        <v>44157</v>
      </c>
      <c r="D676">
        <v>56.48</v>
      </c>
      <c r="E676">
        <v>103.39</v>
      </c>
      <c r="F676">
        <v>37.979999999999997</v>
      </c>
      <c r="G676">
        <v>10.24</v>
      </c>
      <c r="H676">
        <v>13.31</v>
      </c>
      <c r="I676">
        <v>0.85</v>
      </c>
      <c r="J676">
        <v>22.95</v>
      </c>
      <c r="K676">
        <f t="shared" si="100"/>
        <v>94.133333333333326</v>
      </c>
      <c r="L676">
        <f t="shared" si="101"/>
        <v>102.26</v>
      </c>
      <c r="M676">
        <f t="shared" si="102"/>
        <v>47.474999999999994</v>
      </c>
      <c r="N676">
        <f t="shared" si="103"/>
        <v>2.56</v>
      </c>
      <c r="O676">
        <f t="shared" si="104"/>
        <v>16.637499999999999</v>
      </c>
      <c r="P676">
        <f t="shared" si="105"/>
        <v>9.6590909090909083</v>
      </c>
      <c r="Q676">
        <f t="shared" si="106"/>
        <v>21.25</v>
      </c>
      <c r="R676">
        <f t="shared" si="107"/>
        <v>102.26</v>
      </c>
      <c r="S676" t="str">
        <f t="shared" si="108"/>
        <v>Moderate</v>
      </c>
      <c r="T676" t="str">
        <f t="shared" si="109"/>
        <v>PM10</v>
      </c>
      <c r="U676">
        <v>22.65</v>
      </c>
      <c r="V676">
        <v>51.22</v>
      </c>
    </row>
    <row r="677" spans="1:22" x14ac:dyDescent="0.3">
      <c r="A677" s="2" t="s">
        <v>15</v>
      </c>
      <c r="B677">
        <v>560026</v>
      </c>
      <c r="C677" s="3">
        <v>44158</v>
      </c>
      <c r="D677">
        <v>45.77</v>
      </c>
      <c r="E677">
        <v>98.15</v>
      </c>
      <c r="F677">
        <v>33.799999999999997</v>
      </c>
      <c r="G677">
        <v>9.98</v>
      </c>
      <c r="H677">
        <v>11.79</v>
      </c>
      <c r="I677">
        <v>1.01</v>
      </c>
      <c r="J677">
        <v>19.29</v>
      </c>
      <c r="K677">
        <f t="shared" si="100"/>
        <v>76.283333333333331</v>
      </c>
      <c r="L677">
        <f t="shared" si="101"/>
        <v>98.15</v>
      </c>
      <c r="M677">
        <f t="shared" si="102"/>
        <v>42.249999999999993</v>
      </c>
      <c r="N677">
        <f t="shared" si="103"/>
        <v>2.4950000000000001</v>
      </c>
      <c r="O677">
        <f t="shared" si="104"/>
        <v>14.737500000000001</v>
      </c>
      <c r="P677">
        <f t="shared" si="105"/>
        <v>11.477272727272727</v>
      </c>
      <c r="Q677">
        <f t="shared" si="106"/>
        <v>17.861111111111111</v>
      </c>
      <c r="R677">
        <f t="shared" si="107"/>
        <v>98.15</v>
      </c>
      <c r="S677" t="str">
        <f t="shared" si="108"/>
        <v>Satisfactory</v>
      </c>
      <c r="T677" t="str">
        <f t="shared" si="109"/>
        <v>PM10</v>
      </c>
      <c r="U677">
        <v>23.27</v>
      </c>
      <c r="V677">
        <v>60.74</v>
      </c>
    </row>
    <row r="678" spans="1:22" x14ac:dyDescent="0.3">
      <c r="A678" s="2" t="s">
        <v>15</v>
      </c>
      <c r="B678">
        <v>560026</v>
      </c>
      <c r="C678" s="3">
        <v>44159</v>
      </c>
      <c r="D678">
        <v>51.3</v>
      </c>
      <c r="E678">
        <v>98.04</v>
      </c>
      <c r="F678">
        <v>29.56</v>
      </c>
      <c r="G678">
        <v>9.75</v>
      </c>
      <c r="H678">
        <v>12</v>
      </c>
      <c r="I678">
        <v>0.84</v>
      </c>
      <c r="J678">
        <v>24.58</v>
      </c>
      <c r="K678">
        <f t="shared" si="100"/>
        <v>85.5</v>
      </c>
      <c r="L678">
        <f t="shared" si="101"/>
        <v>98.04</v>
      </c>
      <c r="M678">
        <f t="shared" si="102"/>
        <v>36.950000000000003</v>
      </c>
      <c r="N678">
        <f t="shared" si="103"/>
        <v>2.4375</v>
      </c>
      <c r="O678">
        <f t="shared" si="104"/>
        <v>15</v>
      </c>
      <c r="P678">
        <f t="shared" si="105"/>
        <v>9.545454545454545</v>
      </c>
      <c r="Q678">
        <f t="shared" si="106"/>
        <v>22.75925925925926</v>
      </c>
      <c r="R678">
        <f t="shared" si="107"/>
        <v>98.04</v>
      </c>
      <c r="S678" t="str">
        <f t="shared" si="108"/>
        <v>Satisfactory</v>
      </c>
      <c r="T678" t="str">
        <f t="shared" si="109"/>
        <v>PM10</v>
      </c>
      <c r="U678">
        <v>23</v>
      </c>
      <c r="V678">
        <v>70.02</v>
      </c>
    </row>
    <row r="679" spans="1:22" x14ac:dyDescent="0.3">
      <c r="A679" s="2" t="s">
        <v>15</v>
      </c>
      <c r="B679">
        <v>560026</v>
      </c>
      <c r="C679" s="3">
        <v>44160</v>
      </c>
      <c r="D679">
        <v>51.03</v>
      </c>
      <c r="E679">
        <v>95.36</v>
      </c>
      <c r="F679">
        <v>27.09</v>
      </c>
      <c r="G679">
        <v>9.64</v>
      </c>
      <c r="H679">
        <v>11.9</v>
      </c>
      <c r="I679">
        <v>0.77</v>
      </c>
      <c r="J679">
        <v>26.16</v>
      </c>
      <c r="K679">
        <f t="shared" si="100"/>
        <v>85.05</v>
      </c>
      <c r="L679">
        <f t="shared" si="101"/>
        <v>95.36</v>
      </c>
      <c r="M679">
        <f t="shared" si="102"/>
        <v>33.862499999999997</v>
      </c>
      <c r="N679">
        <f t="shared" si="103"/>
        <v>2.41</v>
      </c>
      <c r="O679">
        <f t="shared" si="104"/>
        <v>14.875</v>
      </c>
      <c r="P679">
        <f t="shared" si="105"/>
        <v>8.75</v>
      </c>
      <c r="Q679">
        <f t="shared" si="106"/>
        <v>24.222222222222221</v>
      </c>
      <c r="R679">
        <f t="shared" si="107"/>
        <v>95.36</v>
      </c>
      <c r="S679" t="str">
        <f t="shared" si="108"/>
        <v>Satisfactory</v>
      </c>
      <c r="T679" t="str">
        <f t="shared" si="109"/>
        <v>PM10</v>
      </c>
      <c r="U679">
        <v>21.97</v>
      </c>
      <c r="V679">
        <v>73.77</v>
      </c>
    </row>
    <row r="680" spans="1:22" x14ac:dyDescent="0.3">
      <c r="A680" s="2" t="s">
        <v>15</v>
      </c>
      <c r="B680">
        <v>560026</v>
      </c>
      <c r="C680" s="3">
        <v>44161</v>
      </c>
      <c r="D680">
        <v>28.07</v>
      </c>
      <c r="E680">
        <v>41.04</v>
      </c>
      <c r="F680">
        <v>23.59</v>
      </c>
      <c r="G680">
        <v>8.8800000000000008</v>
      </c>
      <c r="H680">
        <v>10.44</v>
      </c>
      <c r="I680">
        <v>0.68</v>
      </c>
      <c r="J680">
        <v>16.43</v>
      </c>
      <c r="K680">
        <f t="shared" si="100"/>
        <v>46.783333333333331</v>
      </c>
      <c r="L680">
        <f t="shared" si="101"/>
        <v>41.04</v>
      </c>
      <c r="M680">
        <f t="shared" si="102"/>
        <v>29.487500000000001</v>
      </c>
      <c r="N680">
        <f t="shared" si="103"/>
        <v>2.2200000000000002</v>
      </c>
      <c r="O680">
        <f t="shared" si="104"/>
        <v>13.05</v>
      </c>
      <c r="P680">
        <f t="shared" si="105"/>
        <v>7.7272727272727275</v>
      </c>
      <c r="Q680">
        <f t="shared" si="106"/>
        <v>15.212962962962962</v>
      </c>
      <c r="R680">
        <f t="shared" si="107"/>
        <v>46.783333333333331</v>
      </c>
      <c r="S680" t="str">
        <f t="shared" si="108"/>
        <v>Good</v>
      </c>
      <c r="T680" t="str">
        <f t="shared" si="109"/>
        <v>PM2.5</v>
      </c>
      <c r="U680">
        <v>20.149999999999999</v>
      </c>
      <c r="V680">
        <v>85.94</v>
      </c>
    </row>
    <row r="681" spans="1:22" x14ac:dyDescent="0.3">
      <c r="A681" s="2" t="s">
        <v>15</v>
      </c>
      <c r="B681">
        <v>560026</v>
      </c>
      <c r="C681" s="3">
        <v>44162</v>
      </c>
      <c r="D681">
        <v>24.18</v>
      </c>
      <c r="E681">
        <v>60.79</v>
      </c>
      <c r="F681">
        <v>23.31</v>
      </c>
      <c r="G681">
        <v>8.65</v>
      </c>
      <c r="H681">
        <v>9.4600000000000009</v>
      </c>
      <c r="I681">
        <v>0.72</v>
      </c>
      <c r="J681">
        <v>17.5</v>
      </c>
      <c r="K681">
        <f t="shared" si="100"/>
        <v>40.299999999999997</v>
      </c>
      <c r="L681">
        <f t="shared" si="101"/>
        <v>60.79</v>
      </c>
      <c r="M681">
        <f t="shared" si="102"/>
        <v>29.137499999999999</v>
      </c>
      <c r="N681">
        <f t="shared" si="103"/>
        <v>2.1625000000000001</v>
      </c>
      <c r="O681">
        <f t="shared" si="104"/>
        <v>11.825000000000001</v>
      </c>
      <c r="P681">
        <f t="shared" si="105"/>
        <v>8.1818181818181817</v>
      </c>
      <c r="Q681">
        <f t="shared" si="106"/>
        <v>16.203703703703702</v>
      </c>
      <c r="R681">
        <f t="shared" si="107"/>
        <v>60.79</v>
      </c>
      <c r="S681" t="str">
        <f t="shared" si="108"/>
        <v>Satisfactory</v>
      </c>
      <c r="T681" t="str">
        <f t="shared" si="109"/>
        <v>PM10</v>
      </c>
      <c r="U681">
        <v>20.38</v>
      </c>
      <c r="V681">
        <v>78.08</v>
      </c>
    </row>
    <row r="682" spans="1:22" x14ac:dyDescent="0.3">
      <c r="A682" s="2" t="s">
        <v>15</v>
      </c>
      <c r="B682">
        <v>560026</v>
      </c>
      <c r="C682" s="3">
        <v>44163</v>
      </c>
      <c r="D682">
        <v>27.52</v>
      </c>
      <c r="E682">
        <v>62.56</v>
      </c>
      <c r="F682">
        <v>24.32</v>
      </c>
      <c r="G682">
        <v>9.07</v>
      </c>
      <c r="H682">
        <v>11.29</v>
      </c>
      <c r="I682">
        <v>0.55000000000000004</v>
      </c>
      <c r="J682">
        <v>20.81</v>
      </c>
      <c r="K682">
        <f t="shared" si="100"/>
        <v>45.866666666666667</v>
      </c>
      <c r="L682">
        <f t="shared" si="101"/>
        <v>62.56</v>
      </c>
      <c r="M682">
        <f t="shared" si="102"/>
        <v>30.4</v>
      </c>
      <c r="N682">
        <f t="shared" si="103"/>
        <v>2.2675000000000001</v>
      </c>
      <c r="O682">
        <f t="shared" si="104"/>
        <v>14.112500000000001</v>
      </c>
      <c r="P682">
        <f t="shared" si="105"/>
        <v>6.25</v>
      </c>
      <c r="Q682">
        <f t="shared" si="106"/>
        <v>19.268518518518519</v>
      </c>
      <c r="R682">
        <f t="shared" si="107"/>
        <v>62.56</v>
      </c>
      <c r="S682" t="str">
        <f t="shared" si="108"/>
        <v>Satisfactory</v>
      </c>
      <c r="T682" t="str">
        <f t="shared" si="109"/>
        <v>PM10</v>
      </c>
      <c r="U682">
        <v>21.85</v>
      </c>
      <c r="V682">
        <v>73.62</v>
      </c>
    </row>
    <row r="683" spans="1:22" x14ac:dyDescent="0.3">
      <c r="A683" s="2" t="s">
        <v>15</v>
      </c>
      <c r="B683">
        <v>560026</v>
      </c>
      <c r="C683" s="3">
        <v>44164</v>
      </c>
      <c r="D683">
        <v>30.01</v>
      </c>
      <c r="E683">
        <v>67.680000000000007</v>
      </c>
      <c r="F683">
        <v>21.57</v>
      </c>
      <c r="G683">
        <v>9</v>
      </c>
      <c r="H683">
        <v>9.73</v>
      </c>
      <c r="I683">
        <v>0.78</v>
      </c>
      <c r="J683">
        <v>12.48</v>
      </c>
      <c r="K683">
        <f t="shared" si="100"/>
        <v>50.016666666666666</v>
      </c>
      <c r="L683">
        <f t="shared" si="101"/>
        <v>67.680000000000007</v>
      </c>
      <c r="M683">
        <f t="shared" si="102"/>
        <v>26.962499999999999</v>
      </c>
      <c r="N683">
        <f t="shared" si="103"/>
        <v>2.25</v>
      </c>
      <c r="O683">
        <f t="shared" si="104"/>
        <v>12.1625</v>
      </c>
      <c r="P683">
        <f t="shared" si="105"/>
        <v>8.8636363636363633</v>
      </c>
      <c r="Q683">
        <f t="shared" si="106"/>
        <v>11.555555555555555</v>
      </c>
      <c r="R683">
        <f t="shared" si="107"/>
        <v>67.680000000000007</v>
      </c>
      <c r="S683" t="str">
        <f t="shared" si="108"/>
        <v>Satisfactory</v>
      </c>
      <c r="T683" t="str">
        <f t="shared" si="109"/>
        <v>PM10</v>
      </c>
      <c r="U683">
        <v>22.16</v>
      </c>
      <c r="V683">
        <v>75.989999999999995</v>
      </c>
    </row>
    <row r="684" spans="1:22" x14ac:dyDescent="0.3">
      <c r="A684" s="2" t="s">
        <v>15</v>
      </c>
      <c r="B684">
        <v>560026</v>
      </c>
      <c r="C684" s="3">
        <v>44165</v>
      </c>
      <c r="D684">
        <v>36.659999999999997</v>
      </c>
      <c r="E684">
        <v>87.73</v>
      </c>
      <c r="F684">
        <v>30.51</v>
      </c>
      <c r="G684">
        <v>9</v>
      </c>
      <c r="H684">
        <v>10.92</v>
      </c>
      <c r="I684">
        <v>0.8</v>
      </c>
      <c r="J684">
        <v>15.31</v>
      </c>
      <c r="K684">
        <f t="shared" si="100"/>
        <v>61.099999999999994</v>
      </c>
      <c r="L684">
        <f t="shared" si="101"/>
        <v>87.73</v>
      </c>
      <c r="M684">
        <f t="shared" si="102"/>
        <v>38.137500000000003</v>
      </c>
      <c r="N684">
        <f t="shared" si="103"/>
        <v>2.25</v>
      </c>
      <c r="O684">
        <f t="shared" si="104"/>
        <v>13.65</v>
      </c>
      <c r="P684">
        <f t="shared" si="105"/>
        <v>9.0909090909090917</v>
      </c>
      <c r="Q684">
        <f t="shared" si="106"/>
        <v>14.175925925925926</v>
      </c>
      <c r="R684">
        <f t="shared" si="107"/>
        <v>87.73</v>
      </c>
      <c r="S684" t="str">
        <f t="shared" si="108"/>
        <v>Satisfactory</v>
      </c>
      <c r="T684" t="str">
        <f t="shared" si="109"/>
        <v>PM10</v>
      </c>
      <c r="U684">
        <v>23.09</v>
      </c>
      <c r="V684">
        <v>68.349999999999994</v>
      </c>
    </row>
    <row r="685" spans="1:22" x14ac:dyDescent="0.3">
      <c r="A685" s="2" t="s">
        <v>15</v>
      </c>
      <c r="B685">
        <v>560026</v>
      </c>
      <c r="C685" s="3">
        <v>44166</v>
      </c>
      <c r="D685">
        <v>39.29</v>
      </c>
      <c r="E685">
        <v>98.72</v>
      </c>
      <c r="F685">
        <v>29.6</v>
      </c>
      <c r="G685">
        <v>16.96</v>
      </c>
      <c r="H685">
        <v>10.52</v>
      </c>
      <c r="I685">
        <v>0.7</v>
      </c>
      <c r="J685">
        <v>16.41</v>
      </c>
      <c r="K685">
        <f t="shared" si="100"/>
        <v>65.483333333333334</v>
      </c>
      <c r="L685">
        <f t="shared" si="101"/>
        <v>98.72</v>
      </c>
      <c r="M685">
        <f t="shared" si="102"/>
        <v>37</v>
      </c>
      <c r="N685">
        <f t="shared" si="103"/>
        <v>4.24</v>
      </c>
      <c r="O685">
        <f t="shared" si="104"/>
        <v>13.15</v>
      </c>
      <c r="P685">
        <f t="shared" si="105"/>
        <v>7.9545454545454541</v>
      </c>
      <c r="Q685">
        <f t="shared" si="106"/>
        <v>15.194444444444445</v>
      </c>
      <c r="R685">
        <f t="shared" si="107"/>
        <v>98.72</v>
      </c>
      <c r="S685" t="str">
        <f t="shared" si="108"/>
        <v>Satisfactory</v>
      </c>
      <c r="T685" t="str">
        <f t="shared" si="109"/>
        <v>PM10</v>
      </c>
      <c r="U685">
        <v>22.1</v>
      </c>
      <c r="V685">
        <v>58.08</v>
      </c>
    </row>
    <row r="686" spans="1:22" x14ac:dyDescent="0.3">
      <c r="A686" s="2" t="s">
        <v>15</v>
      </c>
      <c r="B686">
        <v>560026</v>
      </c>
      <c r="C686" s="3">
        <v>44167</v>
      </c>
      <c r="D686">
        <v>41</v>
      </c>
      <c r="E686">
        <v>97.44</v>
      </c>
      <c r="F686">
        <v>34.25</v>
      </c>
      <c r="G686">
        <v>10.72</v>
      </c>
      <c r="H686">
        <v>9.2799999999999994</v>
      </c>
      <c r="I686">
        <v>0.74</v>
      </c>
      <c r="J686">
        <v>17.41</v>
      </c>
      <c r="K686">
        <f t="shared" si="100"/>
        <v>68.333333333333329</v>
      </c>
      <c r="L686">
        <f t="shared" si="101"/>
        <v>97.44</v>
      </c>
      <c r="M686">
        <f t="shared" si="102"/>
        <v>42.8125</v>
      </c>
      <c r="N686">
        <f t="shared" si="103"/>
        <v>2.68</v>
      </c>
      <c r="O686">
        <f t="shared" si="104"/>
        <v>11.599999999999998</v>
      </c>
      <c r="P686">
        <f t="shared" si="105"/>
        <v>8.4090909090909083</v>
      </c>
      <c r="Q686">
        <f t="shared" si="106"/>
        <v>16.12037037037037</v>
      </c>
      <c r="R686">
        <f t="shared" si="107"/>
        <v>97.44</v>
      </c>
      <c r="S686" t="str">
        <f t="shared" si="108"/>
        <v>Satisfactory</v>
      </c>
      <c r="T686" t="str">
        <f t="shared" si="109"/>
        <v>PM10</v>
      </c>
      <c r="U686">
        <v>21.85</v>
      </c>
      <c r="V686">
        <v>65.94</v>
      </c>
    </row>
    <row r="687" spans="1:22" x14ac:dyDescent="0.3">
      <c r="A687" s="2" t="s">
        <v>15</v>
      </c>
      <c r="B687">
        <v>560026</v>
      </c>
      <c r="C687" s="3">
        <v>44168</v>
      </c>
      <c r="D687">
        <v>38.049999999999997</v>
      </c>
      <c r="E687">
        <v>77.709999999999994</v>
      </c>
      <c r="F687">
        <v>35.700000000000003</v>
      </c>
      <c r="G687">
        <v>5.76</v>
      </c>
      <c r="H687">
        <v>12.14</v>
      </c>
      <c r="I687">
        <v>0.76</v>
      </c>
      <c r="J687">
        <v>15.86</v>
      </c>
      <c r="K687">
        <f t="shared" si="100"/>
        <v>63.416666666666664</v>
      </c>
      <c r="L687">
        <f t="shared" si="101"/>
        <v>77.709999999999994</v>
      </c>
      <c r="M687">
        <f t="shared" si="102"/>
        <v>44.625000000000007</v>
      </c>
      <c r="N687">
        <f t="shared" si="103"/>
        <v>1.44</v>
      </c>
      <c r="O687">
        <f t="shared" si="104"/>
        <v>15.175000000000001</v>
      </c>
      <c r="P687">
        <f t="shared" si="105"/>
        <v>8.6363636363636367</v>
      </c>
      <c r="Q687">
        <f t="shared" si="106"/>
        <v>14.685185185185185</v>
      </c>
      <c r="R687">
        <f t="shared" si="107"/>
        <v>77.709999999999994</v>
      </c>
      <c r="S687" t="str">
        <f t="shared" si="108"/>
        <v>Satisfactory</v>
      </c>
      <c r="T687" t="str">
        <f t="shared" si="109"/>
        <v>PM10</v>
      </c>
      <c r="U687">
        <v>20.69</v>
      </c>
      <c r="V687">
        <v>77.569999999999993</v>
      </c>
    </row>
    <row r="688" spans="1:22" x14ac:dyDescent="0.3">
      <c r="A688" s="2" t="s">
        <v>15</v>
      </c>
      <c r="B688">
        <v>560026</v>
      </c>
      <c r="C688" s="3">
        <v>44169</v>
      </c>
      <c r="D688">
        <v>28.72</v>
      </c>
      <c r="E688">
        <v>59.63</v>
      </c>
      <c r="F688">
        <v>28.13</v>
      </c>
      <c r="G688">
        <v>11.23</v>
      </c>
      <c r="H688">
        <v>11.7</v>
      </c>
      <c r="I688">
        <v>0.9</v>
      </c>
      <c r="J688">
        <v>8.0500000000000007</v>
      </c>
      <c r="K688">
        <f t="shared" si="100"/>
        <v>47.866666666666667</v>
      </c>
      <c r="L688">
        <f t="shared" si="101"/>
        <v>59.63</v>
      </c>
      <c r="M688">
        <f t="shared" si="102"/>
        <v>35.162500000000001</v>
      </c>
      <c r="N688">
        <f t="shared" si="103"/>
        <v>2.8075000000000001</v>
      </c>
      <c r="O688">
        <f t="shared" si="104"/>
        <v>14.625</v>
      </c>
      <c r="P688">
        <f t="shared" si="105"/>
        <v>10.227272727272727</v>
      </c>
      <c r="Q688">
        <f t="shared" si="106"/>
        <v>7.4537037037037042</v>
      </c>
      <c r="R688">
        <f t="shared" si="107"/>
        <v>59.63</v>
      </c>
      <c r="S688" t="str">
        <f t="shared" si="108"/>
        <v>Satisfactory</v>
      </c>
      <c r="T688" t="str">
        <f t="shared" si="109"/>
        <v>PM10</v>
      </c>
      <c r="U688">
        <v>21.53</v>
      </c>
      <c r="V688">
        <v>79.33</v>
      </c>
    </row>
    <row r="689" spans="1:22" x14ac:dyDescent="0.3">
      <c r="A689" s="2" t="s">
        <v>15</v>
      </c>
      <c r="B689">
        <v>560026</v>
      </c>
      <c r="C689" s="3">
        <v>44170</v>
      </c>
      <c r="D689">
        <v>24.59</v>
      </c>
      <c r="E689">
        <v>55.65</v>
      </c>
      <c r="F689">
        <v>20.18</v>
      </c>
      <c r="G689">
        <v>8.3800000000000008</v>
      </c>
      <c r="H689">
        <v>10.48</v>
      </c>
      <c r="I689">
        <v>0.68</v>
      </c>
      <c r="J689">
        <v>9.9499999999999993</v>
      </c>
      <c r="K689">
        <f t="shared" ref="K689:K751" si="110">IF(ISTEXT(D689),0,IF(D689&lt;=30,D689*50/30,IF(AND(D689&gt;30,D689&lt;=60),50+(D689-30)*50/30,IF(AND(D689&gt;60,D689&lt;=90),100+(D689-60)*100/30,IF(AND(D689&gt;90,D689&lt;=120),200+(D689-90)*(100/30),IF(AND(D689&gt;120,D689&lt;=250),300+(D689-120)*(100/130),IF(D689&gt;250,400+(D689-250)*(100/130))))))))</f>
        <v>40.983333333333334</v>
      </c>
      <c r="L689">
        <f t="shared" ref="L689:L751" si="111">IF(ISTEXT(E689),0,IF(E689&lt;=50,E689,IF(AND(E689&gt;50,E689&lt;=100),E689,IF(AND(E689&gt;100,E689&lt;=250),100+(E689-100)*100/150,IF(AND(E689&gt;250,E689&lt;=350),200+(E689-250),IF(AND(E689&gt;350,E689&lt;=430),300+(E689-350)*(100/80),IF(E689&gt;430,400+(E689-430)*(100/80))))))))</f>
        <v>55.65</v>
      </c>
      <c r="M689">
        <f t="shared" ref="M689:M751" si="112">IF(ISTEXT(F689),0,IF(F689&lt;=40,F689*50/40,IF(AND(F689&gt;40,F689&lt;=80),50+(F689-40)*50/40,IF(AND(F689&gt;80,F689&lt;=180),100+(F689-80)*100/100,IF(AND(F689&gt;180,F689&lt;=280),200+(F689-180)*(100/100),IF(AND(F689&gt;280,F689&lt;=400),300+(F689-280)*(100/120),IF(F689&gt;400,400+(F689-400)*(100/120))))))))</f>
        <v>25.225000000000001</v>
      </c>
      <c r="N689">
        <f t="shared" ref="N689:N751" si="113">IF(ISTEXT(G689),0,IF(G689&lt;=200,G689*50/200,IF(AND(G689&gt;200,G689&lt;=400),50+(G689-200)*50/200,IF(AND(G689&gt;400,G689&lt;=800),100+(G689-400)*100/400,IF(AND(G689&gt;800,G689&lt;=1200),200+(G689-800)*(100/400),IF(AND(G689&gt;1200,G689&lt;=1800),300+(G689-1200)*(100/600),IF(G689&gt;1800,400+(G689-1800)*(100/600))))))))</f>
        <v>2.0950000000000002</v>
      </c>
      <c r="O689">
        <f t="shared" ref="O689:O751" si="114">IF(ISTEXT(H689),0,IF(H689&lt;=40,H689*50/40,IF(AND(H689&gt;40,H689&lt;=80),50+(H689-40)*50/40,IF(AND(H689&gt;80,H689&lt;=380),100+(H689-80)*100/300,IF(AND(H689&gt;380,H689&lt;=800),200+(H689-380)*(100/420),IF(AND(H689&gt;800,H689&lt;=1600),300+(H689-800)*(100/800),IF(H689&gt;1600,400+(H689-1600)*(100/800))))))))</f>
        <v>13.1</v>
      </c>
      <c r="P689">
        <f t="shared" ref="P689:P751" si="115">IF(I689&lt;=4.4,(50-0)/(4.4-0)*(I689-0)+0,
IF(I689&lt;=9.4,(100-51)/(9.4-4.5)*(I689-4.5)+51,
IF(I689&lt;=12.4,(150-101)/(12.4-9.5)*(I689-9.5)+101,
IF(I689&lt;=15.4,(200-151)/(15.4-12.5)*(I689-12.5)+151,
IF(I689&lt;=30.4,(300-201)/(30.4-15.5)*(I689-15.5)+201,
(500-301)/(50.4-30.5)*(I689-30.5)+301)))))</f>
        <v>7.7272727272727275</v>
      </c>
      <c r="Q689">
        <f t="shared" ref="Q689:Q751" si="116">IF(J689&lt;=54,(50-0)/(54-0)*(J689-0)+0,
IF(J689&lt;=70,(100-51)/(70-55)*(J689-55)+51,
IF(J689&lt;=85,(150-101)/(85-71)*(J689-71)+101,
IF(J689&lt;=105,(200-151)/(105-86)*(J689-86)+151,
IF(J689&lt;=200,(300-201)/(200-106)*(J689-106)+201,
(500-301)/(300-201)*(J689-201)+301)))))</f>
        <v>9.2129629629629619</v>
      </c>
      <c r="R689">
        <f t="shared" ref="R689:R751" si="117">MAX(K689:Q689)</f>
        <v>55.65</v>
      </c>
      <c r="S689" t="str">
        <f t="shared" ref="S689:S751" si="118">IF(R689&lt;=50,"Good",
IF(R689&lt;=100,"Satisfactory",
IF(R689&lt;=200,"Moderate",
IF(R689&lt;=300,"Poor",
IF(R689&lt;=400,"Very Poor",
"Severe")))))</f>
        <v>Satisfactory</v>
      </c>
      <c r="T689" t="str">
        <f t="shared" ref="T689:T751" si="119">IF(MAX(K689:Q689)=K689,"PM2.5",
IF(MAX(K689:Q689)=L689,"PM10",
IF(MAX(K689:Q689)=M689,"NO2",
IF(MAX(K689:Q689)=N689,"NH3",
IF(MAX(K689:Q689)=O689,"SO2",
IF(MAX(K689:Q689)=P689,"CO",
IF(MAX(K689:Q689)=Q689,"OZONE","")))))))</f>
        <v>PM10</v>
      </c>
      <c r="U689">
        <v>21.72</v>
      </c>
      <c r="V689">
        <v>77.88</v>
      </c>
    </row>
    <row r="690" spans="1:22" x14ac:dyDescent="0.3">
      <c r="A690" s="2" t="s">
        <v>15</v>
      </c>
      <c r="B690">
        <v>560026</v>
      </c>
      <c r="C690" s="3">
        <v>44171</v>
      </c>
      <c r="D690">
        <v>32.6</v>
      </c>
      <c r="E690">
        <v>63.73</v>
      </c>
      <c r="F690">
        <v>21.36</v>
      </c>
      <c r="G690">
        <v>9.83</v>
      </c>
      <c r="H690">
        <v>12.29</v>
      </c>
      <c r="I690">
        <v>0.7</v>
      </c>
      <c r="J690">
        <v>12.25</v>
      </c>
      <c r="K690">
        <f t="shared" si="110"/>
        <v>54.333333333333336</v>
      </c>
      <c r="L690">
        <f t="shared" si="111"/>
        <v>63.73</v>
      </c>
      <c r="M690">
        <f t="shared" si="112"/>
        <v>26.7</v>
      </c>
      <c r="N690">
        <f t="shared" si="113"/>
        <v>2.4575</v>
      </c>
      <c r="O690">
        <f t="shared" si="114"/>
        <v>15.362500000000001</v>
      </c>
      <c r="P690">
        <f t="shared" si="115"/>
        <v>7.9545454545454541</v>
      </c>
      <c r="Q690">
        <f t="shared" si="116"/>
        <v>11.342592592592593</v>
      </c>
      <c r="R690">
        <f t="shared" si="117"/>
        <v>63.73</v>
      </c>
      <c r="S690" t="str">
        <f t="shared" si="118"/>
        <v>Satisfactory</v>
      </c>
      <c r="T690" t="str">
        <f t="shared" si="119"/>
        <v>PM10</v>
      </c>
      <c r="U690">
        <v>21.6</v>
      </c>
      <c r="V690">
        <v>78.8</v>
      </c>
    </row>
    <row r="691" spans="1:22" x14ac:dyDescent="0.3">
      <c r="A691" s="2" t="s">
        <v>15</v>
      </c>
      <c r="B691">
        <v>560026</v>
      </c>
      <c r="C691" s="3">
        <v>44172</v>
      </c>
      <c r="D691">
        <v>27.85</v>
      </c>
      <c r="E691">
        <v>62.28</v>
      </c>
      <c r="F691">
        <v>16.32</v>
      </c>
      <c r="G691">
        <v>12.55</v>
      </c>
      <c r="H691">
        <v>8.2799999999999994</v>
      </c>
      <c r="I691">
        <v>0.84</v>
      </c>
      <c r="J691">
        <v>3.36</v>
      </c>
      <c r="K691">
        <f t="shared" si="110"/>
        <v>46.416666666666664</v>
      </c>
      <c r="L691">
        <f t="shared" si="111"/>
        <v>62.28</v>
      </c>
      <c r="M691">
        <f t="shared" si="112"/>
        <v>20.399999999999999</v>
      </c>
      <c r="N691">
        <f t="shared" si="113"/>
        <v>3.1375000000000002</v>
      </c>
      <c r="O691">
        <f t="shared" si="114"/>
        <v>10.349999999999998</v>
      </c>
      <c r="P691">
        <f t="shared" si="115"/>
        <v>9.545454545454545</v>
      </c>
      <c r="Q691">
        <f t="shared" si="116"/>
        <v>3.1111111111111112</v>
      </c>
      <c r="R691">
        <f t="shared" si="117"/>
        <v>62.28</v>
      </c>
      <c r="S691" t="str">
        <f t="shared" si="118"/>
        <v>Satisfactory</v>
      </c>
      <c r="T691" t="str">
        <f t="shared" si="119"/>
        <v>PM10</v>
      </c>
      <c r="U691">
        <v>22.65</v>
      </c>
      <c r="V691">
        <v>75.930000000000007</v>
      </c>
    </row>
    <row r="692" spans="1:22" x14ac:dyDescent="0.3">
      <c r="A692" s="2" t="s">
        <v>15</v>
      </c>
      <c r="B692">
        <v>560026</v>
      </c>
      <c r="C692" s="3">
        <v>44173</v>
      </c>
      <c r="D692">
        <v>24.14</v>
      </c>
      <c r="E692">
        <v>48.03</v>
      </c>
      <c r="F692">
        <v>10.220000000000001</v>
      </c>
      <c r="G692">
        <v>9.25</v>
      </c>
      <c r="H692">
        <v>10.52</v>
      </c>
      <c r="I692">
        <v>0.62</v>
      </c>
      <c r="J692">
        <v>2.06</v>
      </c>
      <c r="K692">
        <f t="shared" si="110"/>
        <v>40.233333333333334</v>
      </c>
      <c r="L692">
        <f t="shared" si="111"/>
        <v>48.03</v>
      </c>
      <c r="M692">
        <f t="shared" si="112"/>
        <v>12.775000000000002</v>
      </c>
      <c r="N692">
        <f t="shared" si="113"/>
        <v>2.3125</v>
      </c>
      <c r="O692">
        <f t="shared" si="114"/>
        <v>13.15</v>
      </c>
      <c r="P692">
        <f t="shared" si="115"/>
        <v>7.045454545454545</v>
      </c>
      <c r="Q692">
        <f t="shared" si="116"/>
        <v>1.9074074074074074</v>
      </c>
      <c r="R692">
        <f t="shared" si="117"/>
        <v>48.03</v>
      </c>
      <c r="S692" t="str">
        <f t="shared" si="118"/>
        <v>Good</v>
      </c>
      <c r="T692" t="str">
        <f t="shared" si="119"/>
        <v>PM10</v>
      </c>
      <c r="U692">
        <v>22.14</v>
      </c>
      <c r="V692">
        <v>79.64</v>
      </c>
    </row>
    <row r="693" spans="1:22" x14ac:dyDescent="0.3">
      <c r="A693" s="2" t="s">
        <v>15</v>
      </c>
      <c r="B693">
        <v>560026</v>
      </c>
      <c r="C693" s="3">
        <v>44175</v>
      </c>
      <c r="D693">
        <v>33.880000000000003</v>
      </c>
      <c r="E693">
        <v>87.49</v>
      </c>
      <c r="F693">
        <v>31.87</v>
      </c>
      <c r="G693">
        <v>13.2</v>
      </c>
      <c r="H693">
        <v>8.15</v>
      </c>
      <c r="I693">
        <v>0.65</v>
      </c>
      <c r="J693">
        <v>13.64</v>
      </c>
      <c r="K693">
        <f t="shared" si="110"/>
        <v>56.466666666666669</v>
      </c>
      <c r="L693">
        <f t="shared" si="111"/>
        <v>87.49</v>
      </c>
      <c r="M693">
        <f t="shared" si="112"/>
        <v>39.837499999999999</v>
      </c>
      <c r="N693">
        <f t="shared" si="113"/>
        <v>3.3</v>
      </c>
      <c r="O693">
        <f t="shared" si="114"/>
        <v>10.1875</v>
      </c>
      <c r="P693">
        <f t="shared" si="115"/>
        <v>7.3863636363636367</v>
      </c>
      <c r="Q693">
        <f t="shared" si="116"/>
        <v>12.62962962962963</v>
      </c>
      <c r="R693">
        <f t="shared" si="117"/>
        <v>87.49</v>
      </c>
      <c r="S693" t="str">
        <f t="shared" si="118"/>
        <v>Satisfactory</v>
      </c>
      <c r="T693" t="str">
        <f t="shared" si="119"/>
        <v>PM10</v>
      </c>
      <c r="U693">
        <v>22.71</v>
      </c>
      <c r="V693">
        <v>56.38</v>
      </c>
    </row>
    <row r="694" spans="1:22" x14ac:dyDescent="0.3">
      <c r="A694" s="2" t="s">
        <v>15</v>
      </c>
      <c r="B694">
        <v>560026</v>
      </c>
      <c r="C694" s="3">
        <v>44176</v>
      </c>
      <c r="D694">
        <v>50.08</v>
      </c>
      <c r="E694">
        <v>101.97</v>
      </c>
      <c r="F694">
        <v>61.31</v>
      </c>
      <c r="G694">
        <v>16.03</v>
      </c>
      <c r="H694">
        <v>11.77</v>
      </c>
      <c r="I694">
        <v>0.77</v>
      </c>
      <c r="J694">
        <v>24.68</v>
      </c>
      <c r="K694">
        <f t="shared" si="110"/>
        <v>83.466666666666669</v>
      </c>
      <c r="L694">
        <f t="shared" si="111"/>
        <v>101.31333333333333</v>
      </c>
      <c r="M694">
        <f t="shared" si="112"/>
        <v>76.637500000000003</v>
      </c>
      <c r="N694">
        <f t="shared" si="113"/>
        <v>4.0075000000000003</v>
      </c>
      <c r="O694">
        <f t="shared" si="114"/>
        <v>14.7125</v>
      </c>
      <c r="P694">
        <f t="shared" si="115"/>
        <v>8.75</v>
      </c>
      <c r="Q694">
        <f t="shared" si="116"/>
        <v>22.851851851851851</v>
      </c>
      <c r="R694">
        <f t="shared" si="117"/>
        <v>101.31333333333333</v>
      </c>
      <c r="S694" t="str">
        <f t="shared" si="118"/>
        <v>Moderate</v>
      </c>
      <c r="T694" t="str">
        <f t="shared" si="119"/>
        <v>PM10</v>
      </c>
      <c r="U694">
        <v>22.52</v>
      </c>
      <c r="V694">
        <v>58.74</v>
      </c>
    </row>
    <row r="695" spans="1:22" x14ac:dyDescent="0.3">
      <c r="A695" s="2" t="s">
        <v>15</v>
      </c>
      <c r="B695">
        <v>560026</v>
      </c>
      <c r="C695" s="3">
        <v>44177</v>
      </c>
      <c r="D695">
        <v>54.59</v>
      </c>
      <c r="E695">
        <v>111.8</v>
      </c>
      <c r="F695">
        <v>49.75</v>
      </c>
      <c r="G695">
        <v>13.69</v>
      </c>
      <c r="H695">
        <v>8.41</v>
      </c>
      <c r="I695">
        <v>0.7</v>
      </c>
      <c r="J695">
        <v>29.61</v>
      </c>
      <c r="K695">
        <f t="shared" si="110"/>
        <v>90.983333333333348</v>
      </c>
      <c r="L695">
        <f t="shared" si="111"/>
        <v>107.86666666666666</v>
      </c>
      <c r="M695">
        <f t="shared" si="112"/>
        <v>62.1875</v>
      </c>
      <c r="N695">
        <f t="shared" si="113"/>
        <v>3.4224999999999999</v>
      </c>
      <c r="O695">
        <f t="shared" si="114"/>
        <v>10.512499999999999</v>
      </c>
      <c r="P695">
        <f t="shared" si="115"/>
        <v>7.9545454545454541</v>
      </c>
      <c r="Q695">
        <f t="shared" si="116"/>
        <v>27.416666666666668</v>
      </c>
      <c r="R695">
        <f t="shared" si="117"/>
        <v>107.86666666666666</v>
      </c>
      <c r="S695" t="str">
        <f t="shared" si="118"/>
        <v>Moderate</v>
      </c>
      <c r="T695" t="str">
        <f t="shared" si="119"/>
        <v>PM10</v>
      </c>
      <c r="U695">
        <v>21.47</v>
      </c>
      <c r="V695">
        <v>62.71</v>
      </c>
    </row>
    <row r="696" spans="1:22" x14ac:dyDescent="0.3">
      <c r="A696" s="2" t="s">
        <v>15</v>
      </c>
      <c r="B696">
        <v>560026</v>
      </c>
      <c r="C696" s="3">
        <v>44178</v>
      </c>
      <c r="D696">
        <v>56.67</v>
      </c>
      <c r="E696">
        <v>104.21</v>
      </c>
      <c r="F696">
        <v>47.99</v>
      </c>
      <c r="G696">
        <v>12.1</v>
      </c>
      <c r="H696">
        <v>12.5</v>
      </c>
      <c r="I696">
        <v>0.61</v>
      </c>
      <c r="J696">
        <v>39.81</v>
      </c>
      <c r="K696">
        <f t="shared" si="110"/>
        <v>94.45</v>
      </c>
      <c r="L696">
        <f t="shared" si="111"/>
        <v>102.80666666666666</v>
      </c>
      <c r="M696">
        <f t="shared" si="112"/>
        <v>59.987500000000004</v>
      </c>
      <c r="N696">
        <f t="shared" si="113"/>
        <v>3.0249999999999999</v>
      </c>
      <c r="O696">
        <f t="shared" si="114"/>
        <v>15.625</v>
      </c>
      <c r="P696">
        <f t="shared" si="115"/>
        <v>6.9318181818181817</v>
      </c>
      <c r="Q696">
        <f t="shared" si="116"/>
        <v>36.861111111111114</v>
      </c>
      <c r="R696">
        <f t="shared" si="117"/>
        <v>102.80666666666666</v>
      </c>
      <c r="S696" t="str">
        <f t="shared" si="118"/>
        <v>Moderate</v>
      </c>
      <c r="T696" t="str">
        <f t="shared" si="119"/>
        <v>PM10</v>
      </c>
      <c r="U696">
        <v>22.02</v>
      </c>
      <c r="V696">
        <v>65.42</v>
      </c>
    </row>
    <row r="697" spans="1:22" x14ac:dyDescent="0.3">
      <c r="A697" s="2" t="s">
        <v>15</v>
      </c>
      <c r="B697">
        <v>560026</v>
      </c>
      <c r="C697" s="3">
        <v>44179</v>
      </c>
      <c r="D697">
        <v>59.83</v>
      </c>
      <c r="E697">
        <v>114.92</v>
      </c>
      <c r="F697">
        <v>52.05</v>
      </c>
      <c r="G697">
        <v>15.19</v>
      </c>
      <c r="H697">
        <v>7.85</v>
      </c>
      <c r="I697">
        <v>0.75</v>
      </c>
      <c r="J697">
        <v>33.82</v>
      </c>
      <c r="K697">
        <f t="shared" si="110"/>
        <v>99.716666666666669</v>
      </c>
      <c r="L697">
        <f t="shared" si="111"/>
        <v>109.94666666666667</v>
      </c>
      <c r="M697">
        <f t="shared" si="112"/>
        <v>65.0625</v>
      </c>
      <c r="N697">
        <f t="shared" si="113"/>
        <v>3.7974999999999999</v>
      </c>
      <c r="O697">
        <f t="shared" si="114"/>
        <v>9.8125</v>
      </c>
      <c r="P697">
        <f t="shared" si="115"/>
        <v>8.5227272727272734</v>
      </c>
      <c r="Q697">
        <f t="shared" si="116"/>
        <v>31.314814814814817</v>
      </c>
      <c r="R697">
        <f t="shared" si="117"/>
        <v>109.94666666666667</v>
      </c>
      <c r="S697" t="str">
        <f t="shared" si="118"/>
        <v>Moderate</v>
      </c>
      <c r="T697" t="str">
        <f t="shared" si="119"/>
        <v>PM10</v>
      </c>
      <c r="U697">
        <v>22.07</v>
      </c>
      <c r="V697">
        <v>62.78</v>
      </c>
    </row>
    <row r="698" spans="1:22" x14ac:dyDescent="0.3">
      <c r="A698" s="2" t="s">
        <v>15</v>
      </c>
      <c r="B698">
        <v>560026</v>
      </c>
      <c r="C698" s="3">
        <v>44180</v>
      </c>
      <c r="D698">
        <v>55.27</v>
      </c>
      <c r="E698">
        <v>108.16</v>
      </c>
      <c r="F698">
        <v>51.61</v>
      </c>
      <c r="G698">
        <v>15.54</v>
      </c>
      <c r="H698">
        <v>16.989999999999998</v>
      </c>
      <c r="I698">
        <v>0.6</v>
      </c>
      <c r="J698">
        <v>26.53</v>
      </c>
      <c r="K698">
        <f t="shared" si="110"/>
        <v>92.116666666666674</v>
      </c>
      <c r="L698">
        <f t="shared" si="111"/>
        <v>105.44</v>
      </c>
      <c r="M698">
        <f t="shared" si="112"/>
        <v>64.512500000000003</v>
      </c>
      <c r="N698">
        <f t="shared" si="113"/>
        <v>3.8849999999999998</v>
      </c>
      <c r="O698">
        <f t="shared" si="114"/>
        <v>21.237499999999997</v>
      </c>
      <c r="P698">
        <f t="shared" si="115"/>
        <v>6.8181818181818175</v>
      </c>
      <c r="Q698">
        <f t="shared" si="116"/>
        <v>24.564814814814817</v>
      </c>
      <c r="R698">
        <f t="shared" si="117"/>
        <v>105.44</v>
      </c>
      <c r="S698" t="str">
        <f t="shared" si="118"/>
        <v>Moderate</v>
      </c>
      <c r="T698" t="str">
        <f t="shared" si="119"/>
        <v>PM10</v>
      </c>
      <c r="U698">
        <v>21.89</v>
      </c>
      <c r="V698">
        <v>62.47</v>
      </c>
    </row>
    <row r="699" spans="1:22" x14ac:dyDescent="0.3">
      <c r="A699" s="2" t="s">
        <v>15</v>
      </c>
      <c r="B699">
        <v>560026</v>
      </c>
      <c r="C699" s="3">
        <v>44181</v>
      </c>
      <c r="D699">
        <v>50.28</v>
      </c>
      <c r="E699">
        <v>101.12</v>
      </c>
      <c r="F699">
        <v>52.54</v>
      </c>
      <c r="G699">
        <v>16.63</v>
      </c>
      <c r="H699">
        <v>11.34</v>
      </c>
      <c r="I699">
        <v>0.69</v>
      </c>
      <c r="J699">
        <v>14.49</v>
      </c>
      <c r="K699">
        <f t="shared" si="110"/>
        <v>83.8</v>
      </c>
      <c r="L699">
        <f t="shared" si="111"/>
        <v>100.74666666666667</v>
      </c>
      <c r="M699">
        <f t="shared" si="112"/>
        <v>65.674999999999997</v>
      </c>
      <c r="N699">
        <f t="shared" si="113"/>
        <v>4.1574999999999998</v>
      </c>
      <c r="O699">
        <f t="shared" si="114"/>
        <v>14.175000000000001</v>
      </c>
      <c r="P699">
        <f t="shared" si="115"/>
        <v>7.8409090909090899</v>
      </c>
      <c r="Q699">
        <f t="shared" si="116"/>
        <v>13.416666666666666</v>
      </c>
      <c r="R699">
        <f t="shared" si="117"/>
        <v>100.74666666666667</v>
      </c>
      <c r="S699" t="str">
        <f t="shared" si="118"/>
        <v>Moderate</v>
      </c>
      <c r="T699" t="str">
        <f t="shared" si="119"/>
        <v>PM10</v>
      </c>
      <c r="U699">
        <v>22.5</v>
      </c>
      <c r="V699">
        <v>69.489999999999995</v>
      </c>
    </row>
    <row r="700" spans="1:22" x14ac:dyDescent="0.3">
      <c r="A700" s="2" t="s">
        <v>15</v>
      </c>
      <c r="B700">
        <v>560026</v>
      </c>
      <c r="C700" s="3">
        <v>44182</v>
      </c>
      <c r="D700">
        <v>48.04</v>
      </c>
      <c r="E700">
        <v>99.79</v>
      </c>
      <c r="F700">
        <v>50.15</v>
      </c>
      <c r="G700">
        <v>15.49</v>
      </c>
      <c r="H700">
        <v>11.02</v>
      </c>
      <c r="I700">
        <v>0.79</v>
      </c>
      <c r="J700">
        <v>9.3800000000000008</v>
      </c>
      <c r="K700">
        <f t="shared" si="110"/>
        <v>80.066666666666663</v>
      </c>
      <c r="L700">
        <f t="shared" si="111"/>
        <v>99.79</v>
      </c>
      <c r="M700">
        <f t="shared" si="112"/>
        <v>62.6875</v>
      </c>
      <c r="N700">
        <f t="shared" si="113"/>
        <v>3.8725000000000001</v>
      </c>
      <c r="O700">
        <f t="shared" si="114"/>
        <v>13.775</v>
      </c>
      <c r="P700">
        <f t="shared" si="115"/>
        <v>8.9772727272727266</v>
      </c>
      <c r="Q700">
        <f t="shared" si="116"/>
        <v>8.6851851851851851</v>
      </c>
      <c r="R700">
        <f t="shared" si="117"/>
        <v>99.79</v>
      </c>
      <c r="S700" t="str">
        <f t="shared" si="118"/>
        <v>Satisfactory</v>
      </c>
      <c r="T700" t="str">
        <f t="shared" si="119"/>
        <v>PM10</v>
      </c>
      <c r="U700">
        <v>22.35</v>
      </c>
      <c r="V700">
        <v>71.430000000000007</v>
      </c>
    </row>
    <row r="701" spans="1:22" x14ac:dyDescent="0.3">
      <c r="A701" s="2" t="s">
        <v>15</v>
      </c>
      <c r="B701">
        <v>560026</v>
      </c>
      <c r="C701" s="3">
        <v>44183</v>
      </c>
      <c r="D701">
        <v>52.45</v>
      </c>
      <c r="E701">
        <v>106.52</v>
      </c>
      <c r="F701">
        <v>53.96</v>
      </c>
      <c r="G701">
        <v>16.03</v>
      </c>
      <c r="H701">
        <v>9.84</v>
      </c>
      <c r="I701">
        <v>0.77</v>
      </c>
      <c r="J701">
        <v>18.79</v>
      </c>
      <c r="K701">
        <f t="shared" si="110"/>
        <v>87.416666666666671</v>
      </c>
      <c r="L701">
        <f t="shared" si="111"/>
        <v>104.34666666666666</v>
      </c>
      <c r="M701">
        <f t="shared" si="112"/>
        <v>67.45</v>
      </c>
      <c r="N701">
        <f t="shared" si="113"/>
        <v>4.0075000000000003</v>
      </c>
      <c r="O701">
        <f t="shared" si="114"/>
        <v>12.3</v>
      </c>
      <c r="P701">
        <f t="shared" si="115"/>
        <v>8.75</v>
      </c>
      <c r="Q701">
        <f t="shared" si="116"/>
        <v>17.398148148148149</v>
      </c>
      <c r="R701">
        <f t="shared" si="117"/>
        <v>104.34666666666666</v>
      </c>
      <c r="S701" t="str">
        <f t="shared" si="118"/>
        <v>Moderate</v>
      </c>
      <c r="T701" t="str">
        <f t="shared" si="119"/>
        <v>PM10</v>
      </c>
      <c r="U701">
        <v>23.25</v>
      </c>
      <c r="V701">
        <v>59.97</v>
      </c>
    </row>
    <row r="702" spans="1:22" x14ac:dyDescent="0.3">
      <c r="A702" s="2" t="s">
        <v>15</v>
      </c>
      <c r="B702">
        <v>560026</v>
      </c>
      <c r="C702" s="3">
        <v>44184</v>
      </c>
      <c r="D702">
        <v>62.07</v>
      </c>
      <c r="E702">
        <v>116.68</v>
      </c>
      <c r="F702">
        <v>62.58</v>
      </c>
      <c r="G702">
        <v>20.03</v>
      </c>
      <c r="H702">
        <v>10.77</v>
      </c>
      <c r="I702">
        <v>0.88</v>
      </c>
      <c r="J702">
        <v>16.78</v>
      </c>
      <c r="K702">
        <f t="shared" si="110"/>
        <v>106.9</v>
      </c>
      <c r="L702">
        <f t="shared" si="111"/>
        <v>111.12</v>
      </c>
      <c r="M702">
        <f t="shared" si="112"/>
        <v>78.224999999999994</v>
      </c>
      <c r="N702">
        <f t="shared" si="113"/>
        <v>5.0075000000000003</v>
      </c>
      <c r="O702">
        <f t="shared" si="114"/>
        <v>13.4625</v>
      </c>
      <c r="P702">
        <f t="shared" si="115"/>
        <v>10</v>
      </c>
      <c r="Q702">
        <f t="shared" si="116"/>
        <v>15.537037037037038</v>
      </c>
      <c r="R702">
        <f t="shared" si="117"/>
        <v>111.12</v>
      </c>
      <c r="S702" t="str">
        <f t="shared" si="118"/>
        <v>Moderate</v>
      </c>
      <c r="T702" t="str">
        <f t="shared" si="119"/>
        <v>PM10</v>
      </c>
      <c r="U702">
        <v>21.36</v>
      </c>
      <c r="V702">
        <v>67.19</v>
      </c>
    </row>
    <row r="703" spans="1:22" x14ac:dyDescent="0.3">
      <c r="A703" s="2" t="s">
        <v>15</v>
      </c>
      <c r="B703">
        <v>560026</v>
      </c>
      <c r="C703" s="3">
        <v>44185</v>
      </c>
      <c r="D703">
        <v>68.97</v>
      </c>
      <c r="E703">
        <v>121.61</v>
      </c>
      <c r="F703">
        <v>51.27</v>
      </c>
      <c r="G703">
        <v>16.84</v>
      </c>
      <c r="H703">
        <v>14.21</v>
      </c>
      <c r="I703">
        <v>0.64</v>
      </c>
      <c r="J703">
        <v>27.14</v>
      </c>
      <c r="K703">
        <f t="shared" si="110"/>
        <v>129.9</v>
      </c>
      <c r="L703">
        <f t="shared" si="111"/>
        <v>114.40666666666667</v>
      </c>
      <c r="M703">
        <f t="shared" si="112"/>
        <v>64.087500000000006</v>
      </c>
      <c r="N703">
        <f t="shared" si="113"/>
        <v>4.21</v>
      </c>
      <c r="O703">
        <f t="shared" si="114"/>
        <v>17.762499999999999</v>
      </c>
      <c r="P703">
        <f t="shared" si="115"/>
        <v>7.2727272727272725</v>
      </c>
      <c r="Q703">
        <f t="shared" si="116"/>
        <v>25.12962962962963</v>
      </c>
      <c r="R703">
        <f t="shared" si="117"/>
        <v>129.9</v>
      </c>
      <c r="S703" t="str">
        <f t="shared" si="118"/>
        <v>Moderate</v>
      </c>
      <c r="T703" t="str">
        <f t="shared" si="119"/>
        <v>PM2.5</v>
      </c>
      <c r="U703">
        <v>21.51</v>
      </c>
      <c r="V703">
        <v>65.77</v>
      </c>
    </row>
    <row r="704" spans="1:22" x14ac:dyDescent="0.3">
      <c r="A704" s="2" t="s">
        <v>15</v>
      </c>
      <c r="B704">
        <v>560026</v>
      </c>
      <c r="C704" s="3">
        <v>44186</v>
      </c>
      <c r="D704">
        <v>63.46</v>
      </c>
      <c r="E704">
        <v>115.38</v>
      </c>
      <c r="F704">
        <v>57.31</v>
      </c>
      <c r="G704">
        <v>16.96</v>
      </c>
      <c r="H704">
        <v>11.93</v>
      </c>
      <c r="I704">
        <v>0.73</v>
      </c>
      <c r="J704">
        <v>33.99</v>
      </c>
      <c r="K704">
        <f t="shared" si="110"/>
        <v>111.53333333333333</v>
      </c>
      <c r="L704">
        <f t="shared" si="111"/>
        <v>110.25333333333333</v>
      </c>
      <c r="M704">
        <f t="shared" si="112"/>
        <v>71.637500000000003</v>
      </c>
      <c r="N704">
        <f t="shared" si="113"/>
        <v>4.24</v>
      </c>
      <c r="O704">
        <f t="shared" si="114"/>
        <v>14.9125</v>
      </c>
      <c r="P704">
        <f t="shared" si="115"/>
        <v>8.295454545454545</v>
      </c>
      <c r="Q704">
        <f t="shared" si="116"/>
        <v>31.472222222222225</v>
      </c>
      <c r="R704">
        <f t="shared" si="117"/>
        <v>111.53333333333333</v>
      </c>
      <c r="S704" t="str">
        <f t="shared" si="118"/>
        <v>Moderate</v>
      </c>
      <c r="T704" t="str">
        <f t="shared" si="119"/>
        <v>PM2.5</v>
      </c>
      <c r="U704">
        <v>20.61</v>
      </c>
      <c r="V704">
        <v>60.66</v>
      </c>
    </row>
    <row r="705" spans="1:22" x14ac:dyDescent="0.3">
      <c r="A705" s="2" t="s">
        <v>15</v>
      </c>
      <c r="B705">
        <v>560026</v>
      </c>
      <c r="C705" s="3">
        <v>44187</v>
      </c>
      <c r="D705">
        <v>59.54</v>
      </c>
      <c r="E705">
        <v>109.87</v>
      </c>
      <c r="F705">
        <v>48.57</v>
      </c>
      <c r="G705">
        <v>14.1</v>
      </c>
      <c r="H705">
        <v>6.83</v>
      </c>
      <c r="I705">
        <v>0.6</v>
      </c>
      <c r="J705">
        <v>37.5</v>
      </c>
      <c r="K705">
        <f t="shared" si="110"/>
        <v>99.233333333333334</v>
      </c>
      <c r="L705">
        <f t="shared" si="111"/>
        <v>106.58</v>
      </c>
      <c r="M705">
        <f t="shared" si="112"/>
        <v>60.712499999999999</v>
      </c>
      <c r="N705">
        <f t="shared" si="113"/>
        <v>3.5249999999999999</v>
      </c>
      <c r="O705">
        <f t="shared" si="114"/>
        <v>8.5374999999999996</v>
      </c>
      <c r="P705">
        <f t="shared" si="115"/>
        <v>6.8181818181818175</v>
      </c>
      <c r="Q705">
        <f t="shared" si="116"/>
        <v>34.722222222222221</v>
      </c>
      <c r="R705">
        <f t="shared" si="117"/>
        <v>106.58</v>
      </c>
      <c r="S705" t="str">
        <f t="shared" si="118"/>
        <v>Moderate</v>
      </c>
      <c r="T705" t="str">
        <f t="shared" si="119"/>
        <v>PM10</v>
      </c>
      <c r="U705">
        <v>21.14</v>
      </c>
      <c r="V705">
        <v>61.93</v>
      </c>
    </row>
    <row r="706" spans="1:22" x14ac:dyDescent="0.3">
      <c r="A706" s="2" t="s">
        <v>15</v>
      </c>
      <c r="B706">
        <v>560026</v>
      </c>
      <c r="C706" s="3">
        <v>44188</v>
      </c>
      <c r="D706">
        <v>60.53</v>
      </c>
      <c r="E706">
        <v>109.1</v>
      </c>
      <c r="F706">
        <v>51.74</v>
      </c>
      <c r="G706">
        <v>15.13</v>
      </c>
      <c r="H706">
        <v>10.49</v>
      </c>
      <c r="I706">
        <v>0.6</v>
      </c>
      <c r="J706">
        <v>29.82</v>
      </c>
      <c r="K706">
        <f t="shared" si="110"/>
        <v>101.76666666666667</v>
      </c>
      <c r="L706">
        <f t="shared" si="111"/>
        <v>106.06666666666666</v>
      </c>
      <c r="M706">
        <f t="shared" si="112"/>
        <v>64.674999999999997</v>
      </c>
      <c r="N706">
        <f t="shared" si="113"/>
        <v>3.7825000000000002</v>
      </c>
      <c r="O706">
        <f t="shared" si="114"/>
        <v>13.112500000000001</v>
      </c>
      <c r="P706">
        <f t="shared" si="115"/>
        <v>6.8181818181818175</v>
      </c>
      <c r="Q706">
        <f t="shared" si="116"/>
        <v>27.611111111111111</v>
      </c>
      <c r="R706">
        <f t="shared" si="117"/>
        <v>106.06666666666666</v>
      </c>
      <c r="S706" t="str">
        <f t="shared" si="118"/>
        <v>Moderate</v>
      </c>
      <c r="T706" t="str">
        <f t="shared" si="119"/>
        <v>PM10</v>
      </c>
      <c r="U706">
        <v>21.78</v>
      </c>
      <c r="V706">
        <v>66.760000000000005</v>
      </c>
    </row>
    <row r="707" spans="1:22" x14ac:dyDescent="0.3">
      <c r="A707" s="2" t="s">
        <v>15</v>
      </c>
      <c r="B707">
        <v>560026</v>
      </c>
      <c r="C707" s="3">
        <v>44189</v>
      </c>
      <c r="D707">
        <v>62.8</v>
      </c>
      <c r="E707">
        <v>121.6</v>
      </c>
      <c r="F707">
        <v>65.72</v>
      </c>
      <c r="G707">
        <v>19.22</v>
      </c>
      <c r="H707">
        <v>12.08</v>
      </c>
      <c r="I707">
        <v>0.83</v>
      </c>
      <c r="J707">
        <v>27.95</v>
      </c>
      <c r="K707">
        <f t="shared" si="110"/>
        <v>109.33333333333333</v>
      </c>
      <c r="L707">
        <f t="shared" si="111"/>
        <v>114.39999999999999</v>
      </c>
      <c r="M707">
        <f t="shared" si="112"/>
        <v>82.15</v>
      </c>
      <c r="N707">
        <f t="shared" si="113"/>
        <v>4.8049999999999997</v>
      </c>
      <c r="O707">
        <f t="shared" si="114"/>
        <v>15.1</v>
      </c>
      <c r="P707">
        <f t="shared" si="115"/>
        <v>9.4318181818181817</v>
      </c>
      <c r="Q707">
        <f t="shared" si="116"/>
        <v>25.87962962962963</v>
      </c>
      <c r="R707">
        <f t="shared" si="117"/>
        <v>114.39999999999999</v>
      </c>
      <c r="S707" t="str">
        <f t="shared" si="118"/>
        <v>Moderate</v>
      </c>
      <c r="T707" t="str">
        <f t="shared" si="119"/>
        <v>PM10</v>
      </c>
      <c r="U707">
        <v>22.59</v>
      </c>
      <c r="V707">
        <v>65.680000000000007</v>
      </c>
    </row>
    <row r="708" spans="1:22" x14ac:dyDescent="0.3">
      <c r="A708" s="2" t="s">
        <v>15</v>
      </c>
      <c r="B708">
        <v>560026</v>
      </c>
      <c r="C708" s="3">
        <v>44190</v>
      </c>
      <c r="D708">
        <v>63.07</v>
      </c>
      <c r="E708">
        <v>117.55</v>
      </c>
      <c r="F708">
        <v>56.82</v>
      </c>
      <c r="G708">
        <v>14.82</v>
      </c>
      <c r="H708">
        <v>10.16</v>
      </c>
      <c r="I708">
        <v>0.64</v>
      </c>
      <c r="J708">
        <v>32.950000000000003</v>
      </c>
      <c r="K708">
        <f t="shared" si="110"/>
        <v>110.23333333333333</v>
      </c>
      <c r="L708">
        <f t="shared" si="111"/>
        <v>111.7</v>
      </c>
      <c r="M708">
        <f t="shared" si="112"/>
        <v>71.025000000000006</v>
      </c>
      <c r="N708">
        <f t="shared" si="113"/>
        <v>3.7050000000000001</v>
      </c>
      <c r="O708">
        <f t="shared" si="114"/>
        <v>12.7</v>
      </c>
      <c r="P708">
        <f t="shared" si="115"/>
        <v>7.2727272727272725</v>
      </c>
      <c r="Q708">
        <f t="shared" si="116"/>
        <v>30.509259259259263</v>
      </c>
      <c r="R708">
        <f t="shared" si="117"/>
        <v>111.7</v>
      </c>
      <c r="S708" t="str">
        <f t="shared" si="118"/>
        <v>Moderate</v>
      </c>
      <c r="T708" t="str">
        <f t="shared" si="119"/>
        <v>PM10</v>
      </c>
      <c r="U708">
        <v>22.27</v>
      </c>
      <c r="V708">
        <v>59.55</v>
      </c>
    </row>
    <row r="709" spans="1:22" x14ac:dyDescent="0.3">
      <c r="A709" s="2" t="s">
        <v>15</v>
      </c>
      <c r="B709">
        <v>560026</v>
      </c>
      <c r="C709" s="3">
        <v>44191</v>
      </c>
      <c r="D709">
        <v>62.04</v>
      </c>
      <c r="E709">
        <v>119.53</v>
      </c>
      <c r="F709">
        <v>71.13</v>
      </c>
      <c r="G709">
        <v>17.28</v>
      </c>
      <c r="H709">
        <v>8.32</v>
      </c>
      <c r="I709">
        <v>0.8</v>
      </c>
      <c r="J709">
        <v>20.62</v>
      </c>
      <c r="K709">
        <f t="shared" si="110"/>
        <v>106.8</v>
      </c>
      <c r="L709">
        <f t="shared" si="111"/>
        <v>113.02</v>
      </c>
      <c r="M709">
        <f t="shared" si="112"/>
        <v>88.912499999999994</v>
      </c>
      <c r="N709">
        <f t="shared" si="113"/>
        <v>4.32</v>
      </c>
      <c r="O709">
        <f t="shared" si="114"/>
        <v>10.4</v>
      </c>
      <c r="P709">
        <f t="shared" si="115"/>
        <v>9.0909090909090917</v>
      </c>
      <c r="Q709">
        <f t="shared" si="116"/>
        <v>19.092592592592595</v>
      </c>
      <c r="R709">
        <f t="shared" si="117"/>
        <v>113.02</v>
      </c>
      <c r="S709" t="str">
        <f t="shared" si="118"/>
        <v>Moderate</v>
      </c>
      <c r="T709" t="str">
        <f t="shared" si="119"/>
        <v>PM10</v>
      </c>
      <c r="U709">
        <v>22</v>
      </c>
      <c r="V709">
        <v>58.39</v>
      </c>
    </row>
    <row r="710" spans="1:22" x14ac:dyDescent="0.3">
      <c r="A710" s="2" t="s">
        <v>15</v>
      </c>
      <c r="B710">
        <v>560026</v>
      </c>
      <c r="C710" s="3">
        <v>44192</v>
      </c>
      <c r="D710">
        <v>70.680000000000007</v>
      </c>
      <c r="E710">
        <v>125.43</v>
      </c>
      <c r="F710">
        <v>66.2</v>
      </c>
      <c r="G710">
        <v>15.22</v>
      </c>
      <c r="H710">
        <v>8.6</v>
      </c>
      <c r="I710">
        <v>0.72</v>
      </c>
      <c r="J710">
        <v>22.58</v>
      </c>
      <c r="K710">
        <f t="shared" si="110"/>
        <v>135.60000000000002</v>
      </c>
      <c r="L710">
        <f t="shared" si="111"/>
        <v>116.95333333333335</v>
      </c>
      <c r="M710">
        <f t="shared" si="112"/>
        <v>82.75</v>
      </c>
      <c r="N710">
        <f t="shared" si="113"/>
        <v>3.8050000000000002</v>
      </c>
      <c r="O710">
        <f t="shared" si="114"/>
        <v>10.75</v>
      </c>
      <c r="P710">
        <f t="shared" si="115"/>
        <v>8.1818181818181817</v>
      </c>
      <c r="Q710">
        <f t="shared" si="116"/>
        <v>20.907407407407405</v>
      </c>
      <c r="R710">
        <f t="shared" si="117"/>
        <v>135.60000000000002</v>
      </c>
      <c r="S710" t="str">
        <f t="shared" si="118"/>
        <v>Moderate</v>
      </c>
      <c r="T710" t="str">
        <f t="shared" si="119"/>
        <v>PM2.5</v>
      </c>
      <c r="U710">
        <v>22.52</v>
      </c>
      <c r="V710">
        <v>56.81</v>
      </c>
    </row>
    <row r="711" spans="1:22" x14ac:dyDescent="0.3">
      <c r="A711" s="2" t="s">
        <v>15</v>
      </c>
      <c r="B711">
        <v>560026</v>
      </c>
      <c r="C711" s="3">
        <v>44193</v>
      </c>
      <c r="D711">
        <v>76.16</v>
      </c>
      <c r="E711">
        <v>138.08000000000001</v>
      </c>
      <c r="F711">
        <v>74.819999999999993</v>
      </c>
      <c r="G711">
        <v>18.03</v>
      </c>
      <c r="H711">
        <v>12.51</v>
      </c>
      <c r="I711">
        <v>0.87</v>
      </c>
      <c r="J711">
        <v>17.010000000000002</v>
      </c>
      <c r="K711">
        <f t="shared" si="110"/>
        <v>153.86666666666665</v>
      </c>
      <c r="L711">
        <f t="shared" si="111"/>
        <v>125.38666666666668</v>
      </c>
      <c r="M711">
        <f t="shared" si="112"/>
        <v>93.524999999999991</v>
      </c>
      <c r="N711">
        <f t="shared" si="113"/>
        <v>4.5075000000000003</v>
      </c>
      <c r="O711">
        <f t="shared" si="114"/>
        <v>15.637499999999999</v>
      </c>
      <c r="P711">
        <f t="shared" si="115"/>
        <v>9.8863636363636367</v>
      </c>
      <c r="Q711">
        <f t="shared" si="116"/>
        <v>15.750000000000002</v>
      </c>
      <c r="R711">
        <f t="shared" si="117"/>
        <v>153.86666666666665</v>
      </c>
      <c r="S711" t="str">
        <f t="shared" si="118"/>
        <v>Moderate</v>
      </c>
      <c r="T711" t="str">
        <f t="shared" si="119"/>
        <v>PM2.5</v>
      </c>
      <c r="U711">
        <v>22.39</v>
      </c>
      <c r="V711">
        <v>52.5</v>
      </c>
    </row>
    <row r="712" spans="1:22" x14ac:dyDescent="0.3">
      <c r="A712" s="2" t="s">
        <v>15</v>
      </c>
      <c r="B712">
        <v>560026</v>
      </c>
      <c r="C712" s="3">
        <v>44194</v>
      </c>
      <c r="D712">
        <v>59.56</v>
      </c>
      <c r="E712">
        <v>108.9</v>
      </c>
      <c r="F712">
        <v>51.78</v>
      </c>
      <c r="G712">
        <v>12.85</v>
      </c>
      <c r="H712">
        <v>10.58</v>
      </c>
      <c r="I712">
        <v>0.56999999999999995</v>
      </c>
      <c r="J712">
        <v>16.25</v>
      </c>
      <c r="K712">
        <f t="shared" si="110"/>
        <v>99.266666666666666</v>
      </c>
      <c r="L712">
        <f t="shared" si="111"/>
        <v>105.93333333333334</v>
      </c>
      <c r="M712">
        <f t="shared" si="112"/>
        <v>64.724999999999994</v>
      </c>
      <c r="N712">
        <f t="shared" si="113"/>
        <v>3.2124999999999999</v>
      </c>
      <c r="O712">
        <f t="shared" si="114"/>
        <v>13.225</v>
      </c>
      <c r="P712">
        <f t="shared" si="115"/>
        <v>6.4772727272727266</v>
      </c>
      <c r="Q712">
        <f t="shared" si="116"/>
        <v>15.046296296296296</v>
      </c>
      <c r="R712">
        <f t="shared" si="117"/>
        <v>105.93333333333334</v>
      </c>
      <c r="S712" t="str">
        <f t="shared" si="118"/>
        <v>Moderate</v>
      </c>
      <c r="T712" t="str">
        <f t="shared" si="119"/>
        <v>PM10</v>
      </c>
      <c r="U712">
        <v>24.25</v>
      </c>
      <c r="V712">
        <v>58</v>
      </c>
    </row>
    <row r="713" spans="1:22" x14ac:dyDescent="0.3">
      <c r="A713" s="2" t="s">
        <v>15</v>
      </c>
      <c r="B713">
        <v>560026</v>
      </c>
      <c r="C713" s="3">
        <v>44195</v>
      </c>
      <c r="D713">
        <v>53.46</v>
      </c>
      <c r="E713">
        <v>97.89</v>
      </c>
      <c r="F713">
        <v>51.51</v>
      </c>
      <c r="G713">
        <v>12.04</v>
      </c>
      <c r="H713">
        <v>10.91</v>
      </c>
      <c r="I713">
        <v>0.6</v>
      </c>
      <c r="J713">
        <v>18.66</v>
      </c>
      <c r="K713">
        <f t="shared" si="110"/>
        <v>89.1</v>
      </c>
      <c r="L713">
        <f t="shared" si="111"/>
        <v>97.89</v>
      </c>
      <c r="M713">
        <f t="shared" si="112"/>
        <v>64.387500000000003</v>
      </c>
      <c r="N713">
        <f t="shared" si="113"/>
        <v>3.01</v>
      </c>
      <c r="O713">
        <f t="shared" si="114"/>
        <v>13.637499999999999</v>
      </c>
      <c r="P713">
        <f t="shared" si="115"/>
        <v>6.8181818181818175</v>
      </c>
      <c r="Q713">
        <f t="shared" si="116"/>
        <v>17.277777777777779</v>
      </c>
      <c r="R713">
        <f t="shared" si="117"/>
        <v>97.89</v>
      </c>
      <c r="S713" t="str">
        <f t="shared" si="118"/>
        <v>Satisfactory</v>
      </c>
      <c r="T713" t="str">
        <f t="shared" si="119"/>
        <v>PM10</v>
      </c>
      <c r="U713">
        <v>23.02</v>
      </c>
      <c r="V713">
        <v>63.67</v>
      </c>
    </row>
    <row r="714" spans="1:22" x14ac:dyDescent="0.3">
      <c r="A714" s="2" t="s">
        <v>15</v>
      </c>
      <c r="B714">
        <v>560026</v>
      </c>
      <c r="C714" s="3">
        <v>44196</v>
      </c>
      <c r="D714">
        <v>46.16</v>
      </c>
      <c r="E714">
        <v>84.25</v>
      </c>
      <c r="F714">
        <v>51.69</v>
      </c>
      <c r="G714">
        <v>12.37</v>
      </c>
      <c r="H714">
        <v>12.2</v>
      </c>
      <c r="I714">
        <v>0.66</v>
      </c>
      <c r="J714">
        <v>9.5</v>
      </c>
      <c r="K714">
        <f t="shared" si="110"/>
        <v>76.933333333333323</v>
      </c>
      <c r="L714">
        <f t="shared" si="111"/>
        <v>84.25</v>
      </c>
      <c r="M714">
        <f t="shared" si="112"/>
        <v>64.612499999999997</v>
      </c>
      <c r="N714">
        <f t="shared" si="113"/>
        <v>3.0924999999999998</v>
      </c>
      <c r="O714">
        <f t="shared" si="114"/>
        <v>15.25</v>
      </c>
      <c r="P714">
        <f t="shared" si="115"/>
        <v>7.5</v>
      </c>
      <c r="Q714">
        <f t="shared" si="116"/>
        <v>8.7962962962962958</v>
      </c>
      <c r="R714">
        <f t="shared" si="117"/>
        <v>84.25</v>
      </c>
      <c r="S714" t="str">
        <f t="shared" si="118"/>
        <v>Satisfactory</v>
      </c>
      <c r="T714" t="str">
        <f t="shared" si="119"/>
        <v>PM10</v>
      </c>
      <c r="U714">
        <v>22.08</v>
      </c>
      <c r="V714">
        <v>72.39</v>
      </c>
    </row>
    <row r="715" spans="1:22" x14ac:dyDescent="0.3">
      <c r="A715" s="2" t="s">
        <v>15</v>
      </c>
      <c r="B715">
        <v>560026</v>
      </c>
      <c r="C715" s="3">
        <v>44197</v>
      </c>
      <c r="D715">
        <v>61.44</v>
      </c>
      <c r="E715">
        <v>107.68</v>
      </c>
      <c r="F715">
        <v>49.71</v>
      </c>
      <c r="G715">
        <v>10.11</v>
      </c>
      <c r="H715">
        <v>5.28</v>
      </c>
      <c r="I715">
        <v>0.75</v>
      </c>
      <c r="J715">
        <v>18.64</v>
      </c>
      <c r="K715">
        <f t="shared" si="110"/>
        <v>104.8</v>
      </c>
      <c r="L715">
        <f t="shared" si="111"/>
        <v>105.12</v>
      </c>
      <c r="M715">
        <f t="shared" si="112"/>
        <v>62.137500000000003</v>
      </c>
      <c r="N715">
        <f t="shared" si="113"/>
        <v>2.5274999999999999</v>
      </c>
      <c r="O715">
        <f t="shared" si="114"/>
        <v>6.6</v>
      </c>
      <c r="P715">
        <f t="shared" si="115"/>
        <v>8.5227272727272734</v>
      </c>
      <c r="Q715">
        <f t="shared" si="116"/>
        <v>17.25925925925926</v>
      </c>
      <c r="R715">
        <f t="shared" si="117"/>
        <v>105.12</v>
      </c>
      <c r="S715" t="str">
        <f t="shared" si="118"/>
        <v>Moderate</v>
      </c>
      <c r="T715" t="str">
        <f t="shared" si="119"/>
        <v>PM10</v>
      </c>
      <c r="U715">
        <v>21.28</v>
      </c>
      <c r="V715">
        <v>64.739999999999995</v>
      </c>
    </row>
    <row r="716" spans="1:22" x14ac:dyDescent="0.3">
      <c r="A716" s="2" t="s">
        <v>15</v>
      </c>
      <c r="B716">
        <v>560026</v>
      </c>
      <c r="C716" s="3">
        <v>44198</v>
      </c>
      <c r="D716">
        <v>59.73</v>
      </c>
      <c r="E716">
        <v>101</v>
      </c>
      <c r="F716">
        <v>58.81</v>
      </c>
      <c r="G716">
        <v>11.76</v>
      </c>
      <c r="H716">
        <v>9.89</v>
      </c>
      <c r="I716">
        <v>0.78</v>
      </c>
      <c r="J716">
        <v>13</v>
      </c>
      <c r="K716">
        <f t="shared" si="110"/>
        <v>99.549999999999983</v>
      </c>
      <c r="L716">
        <f t="shared" si="111"/>
        <v>100.66666666666667</v>
      </c>
      <c r="M716">
        <f t="shared" si="112"/>
        <v>73.512500000000003</v>
      </c>
      <c r="N716">
        <f t="shared" si="113"/>
        <v>2.94</v>
      </c>
      <c r="O716">
        <f t="shared" si="114"/>
        <v>12.362500000000001</v>
      </c>
      <c r="P716">
        <f t="shared" si="115"/>
        <v>8.8636363636363633</v>
      </c>
      <c r="Q716">
        <f t="shared" si="116"/>
        <v>12.037037037037036</v>
      </c>
      <c r="R716">
        <f t="shared" si="117"/>
        <v>100.66666666666667</v>
      </c>
      <c r="S716" t="str">
        <f t="shared" si="118"/>
        <v>Moderate</v>
      </c>
      <c r="T716" t="str">
        <f t="shared" si="119"/>
        <v>PM10</v>
      </c>
      <c r="U716">
        <v>21.06</v>
      </c>
      <c r="V716">
        <v>71.17</v>
      </c>
    </row>
    <row r="717" spans="1:22" x14ac:dyDescent="0.3">
      <c r="A717" s="2" t="s">
        <v>15</v>
      </c>
      <c r="B717">
        <v>560026</v>
      </c>
      <c r="C717" s="3">
        <v>44199</v>
      </c>
      <c r="D717">
        <v>41.11</v>
      </c>
      <c r="E717">
        <v>65.75</v>
      </c>
      <c r="F717">
        <v>41.37</v>
      </c>
      <c r="G717">
        <v>5.1100000000000003</v>
      </c>
      <c r="H717">
        <v>7.55</v>
      </c>
      <c r="I717">
        <v>0.42</v>
      </c>
      <c r="J717">
        <v>12.78</v>
      </c>
      <c r="K717">
        <f t="shared" si="110"/>
        <v>68.516666666666666</v>
      </c>
      <c r="L717">
        <f t="shared" si="111"/>
        <v>65.75</v>
      </c>
      <c r="M717">
        <f t="shared" si="112"/>
        <v>51.712499999999999</v>
      </c>
      <c r="N717">
        <f t="shared" si="113"/>
        <v>1.2775000000000001</v>
      </c>
      <c r="O717">
        <f t="shared" si="114"/>
        <v>9.4375</v>
      </c>
      <c r="P717">
        <f t="shared" si="115"/>
        <v>4.7727272727272725</v>
      </c>
      <c r="Q717">
        <f t="shared" si="116"/>
        <v>11.833333333333332</v>
      </c>
      <c r="R717">
        <f t="shared" si="117"/>
        <v>68.516666666666666</v>
      </c>
      <c r="S717" t="str">
        <f t="shared" si="118"/>
        <v>Satisfactory</v>
      </c>
      <c r="T717" t="str">
        <f t="shared" si="119"/>
        <v>PM2.5</v>
      </c>
      <c r="U717">
        <v>22.39</v>
      </c>
      <c r="V717">
        <v>71.42</v>
      </c>
    </row>
    <row r="718" spans="1:22" x14ac:dyDescent="0.3">
      <c r="A718" s="2" t="s">
        <v>15</v>
      </c>
      <c r="B718">
        <v>560026</v>
      </c>
      <c r="C718" s="3">
        <v>44200</v>
      </c>
      <c r="D718">
        <v>39.770000000000003</v>
      </c>
      <c r="E718">
        <v>73</v>
      </c>
      <c r="F718">
        <v>51.25</v>
      </c>
      <c r="G718">
        <v>8.86</v>
      </c>
      <c r="H718">
        <v>10.57</v>
      </c>
      <c r="I718">
        <v>0.75</v>
      </c>
      <c r="J718">
        <v>6.34</v>
      </c>
      <c r="K718">
        <f t="shared" si="110"/>
        <v>66.283333333333331</v>
      </c>
      <c r="L718">
        <f t="shared" si="111"/>
        <v>73</v>
      </c>
      <c r="M718">
        <f t="shared" si="112"/>
        <v>64.0625</v>
      </c>
      <c r="N718">
        <f t="shared" si="113"/>
        <v>2.2149999999999999</v>
      </c>
      <c r="O718">
        <f t="shared" si="114"/>
        <v>13.2125</v>
      </c>
      <c r="P718">
        <f t="shared" si="115"/>
        <v>8.5227272727272734</v>
      </c>
      <c r="Q718">
        <f t="shared" si="116"/>
        <v>5.8703703703703702</v>
      </c>
      <c r="R718">
        <f t="shared" si="117"/>
        <v>73</v>
      </c>
      <c r="S718" t="str">
        <f t="shared" si="118"/>
        <v>Satisfactory</v>
      </c>
      <c r="T718" t="str">
        <f t="shared" si="119"/>
        <v>PM10</v>
      </c>
      <c r="U718">
        <v>21.43</v>
      </c>
      <c r="V718">
        <v>73.66</v>
      </c>
    </row>
    <row r="719" spans="1:22" x14ac:dyDescent="0.3">
      <c r="A719" s="2" t="s">
        <v>15</v>
      </c>
      <c r="B719">
        <v>560026</v>
      </c>
      <c r="C719" s="3">
        <v>44201</v>
      </c>
      <c r="D719">
        <v>35.450000000000003</v>
      </c>
      <c r="E719">
        <v>70.650000000000006</v>
      </c>
      <c r="F719">
        <v>48.14</v>
      </c>
      <c r="G719">
        <v>8.91</v>
      </c>
      <c r="H719">
        <v>10.08</v>
      </c>
      <c r="I719">
        <v>0.7</v>
      </c>
      <c r="J719">
        <v>8.1</v>
      </c>
      <c r="K719">
        <f t="shared" si="110"/>
        <v>59.083333333333336</v>
      </c>
      <c r="L719">
        <f t="shared" si="111"/>
        <v>70.650000000000006</v>
      </c>
      <c r="M719">
        <f t="shared" si="112"/>
        <v>60.174999999999997</v>
      </c>
      <c r="N719">
        <f t="shared" si="113"/>
        <v>2.2275</v>
      </c>
      <c r="O719">
        <f t="shared" si="114"/>
        <v>12.6</v>
      </c>
      <c r="P719">
        <f t="shared" si="115"/>
        <v>7.9545454545454541</v>
      </c>
      <c r="Q719">
        <f t="shared" si="116"/>
        <v>7.5</v>
      </c>
      <c r="R719">
        <f t="shared" si="117"/>
        <v>70.650000000000006</v>
      </c>
      <c r="S719" t="str">
        <f t="shared" si="118"/>
        <v>Satisfactory</v>
      </c>
      <c r="T719" t="str">
        <f t="shared" si="119"/>
        <v>PM10</v>
      </c>
      <c r="U719">
        <v>22.42</v>
      </c>
      <c r="V719">
        <v>71.849999999999994</v>
      </c>
    </row>
    <row r="720" spans="1:22" x14ac:dyDescent="0.3">
      <c r="A720" s="2" t="s">
        <v>15</v>
      </c>
      <c r="B720">
        <v>560026</v>
      </c>
      <c r="C720" s="3">
        <v>44202</v>
      </c>
      <c r="D720">
        <v>17.649999999999999</v>
      </c>
      <c r="E720">
        <v>32.049999999999997</v>
      </c>
      <c r="F720">
        <v>52.43</v>
      </c>
      <c r="G720">
        <v>7.16</v>
      </c>
      <c r="H720">
        <v>12.93</v>
      </c>
      <c r="I720">
        <v>1.08</v>
      </c>
      <c r="J720">
        <v>6.73</v>
      </c>
      <c r="K720">
        <f t="shared" si="110"/>
        <v>29.416666666666664</v>
      </c>
      <c r="L720">
        <f t="shared" si="111"/>
        <v>32.049999999999997</v>
      </c>
      <c r="M720">
        <f t="shared" si="112"/>
        <v>65.537499999999994</v>
      </c>
      <c r="N720">
        <f t="shared" si="113"/>
        <v>1.79</v>
      </c>
      <c r="O720">
        <f t="shared" si="114"/>
        <v>16.162500000000001</v>
      </c>
      <c r="P720">
        <f t="shared" si="115"/>
        <v>12.272727272727273</v>
      </c>
      <c r="Q720">
        <f t="shared" si="116"/>
        <v>6.2314814814814818</v>
      </c>
      <c r="R720">
        <f t="shared" si="117"/>
        <v>65.537499999999994</v>
      </c>
      <c r="S720" t="str">
        <f t="shared" si="118"/>
        <v>Satisfactory</v>
      </c>
      <c r="T720" t="str">
        <f t="shared" si="119"/>
        <v>NO2</v>
      </c>
      <c r="U720">
        <v>21.55</v>
      </c>
      <c r="V720">
        <v>67.56</v>
      </c>
    </row>
    <row r="721" spans="1:22" x14ac:dyDescent="0.3">
      <c r="A721" s="2" t="s">
        <v>15</v>
      </c>
      <c r="B721">
        <v>560026</v>
      </c>
      <c r="C721" s="3">
        <v>44203</v>
      </c>
      <c r="D721">
        <v>27.67</v>
      </c>
      <c r="E721">
        <v>70.08</v>
      </c>
      <c r="F721">
        <v>45.29</v>
      </c>
      <c r="G721">
        <v>6.49</v>
      </c>
      <c r="H721">
        <v>18.350000000000001</v>
      </c>
      <c r="I721">
        <v>1.04</v>
      </c>
      <c r="J721">
        <v>8.39</v>
      </c>
      <c r="K721">
        <f t="shared" si="110"/>
        <v>46.116666666666667</v>
      </c>
      <c r="L721">
        <f t="shared" si="111"/>
        <v>70.08</v>
      </c>
      <c r="M721">
        <f t="shared" si="112"/>
        <v>56.612499999999997</v>
      </c>
      <c r="N721">
        <f t="shared" si="113"/>
        <v>1.6225000000000001</v>
      </c>
      <c r="O721">
        <f t="shared" si="114"/>
        <v>22.937500000000004</v>
      </c>
      <c r="P721">
        <f t="shared" si="115"/>
        <v>11.818181818181818</v>
      </c>
      <c r="Q721">
        <f t="shared" si="116"/>
        <v>7.768518518518519</v>
      </c>
      <c r="R721">
        <f t="shared" si="117"/>
        <v>70.08</v>
      </c>
      <c r="S721" t="str">
        <f t="shared" si="118"/>
        <v>Satisfactory</v>
      </c>
      <c r="T721" t="str">
        <f t="shared" si="119"/>
        <v>PM10</v>
      </c>
      <c r="U721">
        <v>22.94</v>
      </c>
      <c r="V721">
        <v>78.290000000000006</v>
      </c>
    </row>
    <row r="722" spans="1:22" x14ac:dyDescent="0.3">
      <c r="A722" s="2" t="s">
        <v>15</v>
      </c>
      <c r="B722">
        <v>560026</v>
      </c>
      <c r="C722" s="3">
        <v>44204</v>
      </c>
      <c r="D722">
        <v>29.74</v>
      </c>
      <c r="E722">
        <v>61.23</v>
      </c>
      <c r="F722">
        <v>27.93</v>
      </c>
      <c r="G722">
        <v>6.24</v>
      </c>
      <c r="H722">
        <v>6.78</v>
      </c>
      <c r="I722">
        <v>0.65</v>
      </c>
      <c r="J722">
        <v>1.29</v>
      </c>
      <c r="K722">
        <f t="shared" si="110"/>
        <v>49.56666666666667</v>
      </c>
      <c r="L722">
        <f t="shared" si="111"/>
        <v>61.23</v>
      </c>
      <c r="M722">
        <f t="shared" si="112"/>
        <v>34.912500000000001</v>
      </c>
      <c r="N722">
        <f t="shared" si="113"/>
        <v>1.56</v>
      </c>
      <c r="O722">
        <f t="shared" si="114"/>
        <v>8.4749999999999996</v>
      </c>
      <c r="P722">
        <f t="shared" si="115"/>
        <v>7.3863636363636367</v>
      </c>
      <c r="Q722">
        <f t="shared" si="116"/>
        <v>1.1944444444444444</v>
      </c>
      <c r="R722">
        <f t="shared" si="117"/>
        <v>61.23</v>
      </c>
      <c r="S722" t="str">
        <f t="shared" si="118"/>
        <v>Satisfactory</v>
      </c>
      <c r="T722" t="str">
        <f t="shared" si="119"/>
        <v>PM10</v>
      </c>
      <c r="U722">
        <v>23.32</v>
      </c>
      <c r="V722">
        <v>73.150000000000006</v>
      </c>
    </row>
    <row r="723" spans="1:22" x14ac:dyDescent="0.3">
      <c r="A723" s="2" t="s">
        <v>15</v>
      </c>
      <c r="B723">
        <v>560026</v>
      </c>
      <c r="C723" s="3">
        <v>44205</v>
      </c>
      <c r="D723">
        <v>30.93</v>
      </c>
      <c r="E723">
        <v>66.3</v>
      </c>
      <c r="F723">
        <v>42.57</v>
      </c>
      <c r="G723">
        <v>9.7799999999999994</v>
      </c>
      <c r="H723">
        <v>8.6300000000000008</v>
      </c>
      <c r="I723">
        <v>0.68</v>
      </c>
      <c r="J723">
        <v>2.2000000000000002</v>
      </c>
      <c r="K723">
        <f t="shared" si="110"/>
        <v>51.55</v>
      </c>
      <c r="L723">
        <f t="shared" si="111"/>
        <v>66.3</v>
      </c>
      <c r="M723">
        <f t="shared" si="112"/>
        <v>53.212499999999999</v>
      </c>
      <c r="N723">
        <f t="shared" si="113"/>
        <v>2.4449999999999998</v>
      </c>
      <c r="O723">
        <f t="shared" si="114"/>
        <v>10.787500000000001</v>
      </c>
      <c r="P723">
        <f t="shared" si="115"/>
        <v>7.7272727272727275</v>
      </c>
      <c r="Q723">
        <f t="shared" si="116"/>
        <v>2.0370370370370372</v>
      </c>
      <c r="R723">
        <f t="shared" si="117"/>
        <v>66.3</v>
      </c>
      <c r="S723" t="str">
        <f t="shared" si="118"/>
        <v>Satisfactory</v>
      </c>
      <c r="T723" t="str">
        <f t="shared" si="119"/>
        <v>PM10</v>
      </c>
      <c r="U723">
        <v>22.18</v>
      </c>
      <c r="V723">
        <v>74.34</v>
      </c>
    </row>
    <row r="724" spans="1:22" x14ac:dyDescent="0.3">
      <c r="A724" s="2" t="s">
        <v>15</v>
      </c>
      <c r="B724">
        <v>560026</v>
      </c>
      <c r="C724" s="3">
        <v>44206</v>
      </c>
      <c r="D724">
        <v>36.47</v>
      </c>
      <c r="E724">
        <v>67.05</v>
      </c>
      <c r="F724">
        <v>57.89</v>
      </c>
      <c r="G724">
        <v>8.5299999999999994</v>
      </c>
      <c r="H724">
        <v>4.24</v>
      </c>
      <c r="I724">
        <v>0.83</v>
      </c>
      <c r="J724">
        <v>2.76</v>
      </c>
      <c r="K724">
        <f t="shared" si="110"/>
        <v>60.783333333333331</v>
      </c>
      <c r="L724">
        <f t="shared" si="111"/>
        <v>67.05</v>
      </c>
      <c r="M724">
        <f t="shared" si="112"/>
        <v>72.362499999999997</v>
      </c>
      <c r="N724">
        <f t="shared" si="113"/>
        <v>2.1324999999999998</v>
      </c>
      <c r="O724">
        <f t="shared" si="114"/>
        <v>5.3</v>
      </c>
      <c r="P724">
        <f t="shared" si="115"/>
        <v>9.4318181818181817</v>
      </c>
      <c r="Q724">
        <f t="shared" si="116"/>
        <v>2.5555555555555554</v>
      </c>
      <c r="R724">
        <f t="shared" si="117"/>
        <v>72.362499999999997</v>
      </c>
      <c r="S724" t="str">
        <f t="shared" si="118"/>
        <v>Satisfactory</v>
      </c>
      <c r="T724" t="str">
        <f t="shared" si="119"/>
        <v>NO2</v>
      </c>
      <c r="U724">
        <v>22.6</v>
      </c>
      <c r="V724">
        <v>71.069999999999993</v>
      </c>
    </row>
    <row r="725" spans="1:22" x14ac:dyDescent="0.3">
      <c r="A725" s="2" t="s">
        <v>15</v>
      </c>
      <c r="B725">
        <v>560026</v>
      </c>
      <c r="C725" s="3">
        <v>44207</v>
      </c>
      <c r="D725">
        <v>48.78</v>
      </c>
      <c r="E725">
        <v>97.71</v>
      </c>
      <c r="F725">
        <v>76.489999999999995</v>
      </c>
      <c r="G725">
        <v>19.48</v>
      </c>
      <c r="H725">
        <v>10.7</v>
      </c>
      <c r="I725">
        <v>1.26</v>
      </c>
      <c r="J725">
        <v>1.23</v>
      </c>
      <c r="K725">
        <f t="shared" si="110"/>
        <v>81.3</v>
      </c>
      <c r="L725">
        <f t="shared" si="111"/>
        <v>97.71</v>
      </c>
      <c r="M725">
        <f t="shared" si="112"/>
        <v>95.612499999999997</v>
      </c>
      <c r="N725">
        <f t="shared" si="113"/>
        <v>4.87</v>
      </c>
      <c r="O725">
        <f t="shared" si="114"/>
        <v>13.375</v>
      </c>
      <c r="P725">
        <f t="shared" si="115"/>
        <v>14.318181818181818</v>
      </c>
      <c r="Q725">
        <f t="shared" si="116"/>
        <v>1.1388888888888888</v>
      </c>
      <c r="R725">
        <f t="shared" si="117"/>
        <v>97.71</v>
      </c>
      <c r="S725" t="str">
        <f t="shared" si="118"/>
        <v>Satisfactory</v>
      </c>
      <c r="T725" t="str">
        <f t="shared" si="119"/>
        <v>PM10</v>
      </c>
      <c r="U725">
        <v>22.8</v>
      </c>
      <c r="V725">
        <v>69.27</v>
      </c>
    </row>
    <row r="726" spans="1:22" x14ac:dyDescent="0.3">
      <c r="A726" s="2" t="s">
        <v>15</v>
      </c>
      <c r="B726">
        <v>560026</v>
      </c>
      <c r="C726" s="3">
        <v>44208</v>
      </c>
      <c r="D726">
        <v>47.6</v>
      </c>
      <c r="E726">
        <v>101.4</v>
      </c>
      <c r="F726">
        <v>72.59</v>
      </c>
      <c r="G726">
        <v>15.81</v>
      </c>
      <c r="H726">
        <v>8.7100000000000009</v>
      </c>
      <c r="I726">
        <v>0.93</v>
      </c>
      <c r="J726">
        <v>7.3</v>
      </c>
      <c r="K726">
        <f t="shared" si="110"/>
        <v>79.333333333333343</v>
      </c>
      <c r="L726">
        <f t="shared" si="111"/>
        <v>100.93333333333334</v>
      </c>
      <c r="M726">
        <f t="shared" si="112"/>
        <v>90.737500000000011</v>
      </c>
      <c r="N726">
        <f t="shared" si="113"/>
        <v>3.9525000000000001</v>
      </c>
      <c r="O726">
        <f t="shared" si="114"/>
        <v>10.887500000000001</v>
      </c>
      <c r="P726">
        <f t="shared" si="115"/>
        <v>10.568181818181818</v>
      </c>
      <c r="Q726">
        <f t="shared" si="116"/>
        <v>6.7592592592592595</v>
      </c>
      <c r="R726">
        <f t="shared" si="117"/>
        <v>100.93333333333334</v>
      </c>
      <c r="S726" t="str">
        <f t="shared" si="118"/>
        <v>Moderate</v>
      </c>
      <c r="T726" t="str">
        <f t="shared" si="119"/>
        <v>PM10</v>
      </c>
      <c r="U726">
        <v>21.49</v>
      </c>
      <c r="V726">
        <v>68.23</v>
      </c>
    </row>
    <row r="727" spans="1:22" x14ac:dyDescent="0.3">
      <c r="A727" s="2" t="s">
        <v>15</v>
      </c>
      <c r="B727">
        <v>560026</v>
      </c>
      <c r="C727" s="3">
        <v>44209</v>
      </c>
      <c r="D727">
        <v>49.24</v>
      </c>
      <c r="E727">
        <v>95.79</v>
      </c>
      <c r="F727">
        <v>75.72</v>
      </c>
      <c r="G727">
        <v>14.64</v>
      </c>
      <c r="H727">
        <v>12.92</v>
      </c>
      <c r="I727">
        <v>0.63</v>
      </c>
      <c r="J727">
        <v>13.29</v>
      </c>
      <c r="K727">
        <f t="shared" si="110"/>
        <v>82.066666666666663</v>
      </c>
      <c r="L727">
        <f t="shared" si="111"/>
        <v>95.79</v>
      </c>
      <c r="M727">
        <f t="shared" si="112"/>
        <v>94.65</v>
      </c>
      <c r="N727">
        <f t="shared" si="113"/>
        <v>3.66</v>
      </c>
      <c r="O727">
        <f t="shared" si="114"/>
        <v>16.149999999999999</v>
      </c>
      <c r="P727">
        <f t="shared" si="115"/>
        <v>7.1590909090909092</v>
      </c>
      <c r="Q727">
        <f t="shared" si="116"/>
        <v>12.305555555555555</v>
      </c>
      <c r="R727">
        <f t="shared" si="117"/>
        <v>95.79</v>
      </c>
      <c r="S727" t="str">
        <f t="shared" si="118"/>
        <v>Satisfactory</v>
      </c>
      <c r="T727" t="str">
        <f t="shared" si="119"/>
        <v>PM10</v>
      </c>
      <c r="U727">
        <v>22.4</v>
      </c>
      <c r="V727">
        <v>63.57</v>
      </c>
    </row>
    <row r="728" spans="1:22" x14ac:dyDescent="0.3">
      <c r="A728" s="2" t="s">
        <v>15</v>
      </c>
      <c r="B728">
        <v>560026</v>
      </c>
      <c r="C728" s="3">
        <v>44210</v>
      </c>
      <c r="D728">
        <v>50.68</v>
      </c>
      <c r="E728">
        <v>85.05</v>
      </c>
      <c r="F728">
        <v>62.09</v>
      </c>
      <c r="G728">
        <v>9.19</v>
      </c>
      <c r="H728">
        <v>10.220000000000001</v>
      </c>
      <c r="I728">
        <v>0.75</v>
      </c>
      <c r="J728">
        <v>17.899999999999999</v>
      </c>
      <c r="K728">
        <f t="shared" si="110"/>
        <v>84.466666666666669</v>
      </c>
      <c r="L728">
        <f t="shared" si="111"/>
        <v>85.05</v>
      </c>
      <c r="M728">
        <f t="shared" si="112"/>
        <v>77.612500000000011</v>
      </c>
      <c r="N728">
        <f t="shared" si="113"/>
        <v>2.2974999999999999</v>
      </c>
      <c r="O728">
        <f t="shared" si="114"/>
        <v>12.775000000000002</v>
      </c>
      <c r="P728">
        <f t="shared" si="115"/>
        <v>8.5227272727272734</v>
      </c>
      <c r="Q728">
        <f t="shared" si="116"/>
        <v>16.574074074074073</v>
      </c>
      <c r="R728">
        <f t="shared" si="117"/>
        <v>85.05</v>
      </c>
      <c r="S728" t="str">
        <f t="shared" si="118"/>
        <v>Satisfactory</v>
      </c>
      <c r="T728" t="str">
        <f t="shared" si="119"/>
        <v>PM10</v>
      </c>
      <c r="U728">
        <v>21.38</v>
      </c>
      <c r="V728">
        <v>69.349999999999994</v>
      </c>
    </row>
    <row r="729" spans="1:22" x14ac:dyDescent="0.3">
      <c r="A729" s="2" t="s">
        <v>15</v>
      </c>
      <c r="B729">
        <v>560026</v>
      </c>
      <c r="C729" s="3">
        <v>44211</v>
      </c>
      <c r="D729">
        <v>51.32</v>
      </c>
      <c r="E729">
        <v>81.62</v>
      </c>
      <c r="F729">
        <v>63.91</v>
      </c>
      <c r="G729">
        <v>8.86</v>
      </c>
      <c r="H729">
        <v>10.72</v>
      </c>
      <c r="I729">
        <v>0.53</v>
      </c>
      <c r="J729">
        <v>23.89</v>
      </c>
      <c r="K729">
        <f t="shared" si="110"/>
        <v>85.533333333333331</v>
      </c>
      <c r="L729">
        <f t="shared" si="111"/>
        <v>81.62</v>
      </c>
      <c r="M729">
        <f t="shared" si="112"/>
        <v>79.887499999999989</v>
      </c>
      <c r="N729">
        <f t="shared" si="113"/>
        <v>2.2149999999999999</v>
      </c>
      <c r="O729">
        <f t="shared" si="114"/>
        <v>13.4</v>
      </c>
      <c r="P729">
        <f t="shared" si="115"/>
        <v>6.0227272727272725</v>
      </c>
      <c r="Q729">
        <f t="shared" si="116"/>
        <v>22.12037037037037</v>
      </c>
      <c r="R729">
        <f t="shared" si="117"/>
        <v>85.533333333333331</v>
      </c>
      <c r="S729" t="str">
        <f t="shared" si="118"/>
        <v>Satisfactory</v>
      </c>
      <c r="T729" t="str">
        <f t="shared" si="119"/>
        <v>PM2.5</v>
      </c>
      <c r="U729">
        <v>22.69</v>
      </c>
      <c r="V729">
        <v>65.8</v>
      </c>
    </row>
    <row r="730" spans="1:22" x14ac:dyDescent="0.3">
      <c r="A730" s="2" t="s">
        <v>15</v>
      </c>
      <c r="B730">
        <v>560026</v>
      </c>
      <c r="C730" s="3">
        <v>44212</v>
      </c>
      <c r="D730">
        <v>53.07</v>
      </c>
      <c r="E730">
        <v>85.55</v>
      </c>
      <c r="F730">
        <v>66.89</v>
      </c>
      <c r="G730">
        <v>8.24</v>
      </c>
      <c r="H730">
        <v>8.08</v>
      </c>
      <c r="I730">
        <v>0.46</v>
      </c>
      <c r="J730">
        <v>22.57</v>
      </c>
      <c r="K730">
        <f t="shared" si="110"/>
        <v>88.45</v>
      </c>
      <c r="L730">
        <f t="shared" si="111"/>
        <v>85.55</v>
      </c>
      <c r="M730">
        <f t="shared" si="112"/>
        <v>83.612499999999997</v>
      </c>
      <c r="N730">
        <f t="shared" si="113"/>
        <v>2.06</v>
      </c>
      <c r="O730">
        <f t="shared" si="114"/>
        <v>10.1</v>
      </c>
      <c r="P730">
        <f t="shared" si="115"/>
        <v>5.2272727272727275</v>
      </c>
      <c r="Q730">
        <f t="shared" si="116"/>
        <v>20.898148148148149</v>
      </c>
      <c r="R730">
        <f t="shared" si="117"/>
        <v>88.45</v>
      </c>
      <c r="S730" t="str">
        <f t="shared" si="118"/>
        <v>Satisfactory</v>
      </c>
      <c r="T730" t="str">
        <f t="shared" si="119"/>
        <v>PM2.5</v>
      </c>
      <c r="U730">
        <v>22.93</v>
      </c>
      <c r="V730">
        <v>66.86</v>
      </c>
    </row>
    <row r="731" spans="1:22" x14ac:dyDescent="0.3">
      <c r="A731" s="2" t="s">
        <v>15</v>
      </c>
      <c r="B731">
        <v>560026</v>
      </c>
      <c r="C731" s="3">
        <v>44213</v>
      </c>
      <c r="D731">
        <v>51.78</v>
      </c>
      <c r="E731">
        <v>85.99</v>
      </c>
      <c r="F731">
        <v>74.38</v>
      </c>
      <c r="G731">
        <v>8.2200000000000006</v>
      </c>
      <c r="H731">
        <v>9.02</v>
      </c>
      <c r="I731">
        <v>0.46</v>
      </c>
      <c r="J731">
        <v>22.91</v>
      </c>
      <c r="K731">
        <f t="shared" si="110"/>
        <v>86.3</v>
      </c>
      <c r="L731">
        <f t="shared" si="111"/>
        <v>85.99</v>
      </c>
      <c r="M731">
        <f t="shared" si="112"/>
        <v>92.974999999999994</v>
      </c>
      <c r="N731">
        <f t="shared" si="113"/>
        <v>2.0550000000000002</v>
      </c>
      <c r="O731">
        <f t="shared" si="114"/>
        <v>11.275</v>
      </c>
      <c r="P731">
        <f t="shared" si="115"/>
        <v>5.2272727272727275</v>
      </c>
      <c r="Q731">
        <f t="shared" si="116"/>
        <v>21.212962962962962</v>
      </c>
      <c r="R731">
        <f t="shared" si="117"/>
        <v>92.974999999999994</v>
      </c>
      <c r="S731" t="str">
        <f t="shared" si="118"/>
        <v>Satisfactory</v>
      </c>
      <c r="T731" t="str">
        <f t="shared" si="119"/>
        <v>NO2</v>
      </c>
      <c r="U731">
        <v>19.34</v>
      </c>
      <c r="V731">
        <v>62.35</v>
      </c>
    </row>
    <row r="732" spans="1:22" x14ac:dyDescent="0.3">
      <c r="A732" s="2" t="s">
        <v>15</v>
      </c>
      <c r="B732">
        <v>560026</v>
      </c>
      <c r="C732" s="3">
        <v>44214</v>
      </c>
      <c r="D732">
        <v>44.55</v>
      </c>
      <c r="E732">
        <v>81.3</v>
      </c>
      <c r="F732">
        <v>85.97</v>
      </c>
      <c r="G732">
        <v>12.02</v>
      </c>
      <c r="H732">
        <v>8.7899999999999991</v>
      </c>
      <c r="I732">
        <v>0.62</v>
      </c>
      <c r="J732">
        <v>22.01</v>
      </c>
      <c r="K732">
        <f t="shared" si="110"/>
        <v>74.25</v>
      </c>
      <c r="L732">
        <f t="shared" si="111"/>
        <v>81.3</v>
      </c>
      <c r="M732">
        <f t="shared" si="112"/>
        <v>105.97</v>
      </c>
      <c r="N732">
        <f t="shared" si="113"/>
        <v>3.0049999999999999</v>
      </c>
      <c r="O732">
        <f t="shared" si="114"/>
        <v>10.987499999999999</v>
      </c>
      <c r="P732">
        <f t="shared" si="115"/>
        <v>7.045454545454545</v>
      </c>
      <c r="Q732">
        <f t="shared" si="116"/>
        <v>20.37962962962963</v>
      </c>
      <c r="R732">
        <f t="shared" si="117"/>
        <v>105.97</v>
      </c>
      <c r="S732" t="str">
        <f t="shared" si="118"/>
        <v>Moderate</v>
      </c>
      <c r="T732" t="str">
        <f t="shared" si="119"/>
        <v>NO2</v>
      </c>
      <c r="U732">
        <v>19.34</v>
      </c>
      <c r="V732">
        <v>58.97</v>
      </c>
    </row>
    <row r="733" spans="1:22" x14ac:dyDescent="0.3">
      <c r="A733" s="2" t="s">
        <v>15</v>
      </c>
      <c r="B733">
        <v>560026</v>
      </c>
      <c r="C733" s="3">
        <v>44215</v>
      </c>
      <c r="D733">
        <v>49.39</v>
      </c>
      <c r="E733">
        <v>93.93</v>
      </c>
      <c r="F733">
        <v>70.39</v>
      </c>
      <c r="G733">
        <v>13.93</v>
      </c>
      <c r="H733">
        <v>8.34</v>
      </c>
      <c r="I733">
        <v>0.77</v>
      </c>
      <c r="J733">
        <v>20.07</v>
      </c>
      <c r="K733">
        <f t="shared" si="110"/>
        <v>82.316666666666663</v>
      </c>
      <c r="L733">
        <f t="shared" si="111"/>
        <v>93.93</v>
      </c>
      <c r="M733">
        <f t="shared" si="112"/>
        <v>87.987499999999997</v>
      </c>
      <c r="N733">
        <f t="shared" si="113"/>
        <v>3.4824999999999999</v>
      </c>
      <c r="O733">
        <f t="shared" si="114"/>
        <v>10.425000000000001</v>
      </c>
      <c r="P733">
        <f t="shared" si="115"/>
        <v>8.75</v>
      </c>
      <c r="Q733">
        <f t="shared" si="116"/>
        <v>18.583333333333332</v>
      </c>
      <c r="R733">
        <f t="shared" si="117"/>
        <v>93.93</v>
      </c>
      <c r="S733" t="str">
        <f t="shared" si="118"/>
        <v>Satisfactory</v>
      </c>
      <c r="T733" t="str">
        <f t="shared" si="119"/>
        <v>PM10</v>
      </c>
      <c r="U733">
        <v>19.34</v>
      </c>
      <c r="V733">
        <v>60.79</v>
      </c>
    </row>
    <row r="734" spans="1:22" x14ac:dyDescent="0.3">
      <c r="A734" s="2" t="s">
        <v>15</v>
      </c>
      <c r="B734">
        <v>560026</v>
      </c>
      <c r="C734" s="3">
        <v>44216</v>
      </c>
      <c r="D734">
        <v>60.69</v>
      </c>
      <c r="E734">
        <v>106.88</v>
      </c>
      <c r="F734">
        <v>50.39</v>
      </c>
      <c r="G734">
        <v>18.309999999999999</v>
      </c>
      <c r="H734">
        <v>3.65</v>
      </c>
      <c r="I734">
        <v>0.62</v>
      </c>
      <c r="J734">
        <v>40.86</v>
      </c>
      <c r="K734">
        <f t="shared" si="110"/>
        <v>102.3</v>
      </c>
      <c r="L734">
        <f t="shared" si="111"/>
        <v>104.58666666666666</v>
      </c>
      <c r="M734">
        <f t="shared" si="112"/>
        <v>62.987499999999997</v>
      </c>
      <c r="N734">
        <f t="shared" si="113"/>
        <v>4.5774999999999997</v>
      </c>
      <c r="O734">
        <f t="shared" si="114"/>
        <v>4.5625</v>
      </c>
      <c r="P734">
        <f t="shared" si="115"/>
        <v>7.045454545454545</v>
      </c>
      <c r="Q734">
        <f t="shared" si="116"/>
        <v>37.833333333333336</v>
      </c>
      <c r="R734">
        <f t="shared" si="117"/>
        <v>104.58666666666666</v>
      </c>
      <c r="S734" t="str">
        <f t="shared" si="118"/>
        <v>Moderate</v>
      </c>
      <c r="T734" t="str">
        <f t="shared" si="119"/>
        <v>PM10</v>
      </c>
      <c r="U734">
        <v>28.04</v>
      </c>
      <c r="V734">
        <v>62.06</v>
      </c>
    </row>
    <row r="735" spans="1:22" x14ac:dyDescent="0.3">
      <c r="A735" s="2" t="s">
        <v>15</v>
      </c>
      <c r="B735">
        <v>560026</v>
      </c>
      <c r="C735" s="3">
        <v>44217</v>
      </c>
      <c r="D735">
        <v>51.36</v>
      </c>
      <c r="E735">
        <v>96.4</v>
      </c>
      <c r="F735">
        <v>49.75</v>
      </c>
      <c r="G735">
        <v>15.19</v>
      </c>
      <c r="H735">
        <v>3.97</v>
      </c>
      <c r="I735">
        <v>0.57999999999999996</v>
      </c>
      <c r="J735">
        <v>48.27</v>
      </c>
      <c r="K735">
        <f t="shared" si="110"/>
        <v>85.6</v>
      </c>
      <c r="L735">
        <f t="shared" si="111"/>
        <v>96.4</v>
      </c>
      <c r="M735">
        <f t="shared" si="112"/>
        <v>62.1875</v>
      </c>
      <c r="N735">
        <f t="shared" si="113"/>
        <v>3.7974999999999999</v>
      </c>
      <c r="O735">
        <f t="shared" si="114"/>
        <v>4.9625000000000004</v>
      </c>
      <c r="P735">
        <f t="shared" si="115"/>
        <v>6.5909090909090899</v>
      </c>
      <c r="Q735">
        <f t="shared" si="116"/>
        <v>44.69444444444445</v>
      </c>
      <c r="R735">
        <f t="shared" si="117"/>
        <v>96.4</v>
      </c>
      <c r="S735" t="str">
        <f t="shared" si="118"/>
        <v>Satisfactory</v>
      </c>
      <c r="T735" t="str">
        <f t="shared" si="119"/>
        <v>PM10</v>
      </c>
      <c r="U735">
        <v>28.04</v>
      </c>
      <c r="V735">
        <v>59.5</v>
      </c>
    </row>
    <row r="736" spans="1:22" x14ac:dyDescent="0.3">
      <c r="A736" s="2" t="s">
        <v>15</v>
      </c>
      <c r="B736">
        <v>560026</v>
      </c>
      <c r="C736" s="3">
        <v>44218</v>
      </c>
      <c r="D736">
        <v>51.5</v>
      </c>
      <c r="E736">
        <v>96.82</v>
      </c>
      <c r="F736">
        <v>49.87</v>
      </c>
      <c r="G736">
        <v>17.559999999999999</v>
      </c>
      <c r="H736">
        <v>4.9800000000000004</v>
      </c>
      <c r="I736">
        <v>0.72</v>
      </c>
      <c r="J736">
        <v>46.01</v>
      </c>
      <c r="K736">
        <f t="shared" si="110"/>
        <v>85.833333333333343</v>
      </c>
      <c r="L736">
        <f t="shared" si="111"/>
        <v>96.82</v>
      </c>
      <c r="M736">
        <f t="shared" si="112"/>
        <v>62.337499999999999</v>
      </c>
      <c r="N736">
        <f t="shared" si="113"/>
        <v>4.3899999999999997</v>
      </c>
      <c r="O736">
        <f t="shared" si="114"/>
        <v>6.2250000000000005</v>
      </c>
      <c r="P736">
        <f t="shared" si="115"/>
        <v>8.1818181818181817</v>
      </c>
      <c r="Q736">
        <f t="shared" si="116"/>
        <v>42.601851851851848</v>
      </c>
      <c r="R736">
        <f t="shared" si="117"/>
        <v>96.82</v>
      </c>
      <c r="S736" t="str">
        <f t="shared" si="118"/>
        <v>Satisfactory</v>
      </c>
      <c r="T736" t="str">
        <f t="shared" si="119"/>
        <v>PM10</v>
      </c>
      <c r="U736">
        <v>25.05</v>
      </c>
      <c r="V736">
        <v>63.39</v>
      </c>
    </row>
    <row r="737" spans="1:22" x14ac:dyDescent="0.3">
      <c r="A737" s="2" t="s">
        <v>15</v>
      </c>
      <c r="B737">
        <v>560026</v>
      </c>
      <c r="C737" s="3">
        <v>44219</v>
      </c>
      <c r="D737">
        <v>61.86</v>
      </c>
      <c r="E737">
        <v>113.59</v>
      </c>
      <c r="F737">
        <v>64.63</v>
      </c>
      <c r="G737">
        <v>22.25</v>
      </c>
      <c r="H737">
        <v>5.82</v>
      </c>
      <c r="I737">
        <v>0.6</v>
      </c>
      <c r="J737">
        <v>40.89</v>
      </c>
      <c r="K737">
        <f t="shared" si="110"/>
        <v>106.2</v>
      </c>
      <c r="L737">
        <f t="shared" si="111"/>
        <v>109.06</v>
      </c>
      <c r="M737">
        <f t="shared" si="112"/>
        <v>80.787499999999994</v>
      </c>
      <c r="N737">
        <f t="shared" si="113"/>
        <v>5.5625</v>
      </c>
      <c r="O737">
        <f t="shared" si="114"/>
        <v>7.2750000000000004</v>
      </c>
      <c r="P737">
        <f t="shared" si="115"/>
        <v>6.8181818181818175</v>
      </c>
      <c r="Q737">
        <f t="shared" si="116"/>
        <v>37.861111111111114</v>
      </c>
      <c r="R737">
        <f t="shared" si="117"/>
        <v>109.06</v>
      </c>
      <c r="S737" t="str">
        <f t="shared" si="118"/>
        <v>Moderate</v>
      </c>
      <c r="T737" t="str">
        <f t="shared" si="119"/>
        <v>PM10</v>
      </c>
      <c r="U737">
        <v>23.9</v>
      </c>
      <c r="V737">
        <v>58.69</v>
      </c>
    </row>
    <row r="738" spans="1:22" x14ac:dyDescent="0.3">
      <c r="A738" s="2" t="s">
        <v>15</v>
      </c>
      <c r="B738">
        <v>560026</v>
      </c>
      <c r="C738" s="3">
        <v>44220</v>
      </c>
      <c r="D738">
        <v>52.23</v>
      </c>
      <c r="E738">
        <v>108.3</v>
      </c>
      <c r="F738">
        <v>68.36</v>
      </c>
      <c r="G738">
        <v>14.8</v>
      </c>
      <c r="H738">
        <v>7.45</v>
      </c>
      <c r="I738">
        <v>0.69199999999999995</v>
      </c>
      <c r="J738">
        <v>26.05</v>
      </c>
      <c r="K738">
        <f t="shared" si="110"/>
        <v>87.049999999999983</v>
      </c>
      <c r="L738">
        <f t="shared" si="111"/>
        <v>105.53333333333333</v>
      </c>
      <c r="M738">
        <f t="shared" si="112"/>
        <v>85.45</v>
      </c>
      <c r="N738">
        <f t="shared" si="113"/>
        <v>3.7</v>
      </c>
      <c r="O738">
        <f t="shared" si="114"/>
        <v>9.3125</v>
      </c>
      <c r="P738">
        <f t="shared" si="115"/>
        <v>7.8636363636363624</v>
      </c>
      <c r="Q738">
        <f t="shared" si="116"/>
        <v>24.12037037037037</v>
      </c>
      <c r="R738">
        <f t="shared" si="117"/>
        <v>105.53333333333333</v>
      </c>
      <c r="S738" t="str">
        <f t="shared" si="118"/>
        <v>Moderate</v>
      </c>
      <c r="T738" t="str">
        <f t="shared" si="119"/>
        <v>PM10</v>
      </c>
      <c r="U738">
        <v>25.7</v>
      </c>
      <c r="V738">
        <v>45.03</v>
      </c>
    </row>
    <row r="739" spans="1:22" x14ac:dyDescent="0.3">
      <c r="A739" s="2" t="s">
        <v>15</v>
      </c>
      <c r="B739">
        <v>560026</v>
      </c>
      <c r="C739" s="3">
        <v>44221</v>
      </c>
      <c r="D739">
        <v>50.6</v>
      </c>
      <c r="E739">
        <v>92.76</v>
      </c>
      <c r="F739">
        <v>57.07</v>
      </c>
      <c r="G739">
        <v>17.27</v>
      </c>
      <c r="H739">
        <v>4.97</v>
      </c>
      <c r="I739">
        <v>0.5</v>
      </c>
      <c r="J739">
        <v>20.88</v>
      </c>
      <c r="K739">
        <f t="shared" si="110"/>
        <v>84.333333333333343</v>
      </c>
      <c r="L739">
        <f t="shared" si="111"/>
        <v>92.76</v>
      </c>
      <c r="M739">
        <f t="shared" si="112"/>
        <v>71.337500000000006</v>
      </c>
      <c r="N739">
        <f t="shared" si="113"/>
        <v>4.3174999999999999</v>
      </c>
      <c r="O739">
        <f t="shared" si="114"/>
        <v>6.2125000000000004</v>
      </c>
      <c r="P739">
        <f t="shared" si="115"/>
        <v>5.6818181818181817</v>
      </c>
      <c r="Q739">
        <f t="shared" si="116"/>
        <v>19.333333333333332</v>
      </c>
      <c r="R739">
        <f t="shared" si="117"/>
        <v>92.76</v>
      </c>
      <c r="S739" t="str">
        <f t="shared" si="118"/>
        <v>Satisfactory</v>
      </c>
      <c r="T739" t="str">
        <f t="shared" si="119"/>
        <v>PM10</v>
      </c>
      <c r="U739">
        <v>22.82</v>
      </c>
      <c r="V739">
        <v>56.45</v>
      </c>
    </row>
    <row r="740" spans="1:22" x14ac:dyDescent="0.3">
      <c r="A740" s="2" t="s">
        <v>15</v>
      </c>
      <c r="B740">
        <v>560026</v>
      </c>
      <c r="C740" s="3">
        <v>44222</v>
      </c>
      <c r="D740">
        <v>45.69</v>
      </c>
      <c r="E740">
        <v>90.71</v>
      </c>
      <c r="F740">
        <v>61.3</v>
      </c>
      <c r="G740">
        <v>10.220000000000001</v>
      </c>
      <c r="H740">
        <v>4.87</v>
      </c>
      <c r="I740">
        <v>0.54</v>
      </c>
      <c r="J740">
        <v>25.48</v>
      </c>
      <c r="K740">
        <f t="shared" si="110"/>
        <v>76.149999999999991</v>
      </c>
      <c r="L740">
        <f t="shared" si="111"/>
        <v>90.71</v>
      </c>
      <c r="M740">
        <f t="shared" si="112"/>
        <v>76.625</v>
      </c>
      <c r="N740">
        <f t="shared" si="113"/>
        <v>2.5550000000000002</v>
      </c>
      <c r="O740">
        <f t="shared" si="114"/>
        <v>6.0875000000000004</v>
      </c>
      <c r="P740">
        <f t="shared" si="115"/>
        <v>6.1363636363636367</v>
      </c>
      <c r="Q740">
        <f t="shared" si="116"/>
        <v>23.592592592592592</v>
      </c>
      <c r="R740">
        <f t="shared" si="117"/>
        <v>90.71</v>
      </c>
      <c r="S740" t="str">
        <f t="shared" si="118"/>
        <v>Satisfactory</v>
      </c>
      <c r="T740" t="str">
        <f t="shared" si="119"/>
        <v>PM10</v>
      </c>
      <c r="U740">
        <v>23.17</v>
      </c>
      <c r="V740">
        <v>51.3</v>
      </c>
    </row>
    <row r="741" spans="1:22" x14ac:dyDescent="0.3">
      <c r="A741" s="2" t="s">
        <v>15</v>
      </c>
      <c r="B741">
        <v>560026</v>
      </c>
      <c r="C741" s="3">
        <v>44223</v>
      </c>
      <c r="D741">
        <v>54.61</v>
      </c>
      <c r="E741">
        <v>104.07</v>
      </c>
      <c r="F741">
        <v>79.63</v>
      </c>
      <c r="G741">
        <v>17.170000000000002</v>
      </c>
      <c r="H741">
        <v>4.12</v>
      </c>
      <c r="I741">
        <v>0.57999999999999996</v>
      </c>
      <c r="J741">
        <v>30.44</v>
      </c>
      <c r="K741">
        <f t="shared" si="110"/>
        <v>91.016666666666666</v>
      </c>
      <c r="L741">
        <f t="shared" si="111"/>
        <v>102.71333333333332</v>
      </c>
      <c r="M741">
        <f t="shared" si="112"/>
        <v>99.537499999999994</v>
      </c>
      <c r="N741">
        <f t="shared" si="113"/>
        <v>4.2925000000000004</v>
      </c>
      <c r="O741">
        <f t="shared" si="114"/>
        <v>5.15</v>
      </c>
      <c r="P741">
        <f t="shared" si="115"/>
        <v>6.5909090909090899</v>
      </c>
      <c r="Q741">
        <f t="shared" si="116"/>
        <v>28.185185185185187</v>
      </c>
      <c r="R741">
        <f t="shared" si="117"/>
        <v>102.71333333333332</v>
      </c>
      <c r="S741" t="str">
        <f t="shared" si="118"/>
        <v>Moderate</v>
      </c>
      <c r="T741" t="str">
        <f t="shared" si="119"/>
        <v>PM10</v>
      </c>
      <c r="U741">
        <v>22.65</v>
      </c>
      <c r="V741">
        <v>53.83</v>
      </c>
    </row>
    <row r="742" spans="1:22" x14ac:dyDescent="0.3">
      <c r="A742" s="2" t="s">
        <v>15</v>
      </c>
      <c r="B742">
        <v>560026</v>
      </c>
      <c r="C742" s="3">
        <v>44224</v>
      </c>
      <c r="D742">
        <v>64.010000000000005</v>
      </c>
      <c r="E742">
        <v>109.49</v>
      </c>
      <c r="F742">
        <v>72.61</v>
      </c>
      <c r="G742">
        <v>20.59</v>
      </c>
      <c r="H742">
        <v>16.14</v>
      </c>
      <c r="I742">
        <v>0.74</v>
      </c>
      <c r="J742">
        <v>30.77</v>
      </c>
      <c r="K742">
        <f t="shared" si="110"/>
        <v>113.36666666666669</v>
      </c>
      <c r="L742">
        <f t="shared" si="111"/>
        <v>106.32666666666667</v>
      </c>
      <c r="M742">
        <f t="shared" si="112"/>
        <v>90.762500000000003</v>
      </c>
      <c r="N742">
        <f t="shared" si="113"/>
        <v>5.1475</v>
      </c>
      <c r="O742">
        <f t="shared" si="114"/>
        <v>20.175000000000001</v>
      </c>
      <c r="P742">
        <f t="shared" si="115"/>
        <v>8.4090909090909083</v>
      </c>
      <c r="Q742">
        <f t="shared" si="116"/>
        <v>28.49074074074074</v>
      </c>
      <c r="R742">
        <f t="shared" si="117"/>
        <v>113.36666666666669</v>
      </c>
      <c r="S742" t="str">
        <f t="shared" si="118"/>
        <v>Moderate</v>
      </c>
      <c r="T742" t="str">
        <f t="shared" si="119"/>
        <v>PM2.5</v>
      </c>
      <c r="U742">
        <v>22.37</v>
      </c>
      <c r="V742">
        <v>58.3</v>
      </c>
    </row>
    <row r="743" spans="1:22" x14ac:dyDescent="0.3">
      <c r="A743" s="2" t="s">
        <v>15</v>
      </c>
      <c r="B743">
        <v>560026</v>
      </c>
      <c r="C743" s="3">
        <v>44225</v>
      </c>
      <c r="D743">
        <v>68.510000000000005</v>
      </c>
      <c r="E743">
        <v>114.84</v>
      </c>
      <c r="F743">
        <v>52.17</v>
      </c>
      <c r="G743">
        <v>19.45</v>
      </c>
      <c r="H743">
        <v>6.29</v>
      </c>
      <c r="I743">
        <v>0.61</v>
      </c>
      <c r="J743">
        <v>32.340000000000003</v>
      </c>
      <c r="K743">
        <f t="shared" si="110"/>
        <v>128.36666666666667</v>
      </c>
      <c r="L743">
        <f t="shared" si="111"/>
        <v>109.89333333333333</v>
      </c>
      <c r="M743">
        <f t="shared" si="112"/>
        <v>65.212500000000006</v>
      </c>
      <c r="N743">
        <f t="shared" si="113"/>
        <v>4.8624999999999998</v>
      </c>
      <c r="O743">
        <f t="shared" si="114"/>
        <v>7.8624999999999998</v>
      </c>
      <c r="P743">
        <f t="shared" si="115"/>
        <v>6.9318181818181817</v>
      </c>
      <c r="Q743">
        <f t="shared" si="116"/>
        <v>29.944444444444446</v>
      </c>
      <c r="R743">
        <f t="shared" si="117"/>
        <v>128.36666666666667</v>
      </c>
      <c r="S743" t="str">
        <f t="shared" si="118"/>
        <v>Moderate</v>
      </c>
      <c r="T743" t="str">
        <f t="shared" si="119"/>
        <v>PM2.5</v>
      </c>
      <c r="U743">
        <v>23.06</v>
      </c>
      <c r="V743">
        <v>62.19</v>
      </c>
    </row>
    <row r="744" spans="1:22" x14ac:dyDescent="0.3">
      <c r="A744" s="2" t="s">
        <v>15</v>
      </c>
      <c r="B744">
        <v>560026</v>
      </c>
      <c r="C744" s="3">
        <v>44226</v>
      </c>
      <c r="D744">
        <v>66.55</v>
      </c>
      <c r="E744">
        <v>120.83</v>
      </c>
      <c r="F744">
        <v>71.37</v>
      </c>
      <c r="G744">
        <v>23.12</v>
      </c>
      <c r="H744">
        <v>9.1</v>
      </c>
      <c r="I744">
        <v>0.65</v>
      </c>
      <c r="J744">
        <v>27.27</v>
      </c>
      <c r="K744">
        <f t="shared" si="110"/>
        <v>121.83333333333333</v>
      </c>
      <c r="L744">
        <f t="shared" si="111"/>
        <v>113.88666666666667</v>
      </c>
      <c r="M744">
        <f t="shared" si="112"/>
        <v>89.212500000000006</v>
      </c>
      <c r="N744">
        <f t="shared" si="113"/>
        <v>5.78</v>
      </c>
      <c r="O744">
        <f t="shared" si="114"/>
        <v>11.375</v>
      </c>
      <c r="P744">
        <f t="shared" si="115"/>
        <v>7.3863636363636367</v>
      </c>
      <c r="Q744">
        <f t="shared" si="116"/>
        <v>25.25</v>
      </c>
      <c r="R744">
        <f t="shared" si="117"/>
        <v>121.83333333333333</v>
      </c>
      <c r="S744" t="str">
        <f t="shared" si="118"/>
        <v>Moderate</v>
      </c>
      <c r="T744" t="str">
        <f t="shared" si="119"/>
        <v>PM2.5</v>
      </c>
      <c r="U744">
        <v>23.89</v>
      </c>
      <c r="V744">
        <v>55.73</v>
      </c>
    </row>
    <row r="745" spans="1:22" x14ac:dyDescent="0.3">
      <c r="A745" s="2" t="s">
        <v>15</v>
      </c>
      <c r="B745">
        <v>560026</v>
      </c>
      <c r="C745" s="3">
        <v>44227</v>
      </c>
      <c r="D745">
        <v>65.06</v>
      </c>
      <c r="E745">
        <v>110.66</v>
      </c>
      <c r="F745">
        <v>57.11</v>
      </c>
      <c r="G745">
        <v>18.36</v>
      </c>
      <c r="H745">
        <v>8.16</v>
      </c>
      <c r="I745">
        <v>0.53</v>
      </c>
      <c r="J745">
        <v>31.81</v>
      </c>
      <c r="K745">
        <f t="shared" si="110"/>
        <v>116.86666666666667</v>
      </c>
      <c r="L745">
        <f t="shared" si="111"/>
        <v>107.10666666666667</v>
      </c>
      <c r="M745">
        <f t="shared" si="112"/>
        <v>71.387500000000003</v>
      </c>
      <c r="N745">
        <f t="shared" si="113"/>
        <v>4.59</v>
      </c>
      <c r="O745">
        <f t="shared" si="114"/>
        <v>10.199999999999999</v>
      </c>
      <c r="P745">
        <f t="shared" si="115"/>
        <v>6.0227272727272725</v>
      </c>
      <c r="Q745">
        <f t="shared" si="116"/>
        <v>29.453703703703702</v>
      </c>
      <c r="R745">
        <f t="shared" si="117"/>
        <v>116.86666666666667</v>
      </c>
      <c r="S745" t="str">
        <f t="shared" si="118"/>
        <v>Moderate</v>
      </c>
      <c r="T745" t="str">
        <f t="shared" si="119"/>
        <v>PM2.5</v>
      </c>
      <c r="U745">
        <v>23.56</v>
      </c>
      <c r="V745">
        <v>56.97</v>
      </c>
    </row>
    <row r="746" spans="1:22" x14ac:dyDescent="0.3">
      <c r="A746" s="2" t="s">
        <v>15</v>
      </c>
      <c r="B746">
        <v>560026</v>
      </c>
      <c r="C746" s="3">
        <v>44228</v>
      </c>
      <c r="D746">
        <v>54.46</v>
      </c>
      <c r="E746">
        <v>110.89</v>
      </c>
      <c r="F746">
        <v>73.48</v>
      </c>
      <c r="G746">
        <v>18.23</v>
      </c>
      <c r="H746">
        <v>9.1</v>
      </c>
      <c r="I746">
        <v>0.7</v>
      </c>
      <c r="J746">
        <v>24.3</v>
      </c>
      <c r="K746">
        <f t="shared" si="110"/>
        <v>90.766666666666666</v>
      </c>
      <c r="L746">
        <f t="shared" si="111"/>
        <v>107.26</v>
      </c>
      <c r="M746">
        <f t="shared" si="112"/>
        <v>91.850000000000009</v>
      </c>
      <c r="N746">
        <f t="shared" si="113"/>
        <v>4.5575000000000001</v>
      </c>
      <c r="O746">
        <f t="shared" si="114"/>
        <v>11.375</v>
      </c>
      <c r="P746">
        <f t="shared" si="115"/>
        <v>7.9545454545454541</v>
      </c>
      <c r="Q746">
        <f t="shared" si="116"/>
        <v>22.5</v>
      </c>
      <c r="R746">
        <f t="shared" si="117"/>
        <v>107.26</v>
      </c>
      <c r="S746" t="str">
        <f t="shared" si="118"/>
        <v>Moderate</v>
      </c>
      <c r="T746" t="str">
        <f t="shared" si="119"/>
        <v>PM10</v>
      </c>
      <c r="U746">
        <v>23.53</v>
      </c>
      <c r="V746">
        <v>53.48</v>
      </c>
    </row>
    <row r="747" spans="1:22" x14ac:dyDescent="0.3">
      <c r="A747" s="2" t="s">
        <v>15</v>
      </c>
      <c r="B747">
        <v>560026</v>
      </c>
      <c r="C747" s="3">
        <v>44229</v>
      </c>
      <c r="D747">
        <v>58.68</v>
      </c>
      <c r="E747">
        <v>103.58</v>
      </c>
      <c r="F747">
        <v>66.5</v>
      </c>
      <c r="G747">
        <v>19.670000000000002</v>
      </c>
      <c r="H747">
        <v>7.48</v>
      </c>
      <c r="I747">
        <v>0.59</v>
      </c>
      <c r="J747">
        <v>29.22</v>
      </c>
      <c r="K747">
        <f t="shared" si="110"/>
        <v>97.8</v>
      </c>
      <c r="L747">
        <f t="shared" si="111"/>
        <v>102.38666666666667</v>
      </c>
      <c r="M747">
        <f t="shared" si="112"/>
        <v>83.125</v>
      </c>
      <c r="N747">
        <f t="shared" si="113"/>
        <v>4.9175000000000004</v>
      </c>
      <c r="O747">
        <f t="shared" si="114"/>
        <v>9.35</v>
      </c>
      <c r="P747">
        <f t="shared" si="115"/>
        <v>6.7045454545454541</v>
      </c>
      <c r="Q747">
        <f t="shared" si="116"/>
        <v>27.055555555555554</v>
      </c>
      <c r="R747">
        <f t="shared" si="117"/>
        <v>102.38666666666667</v>
      </c>
      <c r="S747" t="str">
        <f t="shared" si="118"/>
        <v>Moderate</v>
      </c>
      <c r="T747" t="str">
        <f t="shared" si="119"/>
        <v>PM10</v>
      </c>
      <c r="U747">
        <v>22.54</v>
      </c>
      <c r="V747">
        <v>60.99</v>
      </c>
    </row>
    <row r="748" spans="1:22" x14ac:dyDescent="0.3">
      <c r="A748" s="2" t="s">
        <v>15</v>
      </c>
      <c r="B748">
        <v>560026</v>
      </c>
      <c r="C748" s="3">
        <v>44230</v>
      </c>
      <c r="D748">
        <v>62.09</v>
      </c>
      <c r="E748">
        <v>112.91</v>
      </c>
      <c r="F748">
        <v>70.38</v>
      </c>
      <c r="G748">
        <v>21.45</v>
      </c>
      <c r="H748">
        <v>8.0500000000000007</v>
      </c>
      <c r="I748">
        <v>0.68</v>
      </c>
      <c r="J748">
        <v>33.29</v>
      </c>
      <c r="K748">
        <f t="shared" si="110"/>
        <v>106.96666666666668</v>
      </c>
      <c r="L748">
        <f t="shared" si="111"/>
        <v>108.60666666666667</v>
      </c>
      <c r="M748">
        <f t="shared" si="112"/>
        <v>87.974999999999994</v>
      </c>
      <c r="N748">
        <f t="shared" si="113"/>
        <v>5.3624999999999998</v>
      </c>
      <c r="O748">
        <f t="shared" si="114"/>
        <v>10.062500000000002</v>
      </c>
      <c r="P748">
        <f t="shared" si="115"/>
        <v>7.7272727272727275</v>
      </c>
      <c r="Q748">
        <f t="shared" si="116"/>
        <v>30.824074074074073</v>
      </c>
      <c r="R748">
        <f t="shared" si="117"/>
        <v>108.60666666666667</v>
      </c>
      <c r="S748" t="str">
        <f t="shared" si="118"/>
        <v>Moderate</v>
      </c>
      <c r="T748" t="str">
        <f t="shared" si="119"/>
        <v>PM10</v>
      </c>
      <c r="U748">
        <v>22.61</v>
      </c>
      <c r="V748">
        <v>62.75</v>
      </c>
    </row>
    <row r="749" spans="1:22" x14ac:dyDescent="0.3">
      <c r="A749" s="2" t="s">
        <v>15</v>
      </c>
      <c r="B749">
        <v>560026</v>
      </c>
      <c r="C749" s="3">
        <v>44231</v>
      </c>
      <c r="D749">
        <v>53.39</v>
      </c>
      <c r="E749">
        <v>109.92</v>
      </c>
      <c r="F749">
        <v>78.900000000000006</v>
      </c>
      <c r="G749">
        <v>18.61</v>
      </c>
      <c r="H749">
        <v>10.119999999999999</v>
      </c>
      <c r="I749">
        <v>0.65</v>
      </c>
      <c r="J749">
        <v>36.65</v>
      </c>
      <c r="K749">
        <f t="shared" si="110"/>
        <v>88.983333333333334</v>
      </c>
      <c r="L749">
        <f t="shared" si="111"/>
        <v>106.61333333333333</v>
      </c>
      <c r="M749">
        <f t="shared" si="112"/>
        <v>98.625</v>
      </c>
      <c r="N749">
        <f t="shared" si="113"/>
        <v>4.6524999999999999</v>
      </c>
      <c r="O749">
        <f t="shared" si="114"/>
        <v>12.649999999999999</v>
      </c>
      <c r="P749">
        <f t="shared" si="115"/>
        <v>7.3863636363636367</v>
      </c>
      <c r="Q749">
        <f t="shared" si="116"/>
        <v>33.935185185185183</v>
      </c>
      <c r="R749">
        <f t="shared" si="117"/>
        <v>106.61333333333333</v>
      </c>
      <c r="S749" t="str">
        <f t="shared" si="118"/>
        <v>Moderate</v>
      </c>
      <c r="T749" t="str">
        <f t="shared" si="119"/>
        <v>PM10</v>
      </c>
      <c r="U749">
        <v>22.67</v>
      </c>
      <c r="V749">
        <v>53.53</v>
      </c>
    </row>
    <row r="750" spans="1:22" x14ac:dyDescent="0.3">
      <c r="A750" s="2" t="s">
        <v>15</v>
      </c>
      <c r="B750">
        <v>560026</v>
      </c>
      <c r="C750" s="3">
        <v>44232</v>
      </c>
      <c r="D750">
        <v>53.39</v>
      </c>
      <c r="E750">
        <v>120.97</v>
      </c>
      <c r="F750">
        <v>91.8</v>
      </c>
      <c r="G750">
        <v>18.61</v>
      </c>
      <c r="H750">
        <v>7.63</v>
      </c>
      <c r="I750">
        <v>0.74</v>
      </c>
      <c r="J750">
        <v>39.619999999999997</v>
      </c>
      <c r="K750">
        <f t="shared" si="110"/>
        <v>88.983333333333334</v>
      </c>
      <c r="L750">
        <f t="shared" si="111"/>
        <v>113.98</v>
      </c>
      <c r="M750">
        <f t="shared" si="112"/>
        <v>111.8</v>
      </c>
      <c r="N750">
        <f t="shared" si="113"/>
        <v>4.6524999999999999</v>
      </c>
      <c r="O750">
        <f t="shared" si="114"/>
        <v>9.5374999999999996</v>
      </c>
      <c r="P750">
        <f t="shared" si="115"/>
        <v>8.4090909090909083</v>
      </c>
      <c r="Q750">
        <f t="shared" si="116"/>
        <v>36.685185185185183</v>
      </c>
      <c r="R750">
        <f t="shared" si="117"/>
        <v>113.98</v>
      </c>
      <c r="S750" t="str">
        <f t="shared" si="118"/>
        <v>Moderate</v>
      </c>
      <c r="T750" t="str">
        <f t="shared" si="119"/>
        <v>PM10</v>
      </c>
      <c r="U750">
        <v>22.74</v>
      </c>
      <c r="V750">
        <v>54.97</v>
      </c>
    </row>
    <row r="751" spans="1:22" x14ac:dyDescent="0.3">
      <c r="A751" s="2" t="s">
        <v>15</v>
      </c>
      <c r="B751">
        <v>560026</v>
      </c>
      <c r="C751" s="3">
        <v>44233</v>
      </c>
      <c r="D751">
        <v>58.03</v>
      </c>
      <c r="E751">
        <v>126.88</v>
      </c>
      <c r="F751">
        <v>103.79</v>
      </c>
      <c r="G751">
        <v>23.48</v>
      </c>
      <c r="H751">
        <v>12.13</v>
      </c>
      <c r="I751">
        <v>0.85</v>
      </c>
      <c r="J751">
        <v>38.520000000000003</v>
      </c>
      <c r="K751">
        <f t="shared" si="110"/>
        <v>96.716666666666669</v>
      </c>
      <c r="L751">
        <f t="shared" si="111"/>
        <v>117.92</v>
      </c>
      <c r="M751">
        <f t="shared" si="112"/>
        <v>123.79</v>
      </c>
      <c r="N751">
        <f t="shared" si="113"/>
        <v>5.87</v>
      </c>
      <c r="O751">
        <f t="shared" si="114"/>
        <v>15.1625</v>
      </c>
      <c r="P751">
        <f t="shared" si="115"/>
        <v>9.6590909090909083</v>
      </c>
      <c r="Q751">
        <f t="shared" si="116"/>
        <v>35.666666666666671</v>
      </c>
      <c r="R751">
        <f t="shared" si="117"/>
        <v>123.79</v>
      </c>
      <c r="S751" t="str">
        <f t="shared" si="118"/>
        <v>Moderate</v>
      </c>
      <c r="T751" t="str">
        <f t="shared" si="119"/>
        <v>NO2</v>
      </c>
      <c r="U751">
        <v>22.84</v>
      </c>
      <c r="V751">
        <v>53.74</v>
      </c>
    </row>
    <row r="752" spans="1:22" x14ac:dyDescent="0.3">
      <c r="A752" s="2" t="s">
        <v>15</v>
      </c>
      <c r="B752">
        <v>560026</v>
      </c>
      <c r="C752" s="3">
        <v>44234</v>
      </c>
      <c r="D752">
        <v>51.24</v>
      </c>
      <c r="E752">
        <v>110.24</v>
      </c>
      <c r="F752">
        <v>94.59</v>
      </c>
      <c r="G752">
        <v>13.61</v>
      </c>
      <c r="H752">
        <v>12.15</v>
      </c>
      <c r="I752">
        <v>0.5</v>
      </c>
      <c r="J752">
        <v>43.53</v>
      </c>
      <c r="K752">
        <f t="shared" ref="K752:K815" si="120">IF(ISTEXT(D752),0,IF(D752&lt;=30,D752*50/30,IF(AND(D752&gt;30,D752&lt;=60),50+(D752-30)*50/30,IF(AND(D752&gt;60,D752&lt;=90),100+(D752-60)*100/30,IF(AND(D752&gt;90,D752&lt;=120),200+(D752-90)*(100/30),IF(AND(D752&gt;120,D752&lt;=250),300+(D752-120)*(100/130),IF(D752&gt;250,400+(D752-250)*(100/130))))))))</f>
        <v>85.4</v>
      </c>
      <c r="L752">
        <f t="shared" ref="L752:L815" si="121">IF(ISTEXT(E752),0,IF(E752&lt;=50,E752,IF(AND(E752&gt;50,E752&lt;=100),E752,IF(AND(E752&gt;100,E752&lt;=250),100+(E752-100)*100/150,IF(AND(E752&gt;250,E752&lt;=350),200+(E752-250),IF(AND(E752&gt;350,E752&lt;=430),300+(E752-350)*(100/80),IF(E752&gt;430,400+(E752-430)*(100/80))))))))</f>
        <v>106.82666666666667</v>
      </c>
      <c r="M752">
        <f t="shared" ref="M752:M815" si="122">IF(ISTEXT(F752),0,IF(F752&lt;=40,F752*50/40,IF(AND(F752&gt;40,F752&lt;=80),50+(F752-40)*50/40,IF(AND(F752&gt;80,F752&lt;=180),100+(F752-80)*100/100,IF(AND(F752&gt;180,F752&lt;=280),200+(F752-180)*(100/100),IF(AND(F752&gt;280,F752&lt;=400),300+(F752-280)*(100/120),IF(F752&gt;400,400+(F752-400)*(100/120))))))))</f>
        <v>114.59</v>
      </c>
      <c r="N752">
        <f t="shared" ref="N752:N815" si="123">IF(ISTEXT(G752),0,IF(G752&lt;=200,G752*50/200,IF(AND(G752&gt;200,G752&lt;=400),50+(G752-200)*50/200,IF(AND(G752&gt;400,G752&lt;=800),100+(G752-400)*100/400,IF(AND(G752&gt;800,G752&lt;=1200),200+(G752-800)*(100/400),IF(AND(G752&gt;1200,G752&lt;=1800),300+(G752-1200)*(100/600),IF(G752&gt;1800,400+(G752-1800)*(100/600))))))))</f>
        <v>3.4024999999999999</v>
      </c>
      <c r="O752">
        <f t="shared" ref="O752:O815" si="124">IF(ISTEXT(H752),0,IF(H752&lt;=40,H752*50/40,IF(AND(H752&gt;40,H752&lt;=80),50+(H752-40)*50/40,IF(AND(H752&gt;80,H752&lt;=380),100+(H752-80)*100/300,IF(AND(H752&gt;380,H752&lt;=800),200+(H752-380)*(100/420),IF(AND(H752&gt;800,H752&lt;=1600),300+(H752-800)*(100/800),IF(H752&gt;1600,400+(H752-1600)*(100/800))))))))</f>
        <v>15.1875</v>
      </c>
      <c r="P752">
        <f t="shared" ref="P752:P815" si="125">IF(I752&lt;=4.4,(50-0)/(4.4-0)*(I752-0)+0,
IF(I752&lt;=9.4,(100-51)/(9.4-4.5)*(I752-4.5)+51,
IF(I752&lt;=12.4,(150-101)/(12.4-9.5)*(I752-9.5)+101,
IF(I752&lt;=15.4,(200-151)/(15.4-12.5)*(I752-12.5)+151,
IF(I752&lt;=30.4,(300-201)/(30.4-15.5)*(I752-15.5)+201,
(500-301)/(50.4-30.5)*(I752-30.5)+301)))))</f>
        <v>5.6818181818181817</v>
      </c>
      <c r="Q752">
        <f t="shared" ref="Q752:Q815" si="126">IF(J752&lt;=54,(50-0)/(54-0)*(J752-0)+0,
IF(J752&lt;=70,(100-51)/(70-55)*(J752-55)+51,
IF(J752&lt;=85,(150-101)/(85-71)*(J752-71)+101,
IF(J752&lt;=105,(200-151)/(105-86)*(J752-86)+151,
IF(J752&lt;=200,(300-201)/(200-106)*(J752-106)+201,
(500-301)/(300-201)*(J752-201)+301)))))</f>
        <v>40.305555555555557</v>
      </c>
      <c r="R752">
        <f t="shared" ref="R752:R815" si="127">MAX(K752:Q752)</f>
        <v>114.59</v>
      </c>
      <c r="S752" t="str">
        <f t="shared" ref="S752:S815" si="128">IF(R752&lt;=50,"Good",
IF(R752&lt;=100,"Satisfactory",
IF(R752&lt;=200,"Moderate",
IF(R752&lt;=300,"Poor",
IF(R752&lt;=400,"Very Poor",
"Severe")))))</f>
        <v>Moderate</v>
      </c>
      <c r="T752" t="str">
        <f t="shared" ref="T752:T815" si="129">IF(MAX(K752:Q752)=K752,"PM2.5",
IF(MAX(K752:Q752)=L752,"PM10",
IF(MAX(K752:Q752)=M752,"NO2",
IF(MAX(K752:Q752)=N752,"NH3",
IF(MAX(K752:Q752)=O752,"SO2",
IF(MAX(K752:Q752)=P752,"CO",
IF(MAX(K752:Q752)=Q752,"OZONE","")))))))</f>
        <v>NO2</v>
      </c>
      <c r="U752">
        <v>22.91</v>
      </c>
      <c r="V752">
        <v>45.39</v>
      </c>
    </row>
    <row r="753" spans="1:22" x14ac:dyDescent="0.3">
      <c r="A753" s="2" t="s">
        <v>15</v>
      </c>
      <c r="B753">
        <v>560026</v>
      </c>
      <c r="C753" s="3">
        <v>44235</v>
      </c>
      <c r="D753">
        <v>55.86</v>
      </c>
      <c r="E753">
        <v>76</v>
      </c>
      <c r="F753">
        <v>59.49</v>
      </c>
      <c r="G753">
        <v>22.72</v>
      </c>
      <c r="H753">
        <v>10</v>
      </c>
      <c r="I753">
        <v>0.69</v>
      </c>
      <c r="J753">
        <v>44.91</v>
      </c>
      <c r="K753">
        <f t="shared" si="120"/>
        <v>93.1</v>
      </c>
      <c r="L753">
        <f t="shared" si="121"/>
        <v>76</v>
      </c>
      <c r="M753">
        <f t="shared" si="122"/>
        <v>74.362500000000011</v>
      </c>
      <c r="N753">
        <f t="shared" si="123"/>
        <v>5.68</v>
      </c>
      <c r="O753">
        <f t="shared" si="124"/>
        <v>12.5</v>
      </c>
      <c r="P753">
        <f t="shared" si="125"/>
        <v>7.8409090909090899</v>
      </c>
      <c r="Q753">
        <f t="shared" si="126"/>
        <v>41.583333333333329</v>
      </c>
      <c r="R753">
        <f t="shared" si="127"/>
        <v>93.1</v>
      </c>
      <c r="S753" t="str">
        <f t="shared" si="128"/>
        <v>Satisfactory</v>
      </c>
      <c r="T753" t="str">
        <f t="shared" si="129"/>
        <v>PM2.5</v>
      </c>
      <c r="U753">
        <v>22.83</v>
      </c>
      <c r="V753">
        <v>50.01</v>
      </c>
    </row>
    <row r="754" spans="1:22" x14ac:dyDescent="0.3">
      <c r="A754" s="2" t="s">
        <v>15</v>
      </c>
      <c r="B754">
        <v>560026</v>
      </c>
      <c r="C754" s="3">
        <v>44236</v>
      </c>
      <c r="D754">
        <v>55.43</v>
      </c>
      <c r="E754">
        <v>113.81</v>
      </c>
      <c r="F754">
        <v>105.19</v>
      </c>
      <c r="G754">
        <v>19.04</v>
      </c>
      <c r="H754">
        <v>8.5500000000000007</v>
      </c>
      <c r="I754">
        <v>0.64</v>
      </c>
      <c r="J754">
        <v>43.71</v>
      </c>
      <c r="K754">
        <f t="shared" si="120"/>
        <v>92.383333333333326</v>
      </c>
      <c r="L754">
        <f t="shared" si="121"/>
        <v>109.20666666666666</v>
      </c>
      <c r="M754">
        <f t="shared" si="122"/>
        <v>125.19</v>
      </c>
      <c r="N754">
        <f t="shared" si="123"/>
        <v>4.76</v>
      </c>
      <c r="O754">
        <f t="shared" si="124"/>
        <v>10.687500000000002</v>
      </c>
      <c r="P754">
        <f t="shared" si="125"/>
        <v>7.2727272727272725</v>
      </c>
      <c r="Q754">
        <f t="shared" si="126"/>
        <v>40.472222222222221</v>
      </c>
      <c r="R754">
        <f t="shared" si="127"/>
        <v>125.19</v>
      </c>
      <c r="S754" t="str">
        <f t="shared" si="128"/>
        <v>Moderate</v>
      </c>
      <c r="T754" t="str">
        <f t="shared" si="129"/>
        <v>NO2</v>
      </c>
      <c r="U754">
        <v>22.07</v>
      </c>
      <c r="V754">
        <v>59.43</v>
      </c>
    </row>
    <row r="755" spans="1:22" x14ac:dyDescent="0.3">
      <c r="A755" s="2" t="s">
        <v>15</v>
      </c>
      <c r="B755">
        <v>560026</v>
      </c>
      <c r="C755" s="3">
        <v>44237</v>
      </c>
      <c r="D755">
        <v>56.35</v>
      </c>
      <c r="E755">
        <v>108.31</v>
      </c>
      <c r="F755">
        <v>98.53</v>
      </c>
      <c r="G755">
        <v>18.899999999999999</v>
      </c>
      <c r="H755">
        <v>6.4</v>
      </c>
      <c r="I755">
        <v>0.73</v>
      </c>
      <c r="J755">
        <v>45.93</v>
      </c>
      <c r="K755">
        <f t="shared" si="120"/>
        <v>93.916666666666657</v>
      </c>
      <c r="L755">
        <f t="shared" si="121"/>
        <v>105.54</v>
      </c>
      <c r="M755">
        <f t="shared" si="122"/>
        <v>118.53</v>
      </c>
      <c r="N755">
        <f t="shared" si="123"/>
        <v>4.7249999999999996</v>
      </c>
      <c r="O755">
        <f t="shared" si="124"/>
        <v>8</v>
      </c>
      <c r="P755">
        <f t="shared" si="125"/>
        <v>8.295454545454545</v>
      </c>
      <c r="Q755">
        <f t="shared" si="126"/>
        <v>42.527777777777779</v>
      </c>
      <c r="R755">
        <f t="shared" si="127"/>
        <v>118.53</v>
      </c>
      <c r="S755" t="str">
        <f t="shared" si="128"/>
        <v>Moderate</v>
      </c>
      <c r="T755" t="str">
        <f t="shared" si="129"/>
        <v>NO2</v>
      </c>
      <c r="U755">
        <v>22.47</v>
      </c>
      <c r="V755">
        <v>52.93</v>
      </c>
    </row>
    <row r="756" spans="1:22" x14ac:dyDescent="0.3">
      <c r="A756" s="2" t="s">
        <v>15</v>
      </c>
      <c r="B756">
        <v>560026</v>
      </c>
      <c r="C756" s="3">
        <v>44238</v>
      </c>
      <c r="D756">
        <v>63.43</v>
      </c>
      <c r="E756">
        <v>118.71</v>
      </c>
      <c r="F756">
        <v>76.92</v>
      </c>
      <c r="G756">
        <v>16.25</v>
      </c>
      <c r="H756">
        <v>4.01</v>
      </c>
      <c r="I756">
        <v>0.65</v>
      </c>
      <c r="J756">
        <v>43.39</v>
      </c>
      <c r="K756">
        <f t="shared" si="120"/>
        <v>111.43333333333334</v>
      </c>
      <c r="L756">
        <f t="shared" si="121"/>
        <v>112.47333333333333</v>
      </c>
      <c r="M756">
        <f t="shared" si="122"/>
        <v>96.15</v>
      </c>
      <c r="N756">
        <f t="shared" si="123"/>
        <v>4.0625</v>
      </c>
      <c r="O756">
        <f t="shared" si="124"/>
        <v>5.0125000000000002</v>
      </c>
      <c r="P756">
        <f t="shared" si="125"/>
        <v>7.3863636363636367</v>
      </c>
      <c r="Q756">
        <f t="shared" si="126"/>
        <v>40.175925925925924</v>
      </c>
      <c r="R756">
        <f t="shared" si="127"/>
        <v>112.47333333333333</v>
      </c>
      <c r="S756" t="str">
        <f t="shared" si="128"/>
        <v>Moderate</v>
      </c>
      <c r="T756" t="str">
        <f t="shared" si="129"/>
        <v>PM10</v>
      </c>
      <c r="U756">
        <v>22.28</v>
      </c>
      <c r="V756">
        <v>57.14</v>
      </c>
    </row>
    <row r="757" spans="1:22" x14ac:dyDescent="0.3">
      <c r="A757" s="2" t="s">
        <v>15</v>
      </c>
      <c r="B757">
        <v>560026</v>
      </c>
      <c r="C757" s="3">
        <v>44239</v>
      </c>
      <c r="D757">
        <v>56.96</v>
      </c>
      <c r="E757">
        <v>117.79</v>
      </c>
      <c r="F757">
        <v>60.85</v>
      </c>
      <c r="G757">
        <v>15.15</v>
      </c>
      <c r="H757">
        <v>10.26</v>
      </c>
      <c r="I757">
        <v>0.56999999999999995</v>
      </c>
      <c r="J757">
        <v>44.48</v>
      </c>
      <c r="K757">
        <f t="shared" si="120"/>
        <v>94.933333333333337</v>
      </c>
      <c r="L757">
        <f t="shared" si="121"/>
        <v>111.86</v>
      </c>
      <c r="M757">
        <f t="shared" si="122"/>
        <v>76.0625</v>
      </c>
      <c r="N757">
        <f t="shared" si="123"/>
        <v>3.7875000000000001</v>
      </c>
      <c r="O757">
        <f t="shared" si="124"/>
        <v>12.824999999999999</v>
      </c>
      <c r="P757">
        <f t="shared" si="125"/>
        <v>6.4772727272727266</v>
      </c>
      <c r="Q757">
        <f t="shared" si="126"/>
        <v>41.185185185185183</v>
      </c>
      <c r="R757">
        <f t="shared" si="127"/>
        <v>111.86</v>
      </c>
      <c r="S757" t="str">
        <f t="shared" si="128"/>
        <v>Moderate</v>
      </c>
      <c r="T757" t="str">
        <f t="shared" si="129"/>
        <v>PM10</v>
      </c>
      <c r="U757">
        <v>22.76</v>
      </c>
      <c r="V757">
        <v>54.8</v>
      </c>
    </row>
    <row r="758" spans="1:22" x14ac:dyDescent="0.3">
      <c r="A758" s="2" t="s">
        <v>15</v>
      </c>
      <c r="B758">
        <v>560026</v>
      </c>
      <c r="C758" s="3">
        <v>44240</v>
      </c>
      <c r="D758">
        <v>51.29</v>
      </c>
      <c r="E758">
        <v>104.75</v>
      </c>
      <c r="F758">
        <v>56.88</v>
      </c>
      <c r="G758">
        <v>13.47</v>
      </c>
      <c r="H758">
        <v>6.67</v>
      </c>
      <c r="I758">
        <v>0.64</v>
      </c>
      <c r="J758">
        <v>44.55</v>
      </c>
      <c r="K758">
        <f t="shared" si="120"/>
        <v>85.483333333333334</v>
      </c>
      <c r="L758">
        <f t="shared" si="121"/>
        <v>103.16666666666667</v>
      </c>
      <c r="M758">
        <f t="shared" si="122"/>
        <v>71.099999999999994</v>
      </c>
      <c r="N758">
        <f t="shared" si="123"/>
        <v>3.3675000000000002</v>
      </c>
      <c r="O758">
        <f t="shared" si="124"/>
        <v>8.3375000000000004</v>
      </c>
      <c r="P758">
        <f t="shared" si="125"/>
        <v>7.2727272727272725</v>
      </c>
      <c r="Q758">
        <f t="shared" si="126"/>
        <v>41.25</v>
      </c>
      <c r="R758">
        <f t="shared" si="127"/>
        <v>103.16666666666667</v>
      </c>
      <c r="S758" t="str">
        <f t="shared" si="128"/>
        <v>Moderate</v>
      </c>
      <c r="T758" t="str">
        <f t="shared" si="129"/>
        <v>PM10</v>
      </c>
      <c r="U758">
        <v>22.91</v>
      </c>
      <c r="V758">
        <v>58.65</v>
      </c>
    </row>
    <row r="759" spans="1:22" x14ac:dyDescent="0.3">
      <c r="A759" s="2" t="s">
        <v>15</v>
      </c>
      <c r="B759">
        <v>560026</v>
      </c>
      <c r="C759" s="3">
        <v>44241</v>
      </c>
      <c r="D759">
        <v>56.67</v>
      </c>
      <c r="E759">
        <v>114.61</v>
      </c>
      <c r="F759">
        <v>52.64</v>
      </c>
      <c r="G759">
        <v>9.51</v>
      </c>
      <c r="H759">
        <v>6.98</v>
      </c>
      <c r="I759">
        <v>0.82</v>
      </c>
      <c r="J759">
        <v>57.53</v>
      </c>
      <c r="K759">
        <f t="shared" si="120"/>
        <v>94.45</v>
      </c>
      <c r="L759">
        <f t="shared" si="121"/>
        <v>109.74</v>
      </c>
      <c r="M759">
        <f t="shared" si="122"/>
        <v>65.8</v>
      </c>
      <c r="N759">
        <f t="shared" si="123"/>
        <v>2.3774999999999999</v>
      </c>
      <c r="O759">
        <f t="shared" si="124"/>
        <v>8.7249999999999996</v>
      </c>
      <c r="P759">
        <f t="shared" si="125"/>
        <v>9.3181818181818166</v>
      </c>
      <c r="Q759">
        <f t="shared" si="126"/>
        <v>59.26466666666667</v>
      </c>
      <c r="R759">
        <f t="shared" si="127"/>
        <v>109.74</v>
      </c>
      <c r="S759" t="str">
        <f t="shared" si="128"/>
        <v>Moderate</v>
      </c>
      <c r="T759" t="str">
        <f t="shared" si="129"/>
        <v>PM10</v>
      </c>
      <c r="U759">
        <v>24.11</v>
      </c>
      <c r="V759">
        <v>58.25</v>
      </c>
    </row>
    <row r="760" spans="1:22" x14ac:dyDescent="0.3">
      <c r="A760" s="2" t="s">
        <v>15</v>
      </c>
      <c r="B760">
        <v>560026</v>
      </c>
      <c r="C760" s="3">
        <v>44242</v>
      </c>
      <c r="D760">
        <v>57.78</v>
      </c>
      <c r="E760">
        <v>119.66</v>
      </c>
      <c r="F760">
        <v>59.14</v>
      </c>
      <c r="G760">
        <v>13.58</v>
      </c>
      <c r="H760">
        <v>9.77</v>
      </c>
      <c r="I760">
        <v>0.85</v>
      </c>
      <c r="J760">
        <v>48.48</v>
      </c>
      <c r="K760">
        <f t="shared" si="120"/>
        <v>96.3</v>
      </c>
      <c r="L760">
        <f t="shared" si="121"/>
        <v>113.10666666666667</v>
      </c>
      <c r="M760">
        <f t="shared" si="122"/>
        <v>73.924999999999997</v>
      </c>
      <c r="N760">
        <f t="shared" si="123"/>
        <v>3.395</v>
      </c>
      <c r="O760">
        <f t="shared" si="124"/>
        <v>12.2125</v>
      </c>
      <c r="P760">
        <f t="shared" si="125"/>
        <v>9.6590909090909083</v>
      </c>
      <c r="Q760">
        <f t="shared" si="126"/>
        <v>44.888888888888886</v>
      </c>
      <c r="R760">
        <f t="shared" si="127"/>
        <v>113.10666666666667</v>
      </c>
      <c r="S760" t="str">
        <f t="shared" si="128"/>
        <v>Moderate</v>
      </c>
      <c r="T760" t="str">
        <f t="shared" si="129"/>
        <v>PM10</v>
      </c>
      <c r="U760">
        <v>25</v>
      </c>
      <c r="V760">
        <v>56.8</v>
      </c>
    </row>
    <row r="761" spans="1:22" x14ac:dyDescent="0.3">
      <c r="A761" s="2" t="s">
        <v>15</v>
      </c>
      <c r="B761">
        <v>560026</v>
      </c>
      <c r="C761" s="3">
        <v>44243</v>
      </c>
      <c r="D761">
        <v>59.23</v>
      </c>
      <c r="E761">
        <v>112.74</v>
      </c>
      <c r="F761">
        <v>52.11</v>
      </c>
      <c r="G761">
        <v>10.78</v>
      </c>
      <c r="H761">
        <v>7.71</v>
      </c>
      <c r="I761">
        <v>0.65</v>
      </c>
      <c r="J761">
        <v>58.83</v>
      </c>
      <c r="K761">
        <f t="shared" si="120"/>
        <v>98.716666666666669</v>
      </c>
      <c r="L761">
        <f t="shared" si="121"/>
        <v>108.49333333333333</v>
      </c>
      <c r="M761">
        <f t="shared" si="122"/>
        <v>65.137500000000003</v>
      </c>
      <c r="N761">
        <f t="shared" si="123"/>
        <v>2.6949999999999998</v>
      </c>
      <c r="O761">
        <f t="shared" si="124"/>
        <v>9.6374999999999993</v>
      </c>
      <c r="P761">
        <f t="shared" si="125"/>
        <v>7.3863636363636367</v>
      </c>
      <c r="Q761">
        <f t="shared" si="126"/>
        <v>63.511333333333326</v>
      </c>
      <c r="R761">
        <f t="shared" si="127"/>
        <v>108.49333333333333</v>
      </c>
      <c r="S761" t="str">
        <f t="shared" si="128"/>
        <v>Moderate</v>
      </c>
      <c r="T761" t="str">
        <f t="shared" si="129"/>
        <v>PM10</v>
      </c>
      <c r="U761">
        <v>24.65</v>
      </c>
      <c r="V761">
        <v>61.15</v>
      </c>
    </row>
    <row r="762" spans="1:22" x14ac:dyDescent="0.3">
      <c r="A762" s="2" t="s">
        <v>15</v>
      </c>
      <c r="B762">
        <v>560026</v>
      </c>
      <c r="C762" s="3">
        <v>44244</v>
      </c>
      <c r="D762">
        <v>57.98</v>
      </c>
      <c r="E762">
        <v>110.65</v>
      </c>
      <c r="F762">
        <v>53.29</v>
      </c>
      <c r="G762">
        <v>11.29</v>
      </c>
      <c r="H762">
        <v>11.86</v>
      </c>
      <c r="I762">
        <v>0.7</v>
      </c>
      <c r="J762">
        <v>55.22</v>
      </c>
      <c r="K762">
        <f t="shared" si="120"/>
        <v>96.633333333333326</v>
      </c>
      <c r="L762">
        <f t="shared" si="121"/>
        <v>107.10000000000001</v>
      </c>
      <c r="M762">
        <f t="shared" si="122"/>
        <v>66.612499999999997</v>
      </c>
      <c r="N762">
        <f t="shared" si="123"/>
        <v>2.8224999999999998</v>
      </c>
      <c r="O762">
        <f t="shared" si="124"/>
        <v>14.824999999999999</v>
      </c>
      <c r="P762">
        <f t="shared" si="125"/>
        <v>7.9545454545454541</v>
      </c>
      <c r="Q762">
        <f t="shared" si="126"/>
        <v>51.718666666666664</v>
      </c>
      <c r="R762">
        <f t="shared" si="127"/>
        <v>107.10000000000001</v>
      </c>
      <c r="S762" t="str">
        <f t="shared" si="128"/>
        <v>Moderate</v>
      </c>
      <c r="T762" t="str">
        <f t="shared" si="129"/>
        <v>PM10</v>
      </c>
      <c r="U762">
        <v>24.78</v>
      </c>
      <c r="V762">
        <v>60.36</v>
      </c>
    </row>
    <row r="763" spans="1:22" x14ac:dyDescent="0.3">
      <c r="A763" s="2" t="s">
        <v>15</v>
      </c>
      <c r="B763">
        <v>560026</v>
      </c>
      <c r="C763" s="3">
        <v>44245</v>
      </c>
      <c r="D763">
        <v>56.54</v>
      </c>
      <c r="E763">
        <v>99.03</v>
      </c>
      <c r="F763">
        <v>38.729999999999997</v>
      </c>
      <c r="G763">
        <v>9.43</v>
      </c>
      <c r="H763">
        <v>6.18</v>
      </c>
      <c r="I763">
        <v>0.44</v>
      </c>
      <c r="J763">
        <v>49.11</v>
      </c>
      <c r="K763">
        <f t="shared" si="120"/>
        <v>94.233333333333334</v>
      </c>
      <c r="L763">
        <f t="shared" si="121"/>
        <v>99.03</v>
      </c>
      <c r="M763">
        <f t="shared" si="122"/>
        <v>48.412499999999994</v>
      </c>
      <c r="N763">
        <f t="shared" si="123"/>
        <v>2.3574999999999999</v>
      </c>
      <c r="O763">
        <f t="shared" si="124"/>
        <v>7.7249999999999996</v>
      </c>
      <c r="P763">
        <f t="shared" si="125"/>
        <v>5</v>
      </c>
      <c r="Q763">
        <f t="shared" si="126"/>
        <v>45.472222222222221</v>
      </c>
      <c r="R763">
        <f t="shared" si="127"/>
        <v>99.03</v>
      </c>
      <c r="S763" t="str">
        <f t="shared" si="128"/>
        <v>Satisfactory</v>
      </c>
      <c r="T763" t="str">
        <f t="shared" si="129"/>
        <v>PM10</v>
      </c>
      <c r="U763">
        <v>23.32</v>
      </c>
      <c r="V763">
        <v>71.930000000000007</v>
      </c>
    </row>
    <row r="764" spans="1:22" x14ac:dyDescent="0.3">
      <c r="A764" s="2" t="s">
        <v>15</v>
      </c>
      <c r="B764">
        <v>560026</v>
      </c>
      <c r="C764" s="3">
        <v>44246</v>
      </c>
      <c r="D764">
        <v>61.04</v>
      </c>
      <c r="E764">
        <v>103.57</v>
      </c>
      <c r="F764">
        <v>38.020000000000003</v>
      </c>
      <c r="G764">
        <v>9.81</v>
      </c>
      <c r="H764">
        <v>7.96</v>
      </c>
      <c r="I764">
        <v>0.69</v>
      </c>
      <c r="J764">
        <v>36.799999999999997</v>
      </c>
      <c r="K764">
        <f t="shared" si="120"/>
        <v>103.46666666666667</v>
      </c>
      <c r="L764">
        <f t="shared" si="121"/>
        <v>102.38</v>
      </c>
      <c r="M764">
        <f t="shared" si="122"/>
        <v>47.525000000000006</v>
      </c>
      <c r="N764">
        <f t="shared" si="123"/>
        <v>2.4525000000000001</v>
      </c>
      <c r="O764">
        <f t="shared" si="124"/>
        <v>9.9499999999999993</v>
      </c>
      <c r="P764">
        <f t="shared" si="125"/>
        <v>7.8409090909090899</v>
      </c>
      <c r="Q764">
        <f t="shared" si="126"/>
        <v>34.074074074074069</v>
      </c>
      <c r="R764">
        <f t="shared" si="127"/>
        <v>103.46666666666667</v>
      </c>
      <c r="S764" t="str">
        <f t="shared" si="128"/>
        <v>Moderate</v>
      </c>
      <c r="T764" t="str">
        <f t="shared" si="129"/>
        <v>PM2.5</v>
      </c>
      <c r="U764">
        <v>22.2</v>
      </c>
      <c r="V764">
        <v>74.97</v>
      </c>
    </row>
    <row r="765" spans="1:22" x14ac:dyDescent="0.3">
      <c r="A765" s="2" t="s">
        <v>15</v>
      </c>
      <c r="B765">
        <v>560026</v>
      </c>
      <c r="C765" s="3">
        <v>44247</v>
      </c>
      <c r="D765">
        <v>44.04</v>
      </c>
      <c r="E765">
        <v>89.63</v>
      </c>
      <c r="F765">
        <v>3.05</v>
      </c>
      <c r="G765">
        <v>2.31</v>
      </c>
      <c r="H765">
        <v>4.3</v>
      </c>
      <c r="I765">
        <v>0.79</v>
      </c>
      <c r="J765">
        <v>21.68</v>
      </c>
      <c r="K765">
        <f t="shared" si="120"/>
        <v>73.400000000000006</v>
      </c>
      <c r="L765">
        <f t="shared" si="121"/>
        <v>89.63</v>
      </c>
      <c r="M765">
        <f t="shared" si="122"/>
        <v>3.8125</v>
      </c>
      <c r="N765">
        <f t="shared" si="123"/>
        <v>0.57750000000000001</v>
      </c>
      <c r="O765">
        <f t="shared" si="124"/>
        <v>5.375</v>
      </c>
      <c r="P765">
        <f t="shared" si="125"/>
        <v>8.9772727272727266</v>
      </c>
      <c r="Q765">
        <f t="shared" si="126"/>
        <v>20.074074074074073</v>
      </c>
      <c r="R765">
        <f t="shared" si="127"/>
        <v>89.63</v>
      </c>
      <c r="S765" t="str">
        <f t="shared" si="128"/>
        <v>Satisfactory</v>
      </c>
      <c r="T765" t="str">
        <f t="shared" si="129"/>
        <v>PM10</v>
      </c>
      <c r="U765">
        <v>21.45</v>
      </c>
      <c r="V765">
        <v>71.790000000000006</v>
      </c>
    </row>
    <row r="766" spans="1:22" x14ac:dyDescent="0.3">
      <c r="A766" s="2" t="s">
        <v>15</v>
      </c>
      <c r="B766">
        <v>560026</v>
      </c>
      <c r="C766" s="3">
        <v>44248</v>
      </c>
      <c r="D766">
        <v>29.89</v>
      </c>
      <c r="E766">
        <v>65.010000000000005</v>
      </c>
      <c r="F766">
        <v>2.86</v>
      </c>
      <c r="G766">
        <v>0.25</v>
      </c>
      <c r="H766">
        <v>5.15</v>
      </c>
      <c r="I766">
        <v>0.47</v>
      </c>
      <c r="J766">
        <v>19.260000000000002</v>
      </c>
      <c r="K766">
        <f t="shared" si="120"/>
        <v>49.81666666666667</v>
      </c>
      <c r="L766">
        <f t="shared" si="121"/>
        <v>65.010000000000005</v>
      </c>
      <c r="M766">
        <f t="shared" si="122"/>
        <v>3.5750000000000002</v>
      </c>
      <c r="N766">
        <f t="shared" si="123"/>
        <v>6.25E-2</v>
      </c>
      <c r="O766">
        <f t="shared" si="124"/>
        <v>6.4375</v>
      </c>
      <c r="P766">
        <f t="shared" si="125"/>
        <v>5.3409090909090908</v>
      </c>
      <c r="Q766">
        <f t="shared" si="126"/>
        <v>17.833333333333336</v>
      </c>
      <c r="R766">
        <f t="shared" si="127"/>
        <v>65.010000000000005</v>
      </c>
      <c r="S766" t="str">
        <f t="shared" si="128"/>
        <v>Satisfactory</v>
      </c>
      <c r="T766" t="str">
        <f t="shared" si="129"/>
        <v>PM10</v>
      </c>
      <c r="U766">
        <v>21.67</v>
      </c>
      <c r="V766">
        <v>71.72</v>
      </c>
    </row>
    <row r="767" spans="1:22" x14ac:dyDescent="0.3">
      <c r="A767" s="2" t="s">
        <v>15</v>
      </c>
      <c r="B767">
        <v>560026</v>
      </c>
      <c r="C767" s="3">
        <v>44249</v>
      </c>
      <c r="D767">
        <v>28.48</v>
      </c>
      <c r="E767">
        <v>64.290000000000006</v>
      </c>
      <c r="F767">
        <v>3.26</v>
      </c>
      <c r="G767">
        <v>1.1599999999999999</v>
      </c>
      <c r="H767">
        <v>5.19</v>
      </c>
      <c r="I767">
        <v>0.56000000000000005</v>
      </c>
      <c r="J767">
        <v>19.16</v>
      </c>
      <c r="K767">
        <f t="shared" si="120"/>
        <v>47.466666666666669</v>
      </c>
      <c r="L767">
        <f t="shared" si="121"/>
        <v>64.290000000000006</v>
      </c>
      <c r="M767">
        <f t="shared" si="122"/>
        <v>4.0750000000000002</v>
      </c>
      <c r="N767">
        <f t="shared" si="123"/>
        <v>0.28999999999999998</v>
      </c>
      <c r="O767">
        <f t="shared" si="124"/>
        <v>6.4874999999999998</v>
      </c>
      <c r="P767">
        <f t="shared" si="125"/>
        <v>6.3636363636363642</v>
      </c>
      <c r="Q767">
        <f t="shared" si="126"/>
        <v>17.74074074074074</v>
      </c>
      <c r="R767">
        <f t="shared" si="127"/>
        <v>64.290000000000006</v>
      </c>
      <c r="S767" t="str">
        <f t="shared" si="128"/>
        <v>Satisfactory</v>
      </c>
      <c r="T767" t="str">
        <f t="shared" si="129"/>
        <v>PM10</v>
      </c>
      <c r="U767">
        <v>23.08</v>
      </c>
      <c r="V767">
        <v>64.73</v>
      </c>
    </row>
    <row r="768" spans="1:22" x14ac:dyDescent="0.3">
      <c r="A768" s="2" t="s">
        <v>15</v>
      </c>
      <c r="B768">
        <v>560026</v>
      </c>
      <c r="C768" s="3">
        <v>44250</v>
      </c>
      <c r="D768">
        <v>43.35</v>
      </c>
      <c r="E768">
        <v>95.39</v>
      </c>
      <c r="F768">
        <v>39.54</v>
      </c>
      <c r="G768">
        <v>18.18</v>
      </c>
      <c r="H768">
        <v>6.13</v>
      </c>
      <c r="I768">
        <v>0.82</v>
      </c>
      <c r="J768">
        <v>24.41</v>
      </c>
      <c r="K768">
        <f t="shared" si="120"/>
        <v>72.25</v>
      </c>
      <c r="L768">
        <f t="shared" si="121"/>
        <v>95.39</v>
      </c>
      <c r="M768">
        <f t="shared" si="122"/>
        <v>49.424999999999997</v>
      </c>
      <c r="N768">
        <f t="shared" si="123"/>
        <v>4.5449999999999999</v>
      </c>
      <c r="O768">
        <f t="shared" si="124"/>
        <v>7.6624999999999996</v>
      </c>
      <c r="P768">
        <f t="shared" si="125"/>
        <v>9.3181818181818166</v>
      </c>
      <c r="Q768">
        <f t="shared" si="126"/>
        <v>22.601851851851851</v>
      </c>
      <c r="R768">
        <f t="shared" si="127"/>
        <v>95.39</v>
      </c>
      <c r="S768" t="str">
        <f t="shared" si="128"/>
        <v>Satisfactory</v>
      </c>
      <c r="T768" t="str">
        <f t="shared" si="129"/>
        <v>PM10</v>
      </c>
      <c r="U768">
        <v>24.94</v>
      </c>
      <c r="V768">
        <v>54.15</v>
      </c>
    </row>
    <row r="769" spans="1:22" x14ac:dyDescent="0.3">
      <c r="A769" s="2" t="s">
        <v>15</v>
      </c>
      <c r="B769">
        <v>560026</v>
      </c>
      <c r="C769" s="3">
        <v>44251</v>
      </c>
      <c r="D769">
        <v>54.21</v>
      </c>
      <c r="E769">
        <v>111.56</v>
      </c>
      <c r="F769">
        <v>70</v>
      </c>
      <c r="G769">
        <v>29.93</v>
      </c>
      <c r="H769">
        <v>5.93</v>
      </c>
      <c r="I769">
        <v>0.75</v>
      </c>
      <c r="J769">
        <v>33.07</v>
      </c>
      <c r="K769">
        <f t="shared" si="120"/>
        <v>90.35</v>
      </c>
      <c r="L769">
        <f t="shared" si="121"/>
        <v>107.70666666666666</v>
      </c>
      <c r="M769">
        <f t="shared" si="122"/>
        <v>87.5</v>
      </c>
      <c r="N769">
        <f t="shared" si="123"/>
        <v>7.4824999999999999</v>
      </c>
      <c r="O769">
        <f t="shared" si="124"/>
        <v>7.4124999999999996</v>
      </c>
      <c r="P769">
        <f t="shared" si="125"/>
        <v>8.5227272727272734</v>
      </c>
      <c r="Q769">
        <f t="shared" si="126"/>
        <v>30.62037037037037</v>
      </c>
      <c r="R769">
        <f t="shared" si="127"/>
        <v>107.70666666666666</v>
      </c>
      <c r="S769" t="str">
        <f t="shared" si="128"/>
        <v>Moderate</v>
      </c>
      <c r="T769" t="str">
        <f t="shared" si="129"/>
        <v>PM10</v>
      </c>
      <c r="U769">
        <v>25.07</v>
      </c>
      <c r="V769">
        <v>50.07</v>
      </c>
    </row>
    <row r="770" spans="1:22" x14ac:dyDescent="0.3">
      <c r="A770" s="2" t="s">
        <v>15</v>
      </c>
      <c r="B770">
        <v>560026</v>
      </c>
      <c r="C770" s="3">
        <v>44252</v>
      </c>
      <c r="D770">
        <v>66.55</v>
      </c>
      <c r="E770">
        <v>137.19</v>
      </c>
      <c r="F770">
        <v>76.459999999999994</v>
      </c>
      <c r="G770">
        <v>40.17</v>
      </c>
      <c r="H770">
        <v>10.42</v>
      </c>
      <c r="I770">
        <v>0.93</v>
      </c>
      <c r="J770">
        <v>45.15</v>
      </c>
      <c r="K770">
        <f t="shared" si="120"/>
        <v>121.83333333333333</v>
      </c>
      <c r="L770">
        <f t="shared" si="121"/>
        <v>124.79333333333334</v>
      </c>
      <c r="M770">
        <f t="shared" si="122"/>
        <v>95.574999999999989</v>
      </c>
      <c r="N770">
        <f t="shared" si="123"/>
        <v>10.0425</v>
      </c>
      <c r="O770">
        <f t="shared" si="124"/>
        <v>13.025</v>
      </c>
      <c r="P770">
        <f t="shared" si="125"/>
        <v>10.568181818181818</v>
      </c>
      <c r="Q770">
        <f t="shared" si="126"/>
        <v>41.805555555555557</v>
      </c>
      <c r="R770">
        <f t="shared" si="127"/>
        <v>124.79333333333334</v>
      </c>
      <c r="S770" t="str">
        <f t="shared" si="128"/>
        <v>Moderate</v>
      </c>
      <c r="T770" t="str">
        <f t="shared" si="129"/>
        <v>PM10</v>
      </c>
      <c r="U770">
        <v>26.36</v>
      </c>
      <c r="V770">
        <v>42.98</v>
      </c>
    </row>
    <row r="771" spans="1:22" x14ac:dyDescent="0.3">
      <c r="A771" s="2" t="s">
        <v>15</v>
      </c>
      <c r="B771">
        <v>560026</v>
      </c>
      <c r="C771" s="3">
        <v>44253</v>
      </c>
      <c r="D771">
        <v>66.38</v>
      </c>
      <c r="E771">
        <v>133.66</v>
      </c>
      <c r="F771">
        <v>71.349999999999994</v>
      </c>
      <c r="G771">
        <v>43.38</v>
      </c>
      <c r="H771">
        <v>12.33</v>
      </c>
      <c r="I771">
        <v>0.98</v>
      </c>
      <c r="J771">
        <v>42.96</v>
      </c>
      <c r="K771">
        <f t="shared" si="120"/>
        <v>121.26666666666665</v>
      </c>
      <c r="L771">
        <f t="shared" si="121"/>
        <v>122.44</v>
      </c>
      <c r="M771">
        <f t="shared" si="122"/>
        <v>89.1875</v>
      </c>
      <c r="N771">
        <f t="shared" si="123"/>
        <v>10.845000000000001</v>
      </c>
      <c r="O771">
        <f t="shared" si="124"/>
        <v>15.4125</v>
      </c>
      <c r="P771">
        <f t="shared" si="125"/>
        <v>11.136363636363637</v>
      </c>
      <c r="Q771">
        <f t="shared" si="126"/>
        <v>39.777777777777779</v>
      </c>
      <c r="R771">
        <f t="shared" si="127"/>
        <v>122.44</v>
      </c>
      <c r="S771" t="str">
        <f t="shared" si="128"/>
        <v>Moderate</v>
      </c>
      <c r="T771" t="str">
        <f t="shared" si="129"/>
        <v>PM10</v>
      </c>
      <c r="U771">
        <v>27.13</v>
      </c>
      <c r="V771">
        <v>38.479999999999997</v>
      </c>
    </row>
    <row r="772" spans="1:22" x14ac:dyDescent="0.3">
      <c r="A772" s="2" t="s">
        <v>15</v>
      </c>
      <c r="B772">
        <v>560026</v>
      </c>
      <c r="C772" s="3">
        <v>44254</v>
      </c>
      <c r="D772">
        <v>62.43</v>
      </c>
      <c r="E772">
        <v>131.47999999999999</v>
      </c>
      <c r="F772">
        <v>73.06</v>
      </c>
      <c r="G772">
        <v>43.74</v>
      </c>
      <c r="H772">
        <v>12.13</v>
      </c>
      <c r="I772">
        <v>0.94</v>
      </c>
      <c r="J772">
        <v>55.01</v>
      </c>
      <c r="K772">
        <f t="shared" si="120"/>
        <v>108.1</v>
      </c>
      <c r="L772">
        <f t="shared" si="121"/>
        <v>120.98666666666666</v>
      </c>
      <c r="M772">
        <f t="shared" si="122"/>
        <v>91.325000000000003</v>
      </c>
      <c r="N772">
        <f t="shared" si="123"/>
        <v>10.935</v>
      </c>
      <c r="O772">
        <f t="shared" si="124"/>
        <v>15.1625</v>
      </c>
      <c r="P772">
        <f t="shared" si="125"/>
        <v>10.681818181818182</v>
      </c>
      <c r="Q772">
        <f t="shared" si="126"/>
        <v>51.032666666666657</v>
      </c>
      <c r="R772">
        <f t="shared" si="127"/>
        <v>120.98666666666666</v>
      </c>
      <c r="S772" t="str">
        <f t="shared" si="128"/>
        <v>Moderate</v>
      </c>
      <c r="T772" t="str">
        <f t="shared" si="129"/>
        <v>PM10</v>
      </c>
      <c r="U772">
        <v>28.63</v>
      </c>
      <c r="V772">
        <v>34.65</v>
      </c>
    </row>
    <row r="773" spans="1:22" x14ac:dyDescent="0.3">
      <c r="A773" s="2" t="s">
        <v>15</v>
      </c>
      <c r="B773">
        <v>560026</v>
      </c>
      <c r="C773" s="3">
        <v>44255</v>
      </c>
      <c r="D773">
        <v>52.81</v>
      </c>
      <c r="E773">
        <v>95.45</v>
      </c>
      <c r="F773">
        <v>56.47</v>
      </c>
      <c r="G773">
        <v>34.020000000000003</v>
      </c>
      <c r="H773">
        <v>11.2</v>
      </c>
      <c r="I773">
        <v>0.54</v>
      </c>
      <c r="J773">
        <v>49.19</v>
      </c>
      <c r="K773">
        <f t="shared" si="120"/>
        <v>88.016666666666666</v>
      </c>
      <c r="L773">
        <f t="shared" si="121"/>
        <v>95.45</v>
      </c>
      <c r="M773">
        <f t="shared" si="122"/>
        <v>70.587500000000006</v>
      </c>
      <c r="N773">
        <f t="shared" si="123"/>
        <v>8.5050000000000008</v>
      </c>
      <c r="O773">
        <f t="shared" si="124"/>
        <v>14</v>
      </c>
      <c r="P773">
        <f t="shared" si="125"/>
        <v>6.1363636363636367</v>
      </c>
      <c r="Q773">
        <f t="shared" si="126"/>
        <v>45.546296296296298</v>
      </c>
      <c r="R773">
        <f t="shared" si="127"/>
        <v>95.45</v>
      </c>
      <c r="S773" t="str">
        <f t="shared" si="128"/>
        <v>Satisfactory</v>
      </c>
      <c r="T773" t="str">
        <f t="shared" si="129"/>
        <v>PM10</v>
      </c>
      <c r="U773">
        <v>27.23</v>
      </c>
      <c r="V773">
        <v>32.17</v>
      </c>
    </row>
    <row r="774" spans="1:22" x14ac:dyDescent="0.3">
      <c r="A774" s="2" t="s">
        <v>15</v>
      </c>
      <c r="B774">
        <v>560026</v>
      </c>
      <c r="C774" s="3">
        <v>44256</v>
      </c>
      <c r="D774">
        <v>49.9</v>
      </c>
      <c r="E774">
        <v>101.82</v>
      </c>
      <c r="F774">
        <v>62.2</v>
      </c>
      <c r="G774">
        <v>41.4</v>
      </c>
      <c r="H774">
        <v>12.03</v>
      </c>
      <c r="I774">
        <v>0.76</v>
      </c>
      <c r="J774">
        <v>35.56</v>
      </c>
      <c r="K774">
        <f t="shared" si="120"/>
        <v>83.166666666666657</v>
      </c>
      <c r="L774">
        <f t="shared" si="121"/>
        <v>101.21333333333332</v>
      </c>
      <c r="M774">
        <f t="shared" si="122"/>
        <v>77.75</v>
      </c>
      <c r="N774">
        <f t="shared" si="123"/>
        <v>10.35</v>
      </c>
      <c r="O774">
        <f t="shared" si="124"/>
        <v>15.0375</v>
      </c>
      <c r="P774">
        <f t="shared" si="125"/>
        <v>8.6363636363636367</v>
      </c>
      <c r="Q774">
        <f t="shared" si="126"/>
        <v>32.925925925925931</v>
      </c>
      <c r="R774">
        <f t="shared" si="127"/>
        <v>101.21333333333332</v>
      </c>
      <c r="S774" t="str">
        <f t="shared" si="128"/>
        <v>Moderate</v>
      </c>
      <c r="T774" t="str">
        <f t="shared" si="129"/>
        <v>PM10</v>
      </c>
      <c r="U774">
        <v>26.82</v>
      </c>
      <c r="V774">
        <v>32.799999999999997</v>
      </c>
    </row>
    <row r="775" spans="1:22" x14ac:dyDescent="0.3">
      <c r="A775" s="2" t="s">
        <v>15</v>
      </c>
      <c r="B775">
        <v>560026</v>
      </c>
      <c r="C775" s="3">
        <v>44257</v>
      </c>
      <c r="D775">
        <v>54.08</v>
      </c>
      <c r="E775">
        <v>105.56</v>
      </c>
      <c r="F775">
        <v>52.85</v>
      </c>
      <c r="G775">
        <v>37.32</v>
      </c>
      <c r="H775">
        <v>20.72</v>
      </c>
      <c r="I775">
        <v>0.56000000000000005</v>
      </c>
      <c r="J775">
        <v>48.38</v>
      </c>
      <c r="K775">
        <f t="shared" si="120"/>
        <v>90.133333333333326</v>
      </c>
      <c r="L775">
        <f t="shared" si="121"/>
        <v>103.70666666666666</v>
      </c>
      <c r="M775">
        <f t="shared" si="122"/>
        <v>66.0625</v>
      </c>
      <c r="N775">
        <f t="shared" si="123"/>
        <v>9.33</v>
      </c>
      <c r="O775">
        <f t="shared" si="124"/>
        <v>25.9</v>
      </c>
      <c r="P775">
        <f t="shared" si="125"/>
        <v>6.3636363636363642</v>
      </c>
      <c r="Q775">
        <f t="shared" si="126"/>
        <v>44.796296296296298</v>
      </c>
      <c r="R775">
        <f t="shared" si="127"/>
        <v>103.70666666666666</v>
      </c>
      <c r="S775" t="str">
        <f t="shared" si="128"/>
        <v>Moderate</v>
      </c>
      <c r="T775" t="str">
        <f t="shared" si="129"/>
        <v>PM10</v>
      </c>
      <c r="U775">
        <v>26.25</v>
      </c>
      <c r="V775">
        <v>37.42</v>
      </c>
    </row>
    <row r="776" spans="1:22" x14ac:dyDescent="0.3">
      <c r="A776" s="2" t="s">
        <v>15</v>
      </c>
      <c r="B776">
        <v>560026</v>
      </c>
      <c r="C776" s="3">
        <v>44258</v>
      </c>
      <c r="D776">
        <v>55.03</v>
      </c>
      <c r="E776">
        <v>117.72</v>
      </c>
      <c r="F776">
        <v>59.51</v>
      </c>
      <c r="G776">
        <v>39.6</v>
      </c>
      <c r="H776">
        <v>15.43</v>
      </c>
      <c r="I776">
        <v>0.64</v>
      </c>
      <c r="J776">
        <v>47.28</v>
      </c>
      <c r="K776">
        <f t="shared" si="120"/>
        <v>91.716666666666669</v>
      </c>
      <c r="L776">
        <f t="shared" si="121"/>
        <v>111.81333333333333</v>
      </c>
      <c r="M776">
        <f t="shared" si="122"/>
        <v>74.387499999999989</v>
      </c>
      <c r="N776">
        <f t="shared" si="123"/>
        <v>9.9</v>
      </c>
      <c r="O776">
        <f t="shared" si="124"/>
        <v>19.287500000000001</v>
      </c>
      <c r="P776">
        <f t="shared" si="125"/>
        <v>7.2727272727272725</v>
      </c>
      <c r="Q776">
        <f t="shared" si="126"/>
        <v>43.777777777777779</v>
      </c>
      <c r="R776">
        <f t="shared" si="127"/>
        <v>111.81333333333333</v>
      </c>
      <c r="S776" t="str">
        <f t="shared" si="128"/>
        <v>Moderate</v>
      </c>
      <c r="T776" t="str">
        <f t="shared" si="129"/>
        <v>PM10</v>
      </c>
      <c r="U776">
        <v>26.21</v>
      </c>
      <c r="V776">
        <v>36</v>
      </c>
    </row>
    <row r="777" spans="1:22" x14ac:dyDescent="0.3">
      <c r="A777" s="2" t="s">
        <v>15</v>
      </c>
      <c r="B777">
        <v>560026</v>
      </c>
      <c r="C777" s="3">
        <v>44259</v>
      </c>
      <c r="D777">
        <v>46.16</v>
      </c>
      <c r="E777">
        <v>101.49</v>
      </c>
      <c r="F777">
        <v>53.58</v>
      </c>
      <c r="G777">
        <v>37.159999999999997</v>
      </c>
      <c r="H777">
        <v>7.02</v>
      </c>
      <c r="I777">
        <v>0.56000000000000005</v>
      </c>
      <c r="J777">
        <v>46.5</v>
      </c>
      <c r="K777">
        <f t="shared" si="120"/>
        <v>76.933333333333323</v>
      </c>
      <c r="L777">
        <f t="shared" si="121"/>
        <v>100.99333333333333</v>
      </c>
      <c r="M777">
        <f t="shared" si="122"/>
        <v>66.974999999999994</v>
      </c>
      <c r="N777">
        <f t="shared" si="123"/>
        <v>9.2899999999999991</v>
      </c>
      <c r="O777">
        <f t="shared" si="124"/>
        <v>8.7750000000000004</v>
      </c>
      <c r="P777">
        <f t="shared" si="125"/>
        <v>6.3636363636363642</v>
      </c>
      <c r="Q777">
        <f t="shared" si="126"/>
        <v>43.055555555555557</v>
      </c>
      <c r="R777">
        <f t="shared" si="127"/>
        <v>100.99333333333333</v>
      </c>
      <c r="S777" t="str">
        <f t="shared" si="128"/>
        <v>Moderate</v>
      </c>
      <c r="T777" t="str">
        <f t="shared" si="129"/>
        <v>PM10</v>
      </c>
      <c r="U777">
        <v>25.33</v>
      </c>
      <c r="V777">
        <v>33.81</v>
      </c>
    </row>
    <row r="778" spans="1:22" x14ac:dyDescent="0.3">
      <c r="A778" s="2" t="s">
        <v>15</v>
      </c>
      <c r="B778">
        <v>560026</v>
      </c>
      <c r="C778" s="3">
        <v>44260</v>
      </c>
      <c r="D778">
        <v>38.840000000000003</v>
      </c>
      <c r="E778">
        <v>77.02</v>
      </c>
      <c r="F778">
        <v>41.34</v>
      </c>
      <c r="G778">
        <v>32.229999999999997</v>
      </c>
      <c r="H778">
        <v>6.7</v>
      </c>
      <c r="I778">
        <v>0.52</v>
      </c>
      <c r="J778">
        <v>45.18</v>
      </c>
      <c r="K778">
        <f t="shared" si="120"/>
        <v>64.733333333333334</v>
      </c>
      <c r="L778">
        <f t="shared" si="121"/>
        <v>77.02</v>
      </c>
      <c r="M778">
        <f t="shared" si="122"/>
        <v>51.675000000000004</v>
      </c>
      <c r="N778">
        <f t="shared" si="123"/>
        <v>8.0574999999999992</v>
      </c>
      <c r="O778">
        <f t="shared" si="124"/>
        <v>8.375</v>
      </c>
      <c r="P778">
        <f t="shared" si="125"/>
        <v>5.9090909090909092</v>
      </c>
      <c r="Q778">
        <f t="shared" si="126"/>
        <v>41.833333333333336</v>
      </c>
      <c r="R778">
        <f t="shared" si="127"/>
        <v>77.02</v>
      </c>
      <c r="S778" t="str">
        <f t="shared" si="128"/>
        <v>Satisfactory</v>
      </c>
      <c r="T778" t="str">
        <f t="shared" si="129"/>
        <v>PM10</v>
      </c>
      <c r="U778">
        <v>25.28</v>
      </c>
      <c r="V778">
        <v>41.39</v>
      </c>
    </row>
    <row r="779" spans="1:22" x14ac:dyDescent="0.3">
      <c r="A779" s="2" t="s">
        <v>15</v>
      </c>
      <c r="B779">
        <v>560026</v>
      </c>
      <c r="C779" s="3">
        <v>44261</v>
      </c>
      <c r="D779">
        <v>46.89</v>
      </c>
      <c r="E779">
        <v>103.97</v>
      </c>
      <c r="F779">
        <v>57.07</v>
      </c>
      <c r="G779">
        <v>41.51</v>
      </c>
      <c r="H779">
        <v>5.4</v>
      </c>
      <c r="I779">
        <v>0.76</v>
      </c>
      <c r="J779">
        <v>39.229999999999997</v>
      </c>
      <c r="K779">
        <f t="shared" si="120"/>
        <v>78.150000000000006</v>
      </c>
      <c r="L779">
        <f t="shared" si="121"/>
        <v>102.64666666666666</v>
      </c>
      <c r="M779">
        <f t="shared" si="122"/>
        <v>71.337500000000006</v>
      </c>
      <c r="N779">
        <f t="shared" si="123"/>
        <v>10.3775</v>
      </c>
      <c r="O779">
        <f t="shared" si="124"/>
        <v>6.75</v>
      </c>
      <c r="P779">
        <f t="shared" si="125"/>
        <v>8.6363636363636367</v>
      </c>
      <c r="Q779">
        <f t="shared" si="126"/>
        <v>36.324074074074069</v>
      </c>
      <c r="R779">
        <f t="shared" si="127"/>
        <v>102.64666666666666</v>
      </c>
      <c r="S779" t="str">
        <f t="shared" si="128"/>
        <v>Moderate</v>
      </c>
      <c r="T779" t="str">
        <f t="shared" si="129"/>
        <v>PM10</v>
      </c>
      <c r="U779">
        <v>27.12</v>
      </c>
      <c r="V779">
        <v>39.79</v>
      </c>
    </row>
    <row r="780" spans="1:22" x14ac:dyDescent="0.3">
      <c r="A780" s="2" t="s">
        <v>15</v>
      </c>
      <c r="B780">
        <v>560026</v>
      </c>
      <c r="C780" s="3">
        <v>44262</v>
      </c>
      <c r="D780">
        <v>48</v>
      </c>
      <c r="E780">
        <v>96.6</v>
      </c>
      <c r="F780">
        <v>52.32</v>
      </c>
      <c r="G780">
        <v>37.020000000000003</v>
      </c>
      <c r="H780">
        <v>3.97</v>
      </c>
      <c r="I780">
        <v>0.55000000000000004</v>
      </c>
      <c r="J780">
        <v>49.29</v>
      </c>
      <c r="K780">
        <f t="shared" si="120"/>
        <v>80</v>
      </c>
      <c r="L780">
        <f t="shared" si="121"/>
        <v>96.6</v>
      </c>
      <c r="M780">
        <f t="shared" si="122"/>
        <v>65.400000000000006</v>
      </c>
      <c r="N780">
        <f t="shared" si="123"/>
        <v>9.2550000000000008</v>
      </c>
      <c r="O780">
        <f t="shared" si="124"/>
        <v>4.9625000000000004</v>
      </c>
      <c r="P780">
        <f t="shared" si="125"/>
        <v>6.25</v>
      </c>
      <c r="Q780">
        <f t="shared" si="126"/>
        <v>45.638888888888886</v>
      </c>
      <c r="R780">
        <f t="shared" si="127"/>
        <v>96.6</v>
      </c>
      <c r="S780" t="str">
        <f t="shared" si="128"/>
        <v>Satisfactory</v>
      </c>
      <c r="T780" t="str">
        <f t="shared" si="129"/>
        <v>PM10</v>
      </c>
      <c r="U780">
        <v>27.19</v>
      </c>
      <c r="V780">
        <v>37.83</v>
      </c>
    </row>
    <row r="781" spans="1:22" x14ac:dyDescent="0.3">
      <c r="A781" s="2" t="s">
        <v>15</v>
      </c>
      <c r="B781">
        <v>560026</v>
      </c>
      <c r="C781" s="3">
        <v>44263</v>
      </c>
      <c r="D781">
        <v>34.1</v>
      </c>
      <c r="E781">
        <v>69.900000000000006</v>
      </c>
      <c r="F781">
        <v>41.39</v>
      </c>
      <c r="G781">
        <v>34.1</v>
      </c>
      <c r="H781">
        <v>2.84</v>
      </c>
      <c r="I781">
        <v>0.55000000000000004</v>
      </c>
      <c r="J781">
        <v>36.369999999999997</v>
      </c>
      <c r="K781">
        <f t="shared" si="120"/>
        <v>56.833333333333336</v>
      </c>
      <c r="L781">
        <f t="shared" si="121"/>
        <v>69.900000000000006</v>
      </c>
      <c r="M781">
        <f t="shared" si="122"/>
        <v>51.737499999999997</v>
      </c>
      <c r="N781">
        <f t="shared" si="123"/>
        <v>8.5250000000000004</v>
      </c>
      <c r="O781">
        <f t="shared" si="124"/>
        <v>3.55</v>
      </c>
      <c r="P781">
        <f t="shared" si="125"/>
        <v>6.25</v>
      </c>
      <c r="Q781">
        <f t="shared" si="126"/>
        <v>33.675925925925924</v>
      </c>
      <c r="R781">
        <f t="shared" si="127"/>
        <v>69.900000000000006</v>
      </c>
      <c r="S781" t="str">
        <f t="shared" si="128"/>
        <v>Satisfactory</v>
      </c>
      <c r="T781" t="str">
        <f t="shared" si="129"/>
        <v>PM10</v>
      </c>
      <c r="U781">
        <v>26.57</v>
      </c>
      <c r="V781">
        <v>38.43</v>
      </c>
    </row>
    <row r="782" spans="1:22" x14ac:dyDescent="0.3">
      <c r="A782" s="2" t="s">
        <v>15</v>
      </c>
      <c r="B782">
        <v>560026</v>
      </c>
      <c r="C782" s="3">
        <v>44264</v>
      </c>
      <c r="D782">
        <v>31.52</v>
      </c>
      <c r="E782">
        <v>64.02</v>
      </c>
      <c r="F782">
        <v>29.16</v>
      </c>
      <c r="G782">
        <v>28.25</v>
      </c>
      <c r="H782">
        <v>1.65</v>
      </c>
      <c r="I782">
        <v>0.47</v>
      </c>
      <c r="J782">
        <v>33.950000000000003</v>
      </c>
      <c r="K782">
        <f t="shared" si="120"/>
        <v>52.533333333333331</v>
      </c>
      <c r="L782">
        <f t="shared" si="121"/>
        <v>64.02</v>
      </c>
      <c r="M782">
        <f t="shared" si="122"/>
        <v>36.450000000000003</v>
      </c>
      <c r="N782">
        <f t="shared" si="123"/>
        <v>7.0625</v>
      </c>
      <c r="O782">
        <f t="shared" si="124"/>
        <v>2.0625</v>
      </c>
      <c r="P782">
        <f t="shared" si="125"/>
        <v>5.3409090909090908</v>
      </c>
      <c r="Q782">
        <f t="shared" si="126"/>
        <v>31.435185185185187</v>
      </c>
      <c r="R782">
        <f t="shared" si="127"/>
        <v>64.02</v>
      </c>
      <c r="S782" t="str">
        <f t="shared" si="128"/>
        <v>Satisfactory</v>
      </c>
      <c r="T782" t="str">
        <f t="shared" si="129"/>
        <v>PM10</v>
      </c>
      <c r="U782">
        <v>25.88</v>
      </c>
      <c r="V782">
        <v>47.41</v>
      </c>
    </row>
    <row r="783" spans="1:22" x14ac:dyDescent="0.3">
      <c r="A783" s="2" t="s">
        <v>15</v>
      </c>
      <c r="B783">
        <v>560026</v>
      </c>
      <c r="C783" s="3">
        <v>44265</v>
      </c>
      <c r="D783">
        <v>27.29</v>
      </c>
      <c r="E783">
        <v>59.67</v>
      </c>
      <c r="F783">
        <v>30.19</v>
      </c>
      <c r="G783">
        <v>27.43</v>
      </c>
      <c r="H783">
        <v>4.21</v>
      </c>
      <c r="I783">
        <v>0.48</v>
      </c>
      <c r="J783">
        <v>26.25</v>
      </c>
      <c r="K783">
        <f t="shared" si="120"/>
        <v>45.483333333333334</v>
      </c>
      <c r="L783">
        <f t="shared" si="121"/>
        <v>59.67</v>
      </c>
      <c r="M783">
        <f t="shared" si="122"/>
        <v>37.737499999999997</v>
      </c>
      <c r="N783">
        <f t="shared" si="123"/>
        <v>6.8574999999999999</v>
      </c>
      <c r="O783">
        <f t="shared" si="124"/>
        <v>5.2625000000000002</v>
      </c>
      <c r="P783">
        <f t="shared" si="125"/>
        <v>5.4545454545454541</v>
      </c>
      <c r="Q783">
        <f t="shared" si="126"/>
        <v>24.305555555555557</v>
      </c>
      <c r="R783">
        <f t="shared" si="127"/>
        <v>59.67</v>
      </c>
      <c r="S783" t="str">
        <f t="shared" si="128"/>
        <v>Satisfactory</v>
      </c>
      <c r="T783" t="str">
        <f t="shared" si="129"/>
        <v>PM10</v>
      </c>
      <c r="U783">
        <v>26.49</v>
      </c>
      <c r="V783">
        <v>48.86</v>
      </c>
    </row>
    <row r="784" spans="1:22" x14ac:dyDescent="0.3">
      <c r="A784" s="2" t="s">
        <v>15</v>
      </c>
      <c r="B784">
        <v>560026</v>
      </c>
      <c r="C784" s="3">
        <v>44266</v>
      </c>
      <c r="D784">
        <v>31.39</v>
      </c>
      <c r="E784">
        <v>54.46</v>
      </c>
      <c r="F784">
        <v>22.64</v>
      </c>
      <c r="G784">
        <v>23.44</v>
      </c>
      <c r="H784">
        <v>5.09</v>
      </c>
      <c r="I784">
        <v>0.34</v>
      </c>
      <c r="J784">
        <v>35.33</v>
      </c>
      <c r="K784">
        <f t="shared" si="120"/>
        <v>52.31666666666667</v>
      </c>
      <c r="L784">
        <f t="shared" si="121"/>
        <v>54.46</v>
      </c>
      <c r="M784">
        <f t="shared" si="122"/>
        <v>28.3</v>
      </c>
      <c r="N784">
        <f t="shared" si="123"/>
        <v>5.86</v>
      </c>
      <c r="O784">
        <f t="shared" si="124"/>
        <v>6.3624999999999998</v>
      </c>
      <c r="P784">
        <f t="shared" si="125"/>
        <v>3.8636363636363638</v>
      </c>
      <c r="Q784">
        <f t="shared" si="126"/>
        <v>32.712962962962962</v>
      </c>
      <c r="R784">
        <f t="shared" si="127"/>
        <v>54.46</v>
      </c>
      <c r="S784" t="str">
        <f t="shared" si="128"/>
        <v>Satisfactory</v>
      </c>
      <c r="T784" t="str">
        <f t="shared" si="129"/>
        <v>PM10</v>
      </c>
      <c r="U784">
        <v>26.5</v>
      </c>
      <c r="V784">
        <v>49.71</v>
      </c>
    </row>
    <row r="785" spans="1:22" x14ac:dyDescent="0.3">
      <c r="A785" s="2" t="s">
        <v>15</v>
      </c>
      <c r="B785">
        <v>560026</v>
      </c>
      <c r="C785" s="3">
        <v>44267</v>
      </c>
      <c r="D785">
        <v>34.479999999999997</v>
      </c>
      <c r="E785">
        <v>64.62</v>
      </c>
      <c r="F785">
        <v>33.08</v>
      </c>
      <c r="G785">
        <v>24.37</v>
      </c>
      <c r="H785">
        <v>13.33</v>
      </c>
      <c r="I785">
        <v>0.36</v>
      </c>
      <c r="J785">
        <v>44.8</v>
      </c>
      <c r="K785">
        <f t="shared" si="120"/>
        <v>57.466666666666661</v>
      </c>
      <c r="L785">
        <f t="shared" si="121"/>
        <v>64.62</v>
      </c>
      <c r="M785">
        <f t="shared" si="122"/>
        <v>41.35</v>
      </c>
      <c r="N785">
        <f t="shared" si="123"/>
        <v>6.0925000000000002</v>
      </c>
      <c r="O785">
        <f t="shared" si="124"/>
        <v>16.662500000000001</v>
      </c>
      <c r="P785">
        <f t="shared" si="125"/>
        <v>4.0909090909090908</v>
      </c>
      <c r="Q785">
        <f t="shared" si="126"/>
        <v>41.481481481481481</v>
      </c>
      <c r="R785">
        <f t="shared" si="127"/>
        <v>64.62</v>
      </c>
      <c r="S785" t="str">
        <f t="shared" si="128"/>
        <v>Satisfactory</v>
      </c>
      <c r="T785" t="str">
        <f t="shared" si="129"/>
        <v>PM10</v>
      </c>
      <c r="U785">
        <v>26.48</v>
      </c>
      <c r="V785">
        <v>39.090000000000003</v>
      </c>
    </row>
    <row r="786" spans="1:22" x14ac:dyDescent="0.3">
      <c r="A786" s="2" t="s">
        <v>15</v>
      </c>
      <c r="B786">
        <v>560026</v>
      </c>
      <c r="C786" s="3">
        <v>44268</v>
      </c>
      <c r="D786">
        <v>35.24</v>
      </c>
      <c r="E786">
        <v>69.41</v>
      </c>
      <c r="F786">
        <v>37.03</v>
      </c>
      <c r="G786">
        <v>26.51</v>
      </c>
      <c r="H786">
        <v>5.26</v>
      </c>
      <c r="I786">
        <v>0.44</v>
      </c>
      <c r="J786">
        <v>54.27</v>
      </c>
      <c r="K786">
        <f t="shared" si="120"/>
        <v>58.733333333333334</v>
      </c>
      <c r="L786">
        <f t="shared" si="121"/>
        <v>69.41</v>
      </c>
      <c r="M786">
        <f t="shared" si="122"/>
        <v>46.287500000000001</v>
      </c>
      <c r="N786">
        <f t="shared" si="123"/>
        <v>6.6275000000000004</v>
      </c>
      <c r="O786">
        <f t="shared" si="124"/>
        <v>6.5750000000000002</v>
      </c>
      <c r="P786">
        <f t="shared" si="125"/>
        <v>5</v>
      </c>
      <c r="Q786">
        <f t="shared" si="126"/>
        <v>48.615333333333346</v>
      </c>
      <c r="R786">
        <f t="shared" si="127"/>
        <v>69.41</v>
      </c>
      <c r="S786" t="str">
        <f t="shared" si="128"/>
        <v>Satisfactory</v>
      </c>
      <c r="T786" t="str">
        <f t="shared" si="129"/>
        <v>PM10</v>
      </c>
      <c r="U786">
        <v>26.37</v>
      </c>
      <c r="V786">
        <v>39.090000000000003</v>
      </c>
    </row>
    <row r="787" spans="1:22" x14ac:dyDescent="0.3">
      <c r="A787" s="2" t="s">
        <v>15</v>
      </c>
      <c r="B787">
        <v>560026</v>
      </c>
      <c r="C787" s="3">
        <v>44269</v>
      </c>
      <c r="D787">
        <v>31.35</v>
      </c>
      <c r="E787">
        <v>59.47</v>
      </c>
      <c r="F787">
        <v>28</v>
      </c>
      <c r="G787">
        <v>22.19</v>
      </c>
      <c r="H787">
        <v>3.62</v>
      </c>
      <c r="I787">
        <v>0.38</v>
      </c>
      <c r="J787">
        <v>67.66</v>
      </c>
      <c r="K787">
        <f t="shared" si="120"/>
        <v>52.25</v>
      </c>
      <c r="L787">
        <f t="shared" si="121"/>
        <v>59.47</v>
      </c>
      <c r="M787">
        <f t="shared" si="122"/>
        <v>35</v>
      </c>
      <c r="N787">
        <f t="shared" si="123"/>
        <v>5.5475000000000003</v>
      </c>
      <c r="O787">
        <f t="shared" si="124"/>
        <v>4.5250000000000004</v>
      </c>
      <c r="P787">
        <f t="shared" si="125"/>
        <v>4.3181818181818183</v>
      </c>
      <c r="Q787">
        <f t="shared" si="126"/>
        <v>92.355999999999995</v>
      </c>
      <c r="R787">
        <f t="shared" si="127"/>
        <v>92.355999999999995</v>
      </c>
      <c r="S787" t="str">
        <f t="shared" si="128"/>
        <v>Satisfactory</v>
      </c>
      <c r="T787" t="str">
        <f t="shared" si="129"/>
        <v>OZONE</v>
      </c>
      <c r="U787">
        <v>26.37</v>
      </c>
      <c r="V787">
        <v>30.82</v>
      </c>
    </row>
    <row r="788" spans="1:22" x14ac:dyDescent="0.3">
      <c r="A788" s="2" t="s">
        <v>15</v>
      </c>
      <c r="B788">
        <v>560026</v>
      </c>
      <c r="C788" s="3">
        <v>44270</v>
      </c>
      <c r="D788">
        <v>32.21</v>
      </c>
      <c r="E788">
        <v>58.16</v>
      </c>
      <c r="F788">
        <v>34.869999999999997</v>
      </c>
      <c r="G788">
        <v>25.26</v>
      </c>
      <c r="H788">
        <v>11.53</v>
      </c>
      <c r="I788">
        <v>0.4</v>
      </c>
      <c r="J788">
        <v>69.19</v>
      </c>
      <c r="K788">
        <f t="shared" si="120"/>
        <v>53.683333333333337</v>
      </c>
      <c r="L788">
        <f t="shared" si="121"/>
        <v>58.16</v>
      </c>
      <c r="M788">
        <f t="shared" si="122"/>
        <v>43.587499999999991</v>
      </c>
      <c r="N788">
        <f t="shared" si="123"/>
        <v>6.3150000000000004</v>
      </c>
      <c r="O788">
        <f t="shared" si="124"/>
        <v>14.4125</v>
      </c>
      <c r="P788">
        <f t="shared" si="125"/>
        <v>4.5454545454545459</v>
      </c>
      <c r="Q788">
        <f t="shared" si="126"/>
        <v>97.353999999999985</v>
      </c>
      <c r="R788">
        <f t="shared" si="127"/>
        <v>97.353999999999985</v>
      </c>
      <c r="S788" t="str">
        <f t="shared" si="128"/>
        <v>Satisfactory</v>
      </c>
      <c r="T788" t="str">
        <f t="shared" si="129"/>
        <v>OZONE</v>
      </c>
      <c r="U788">
        <v>26.45</v>
      </c>
      <c r="V788">
        <v>34.36</v>
      </c>
    </row>
    <row r="789" spans="1:22" x14ac:dyDescent="0.3">
      <c r="A789" s="2" t="s">
        <v>15</v>
      </c>
      <c r="B789">
        <v>560026</v>
      </c>
      <c r="C789" s="3">
        <v>44271</v>
      </c>
      <c r="D789">
        <v>46.05</v>
      </c>
      <c r="E789">
        <v>108.77</v>
      </c>
      <c r="F789">
        <v>71.900000000000006</v>
      </c>
      <c r="G789">
        <v>33.11</v>
      </c>
      <c r="H789">
        <v>13.32</v>
      </c>
      <c r="I789">
        <v>0.88</v>
      </c>
      <c r="J789">
        <v>41.26</v>
      </c>
      <c r="K789">
        <f t="shared" si="120"/>
        <v>76.75</v>
      </c>
      <c r="L789">
        <f t="shared" si="121"/>
        <v>105.84666666666666</v>
      </c>
      <c r="M789">
        <f t="shared" si="122"/>
        <v>89.875</v>
      </c>
      <c r="N789">
        <f t="shared" si="123"/>
        <v>8.2774999999999999</v>
      </c>
      <c r="O789">
        <f t="shared" si="124"/>
        <v>16.649999999999999</v>
      </c>
      <c r="P789">
        <f t="shared" si="125"/>
        <v>10</v>
      </c>
      <c r="Q789">
        <f t="shared" si="126"/>
        <v>38.203703703703702</v>
      </c>
      <c r="R789">
        <f t="shared" si="127"/>
        <v>105.84666666666666</v>
      </c>
      <c r="S789" t="str">
        <f t="shared" si="128"/>
        <v>Moderate</v>
      </c>
      <c r="T789" t="str">
        <f t="shared" si="129"/>
        <v>PM10</v>
      </c>
      <c r="U789">
        <v>28.69</v>
      </c>
      <c r="V789">
        <v>35.35</v>
      </c>
    </row>
    <row r="790" spans="1:22" x14ac:dyDescent="0.3">
      <c r="A790" s="2" t="s">
        <v>15</v>
      </c>
      <c r="B790">
        <v>560026</v>
      </c>
      <c r="C790" s="3">
        <v>44272</v>
      </c>
      <c r="D790">
        <v>49.2</v>
      </c>
      <c r="E790">
        <v>92.79</v>
      </c>
      <c r="F790">
        <v>54.87</v>
      </c>
      <c r="G790">
        <v>31.22</v>
      </c>
      <c r="H790">
        <v>7.76</v>
      </c>
      <c r="I790">
        <v>1.48</v>
      </c>
      <c r="J790">
        <v>59.49</v>
      </c>
      <c r="K790">
        <f t="shared" si="120"/>
        <v>82</v>
      </c>
      <c r="L790">
        <f t="shared" si="121"/>
        <v>92.79</v>
      </c>
      <c r="M790">
        <f t="shared" si="122"/>
        <v>68.587500000000006</v>
      </c>
      <c r="N790">
        <f t="shared" si="123"/>
        <v>7.8049999999999997</v>
      </c>
      <c r="O790">
        <f t="shared" si="124"/>
        <v>9.6999999999999993</v>
      </c>
      <c r="P790">
        <f t="shared" si="125"/>
        <v>16.818181818181817</v>
      </c>
      <c r="Q790">
        <f t="shared" si="126"/>
        <v>65.667333333333346</v>
      </c>
      <c r="R790">
        <f t="shared" si="127"/>
        <v>92.79</v>
      </c>
      <c r="S790" t="str">
        <f t="shared" si="128"/>
        <v>Satisfactory</v>
      </c>
      <c r="T790" t="str">
        <f t="shared" si="129"/>
        <v>PM10</v>
      </c>
      <c r="U790">
        <v>27.38</v>
      </c>
      <c r="V790">
        <v>41.35</v>
      </c>
    </row>
    <row r="791" spans="1:22" x14ac:dyDescent="0.3">
      <c r="A791" s="2" t="s">
        <v>15</v>
      </c>
      <c r="B791">
        <v>560026</v>
      </c>
      <c r="C791" s="3">
        <v>44273</v>
      </c>
      <c r="D791">
        <v>62.6</v>
      </c>
      <c r="E791">
        <v>119.25</v>
      </c>
      <c r="F791">
        <v>59.96</v>
      </c>
      <c r="G791">
        <v>39.119999999999997</v>
      </c>
      <c r="H791">
        <v>4.91</v>
      </c>
      <c r="I791">
        <v>1.39</v>
      </c>
      <c r="J791">
        <v>58</v>
      </c>
      <c r="K791">
        <f t="shared" si="120"/>
        <v>108.66666666666667</v>
      </c>
      <c r="L791">
        <f t="shared" si="121"/>
        <v>112.83333333333333</v>
      </c>
      <c r="M791">
        <f t="shared" si="122"/>
        <v>74.95</v>
      </c>
      <c r="N791">
        <f t="shared" si="123"/>
        <v>9.7799999999999994</v>
      </c>
      <c r="O791">
        <f t="shared" si="124"/>
        <v>6.1375000000000002</v>
      </c>
      <c r="P791">
        <f t="shared" si="125"/>
        <v>15.795454545454543</v>
      </c>
      <c r="Q791">
        <f t="shared" si="126"/>
        <v>60.8</v>
      </c>
      <c r="R791">
        <f t="shared" si="127"/>
        <v>112.83333333333333</v>
      </c>
      <c r="S791" t="str">
        <f t="shared" si="128"/>
        <v>Moderate</v>
      </c>
      <c r="T791" t="str">
        <f t="shared" si="129"/>
        <v>PM10</v>
      </c>
      <c r="U791">
        <v>27</v>
      </c>
      <c r="V791">
        <v>41.1</v>
      </c>
    </row>
    <row r="792" spans="1:22" x14ac:dyDescent="0.3">
      <c r="A792" s="2" t="s">
        <v>15</v>
      </c>
      <c r="B792">
        <v>560026</v>
      </c>
      <c r="C792" s="3">
        <v>44274</v>
      </c>
      <c r="D792">
        <v>59.91</v>
      </c>
      <c r="E792">
        <v>127.39</v>
      </c>
      <c r="F792">
        <v>54.37</v>
      </c>
      <c r="G792">
        <v>36.659999999999997</v>
      </c>
      <c r="H792">
        <v>4.59</v>
      </c>
      <c r="I792">
        <v>0.85</v>
      </c>
      <c r="J792">
        <v>63.98</v>
      </c>
      <c r="K792">
        <f t="shared" si="120"/>
        <v>99.85</v>
      </c>
      <c r="L792">
        <f t="shared" si="121"/>
        <v>118.26</v>
      </c>
      <c r="M792">
        <f t="shared" si="122"/>
        <v>67.962500000000006</v>
      </c>
      <c r="N792">
        <f t="shared" si="123"/>
        <v>9.1649999999999991</v>
      </c>
      <c r="O792">
        <f t="shared" si="124"/>
        <v>5.7374999999999998</v>
      </c>
      <c r="P792">
        <f t="shared" si="125"/>
        <v>9.6590909090909083</v>
      </c>
      <c r="Q792">
        <f t="shared" si="126"/>
        <v>80.334666666666664</v>
      </c>
      <c r="R792">
        <f t="shared" si="127"/>
        <v>118.26</v>
      </c>
      <c r="S792" t="str">
        <f t="shared" si="128"/>
        <v>Moderate</v>
      </c>
      <c r="T792" t="str">
        <f t="shared" si="129"/>
        <v>PM10</v>
      </c>
      <c r="U792">
        <v>27.1</v>
      </c>
      <c r="V792">
        <v>38.68</v>
      </c>
    </row>
    <row r="793" spans="1:22" x14ac:dyDescent="0.3">
      <c r="A793" s="2" t="s">
        <v>15</v>
      </c>
      <c r="B793">
        <v>560026</v>
      </c>
      <c r="C793" s="3">
        <v>44275</v>
      </c>
      <c r="D793">
        <v>51.91</v>
      </c>
      <c r="E793">
        <v>93.03</v>
      </c>
      <c r="F793">
        <v>40.94</v>
      </c>
      <c r="G793">
        <v>30.47</v>
      </c>
      <c r="H793">
        <v>7.1</v>
      </c>
      <c r="I793">
        <v>0.94</v>
      </c>
      <c r="J793">
        <v>73.39</v>
      </c>
      <c r="K793">
        <f t="shared" si="120"/>
        <v>86.516666666666652</v>
      </c>
      <c r="L793">
        <f t="shared" si="121"/>
        <v>93.03</v>
      </c>
      <c r="M793">
        <f t="shared" si="122"/>
        <v>51.174999999999997</v>
      </c>
      <c r="N793">
        <f t="shared" si="123"/>
        <v>7.6174999999999997</v>
      </c>
      <c r="O793">
        <f t="shared" si="124"/>
        <v>8.875</v>
      </c>
      <c r="P793">
        <f t="shared" si="125"/>
        <v>10.681818181818182</v>
      </c>
      <c r="Q793">
        <f t="shared" si="126"/>
        <v>109.36500000000001</v>
      </c>
      <c r="R793">
        <f t="shared" si="127"/>
        <v>109.36500000000001</v>
      </c>
      <c r="S793" t="str">
        <f t="shared" si="128"/>
        <v>Moderate</v>
      </c>
      <c r="T793" t="str">
        <f t="shared" si="129"/>
        <v>OZONE</v>
      </c>
      <c r="U793">
        <v>27.02</v>
      </c>
      <c r="V793">
        <v>38.93</v>
      </c>
    </row>
    <row r="794" spans="1:22" x14ac:dyDescent="0.3">
      <c r="A794" s="2" t="s">
        <v>15</v>
      </c>
      <c r="B794">
        <v>560026</v>
      </c>
      <c r="C794" s="3">
        <v>44276</v>
      </c>
      <c r="D794">
        <v>55.02</v>
      </c>
      <c r="E794">
        <v>112.07</v>
      </c>
      <c r="F794">
        <v>47.46</v>
      </c>
      <c r="G794">
        <v>33.53</v>
      </c>
      <c r="H794">
        <v>4.13</v>
      </c>
      <c r="I794">
        <v>0.86</v>
      </c>
      <c r="J794">
        <v>65.010000000000005</v>
      </c>
      <c r="K794">
        <f t="shared" si="120"/>
        <v>91.700000000000017</v>
      </c>
      <c r="L794">
        <f t="shared" si="121"/>
        <v>108.04666666666667</v>
      </c>
      <c r="M794">
        <f t="shared" si="122"/>
        <v>59.325000000000003</v>
      </c>
      <c r="N794">
        <f t="shared" si="123"/>
        <v>8.3825000000000003</v>
      </c>
      <c r="O794">
        <f t="shared" si="124"/>
        <v>5.1624999999999996</v>
      </c>
      <c r="P794">
        <f t="shared" si="125"/>
        <v>9.7727272727272716</v>
      </c>
      <c r="Q794">
        <f t="shared" si="126"/>
        <v>83.699333333333357</v>
      </c>
      <c r="R794">
        <f t="shared" si="127"/>
        <v>108.04666666666667</v>
      </c>
      <c r="S794" t="str">
        <f t="shared" si="128"/>
        <v>Moderate</v>
      </c>
      <c r="T794" t="str">
        <f t="shared" si="129"/>
        <v>PM10</v>
      </c>
      <c r="U794">
        <v>27.56</v>
      </c>
      <c r="V794">
        <v>36.68</v>
      </c>
    </row>
    <row r="795" spans="1:22" x14ac:dyDescent="0.3">
      <c r="A795" s="2" t="s">
        <v>15</v>
      </c>
      <c r="B795">
        <v>560026</v>
      </c>
      <c r="C795" s="3">
        <v>44277</v>
      </c>
      <c r="D795">
        <v>55.64</v>
      </c>
      <c r="E795">
        <v>113.31</v>
      </c>
      <c r="F795">
        <v>50.01</v>
      </c>
      <c r="G795">
        <v>35.450000000000003</v>
      </c>
      <c r="H795">
        <v>6.45</v>
      </c>
      <c r="I795">
        <v>0.68</v>
      </c>
      <c r="J795">
        <v>45.98</v>
      </c>
      <c r="K795">
        <f t="shared" si="120"/>
        <v>92.733333333333334</v>
      </c>
      <c r="L795">
        <f t="shared" si="121"/>
        <v>108.87333333333333</v>
      </c>
      <c r="M795">
        <f t="shared" si="122"/>
        <v>62.512499999999996</v>
      </c>
      <c r="N795">
        <f t="shared" si="123"/>
        <v>8.8625000000000007</v>
      </c>
      <c r="O795">
        <f t="shared" si="124"/>
        <v>8.0625</v>
      </c>
      <c r="P795">
        <f t="shared" si="125"/>
        <v>7.7272727272727275</v>
      </c>
      <c r="Q795">
        <f t="shared" si="126"/>
        <v>42.574074074074069</v>
      </c>
      <c r="R795">
        <f t="shared" si="127"/>
        <v>108.87333333333333</v>
      </c>
      <c r="S795" t="str">
        <f t="shared" si="128"/>
        <v>Moderate</v>
      </c>
      <c r="T795" t="str">
        <f t="shared" si="129"/>
        <v>PM10</v>
      </c>
      <c r="U795">
        <v>27.69</v>
      </c>
      <c r="V795">
        <v>34.83</v>
      </c>
    </row>
    <row r="796" spans="1:22" x14ac:dyDescent="0.3">
      <c r="A796" s="2" t="s">
        <v>15</v>
      </c>
      <c r="B796">
        <v>560026</v>
      </c>
      <c r="C796" s="3">
        <v>44278</v>
      </c>
      <c r="D796">
        <v>46.05</v>
      </c>
      <c r="E796">
        <v>91.06</v>
      </c>
      <c r="F796">
        <v>31.91</v>
      </c>
      <c r="G796">
        <v>27.25</v>
      </c>
      <c r="H796">
        <v>5.45</v>
      </c>
      <c r="I796">
        <v>0.71</v>
      </c>
      <c r="J796">
        <v>49.26</v>
      </c>
      <c r="K796">
        <f t="shared" si="120"/>
        <v>76.75</v>
      </c>
      <c r="L796">
        <f t="shared" si="121"/>
        <v>91.06</v>
      </c>
      <c r="M796">
        <f t="shared" si="122"/>
        <v>39.887500000000003</v>
      </c>
      <c r="N796">
        <f t="shared" si="123"/>
        <v>6.8125</v>
      </c>
      <c r="O796">
        <f t="shared" si="124"/>
        <v>6.8125</v>
      </c>
      <c r="P796">
        <f t="shared" si="125"/>
        <v>8.0681818181818183</v>
      </c>
      <c r="Q796">
        <f t="shared" si="126"/>
        <v>45.611111111111107</v>
      </c>
      <c r="R796">
        <f t="shared" si="127"/>
        <v>91.06</v>
      </c>
      <c r="S796" t="str">
        <f t="shared" si="128"/>
        <v>Satisfactory</v>
      </c>
      <c r="T796" t="str">
        <f t="shared" si="129"/>
        <v>PM10</v>
      </c>
      <c r="U796">
        <v>28.33</v>
      </c>
      <c r="V796">
        <v>43.31</v>
      </c>
    </row>
    <row r="797" spans="1:22" x14ac:dyDescent="0.3">
      <c r="A797" s="2" t="s">
        <v>15</v>
      </c>
      <c r="B797">
        <v>560026</v>
      </c>
      <c r="C797" s="3">
        <v>44279</v>
      </c>
      <c r="D797">
        <v>49.33</v>
      </c>
      <c r="E797">
        <v>105.2</v>
      </c>
      <c r="F797">
        <v>19</v>
      </c>
      <c r="G797">
        <v>23.2</v>
      </c>
      <c r="H797">
        <v>7.29</v>
      </c>
      <c r="I797">
        <v>0.53</v>
      </c>
      <c r="J797">
        <v>31.16</v>
      </c>
      <c r="K797">
        <f t="shared" si="120"/>
        <v>82.216666666666669</v>
      </c>
      <c r="L797">
        <f t="shared" si="121"/>
        <v>103.46666666666667</v>
      </c>
      <c r="M797">
        <f t="shared" si="122"/>
        <v>23.75</v>
      </c>
      <c r="N797">
        <f t="shared" si="123"/>
        <v>5.8</v>
      </c>
      <c r="O797">
        <f t="shared" si="124"/>
        <v>9.1125000000000007</v>
      </c>
      <c r="P797">
        <f t="shared" si="125"/>
        <v>6.0227272727272725</v>
      </c>
      <c r="Q797">
        <f t="shared" si="126"/>
        <v>28.851851851851851</v>
      </c>
      <c r="R797">
        <f t="shared" si="127"/>
        <v>103.46666666666667</v>
      </c>
      <c r="S797" t="str">
        <f t="shared" si="128"/>
        <v>Moderate</v>
      </c>
      <c r="T797" t="str">
        <f t="shared" si="129"/>
        <v>PM10</v>
      </c>
      <c r="U797">
        <v>28.11</v>
      </c>
      <c r="V797">
        <v>45.21</v>
      </c>
    </row>
    <row r="798" spans="1:22" x14ac:dyDescent="0.3">
      <c r="A798" s="2" t="s">
        <v>15</v>
      </c>
      <c r="B798">
        <v>560026</v>
      </c>
      <c r="C798" s="3">
        <v>44280</v>
      </c>
      <c r="D798">
        <v>47.99</v>
      </c>
      <c r="E798">
        <v>104.62</v>
      </c>
      <c r="F798">
        <v>8.51</v>
      </c>
      <c r="G798">
        <v>14.9</v>
      </c>
      <c r="H798">
        <v>6.46</v>
      </c>
      <c r="I798">
        <v>0.53</v>
      </c>
      <c r="J798">
        <v>31.19</v>
      </c>
      <c r="K798">
        <f t="shared" si="120"/>
        <v>79.983333333333334</v>
      </c>
      <c r="L798">
        <f t="shared" si="121"/>
        <v>103.08</v>
      </c>
      <c r="M798">
        <f t="shared" si="122"/>
        <v>10.637499999999999</v>
      </c>
      <c r="N798">
        <f t="shared" si="123"/>
        <v>3.7250000000000001</v>
      </c>
      <c r="O798">
        <f t="shared" si="124"/>
        <v>8.0749999999999993</v>
      </c>
      <c r="P798">
        <f t="shared" si="125"/>
        <v>6.0227272727272725</v>
      </c>
      <c r="Q798">
        <f t="shared" si="126"/>
        <v>28.87962962962963</v>
      </c>
      <c r="R798">
        <f t="shared" si="127"/>
        <v>103.08</v>
      </c>
      <c r="S798" t="str">
        <f t="shared" si="128"/>
        <v>Moderate</v>
      </c>
      <c r="T798" t="str">
        <f t="shared" si="129"/>
        <v>PM10</v>
      </c>
      <c r="U798">
        <v>28.83</v>
      </c>
      <c r="V798">
        <v>41.27</v>
      </c>
    </row>
    <row r="799" spans="1:22" x14ac:dyDescent="0.3">
      <c r="A799" s="2" t="s">
        <v>15</v>
      </c>
      <c r="B799">
        <v>560026</v>
      </c>
      <c r="C799" s="3">
        <v>44281</v>
      </c>
      <c r="D799">
        <v>61.75</v>
      </c>
      <c r="E799">
        <v>127.45</v>
      </c>
      <c r="F799">
        <v>11.92</v>
      </c>
      <c r="G799">
        <v>16.670000000000002</v>
      </c>
      <c r="H799">
        <v>9.26</v>
      </c>
      <c r="I799">
        <v>0.76</v>
      </c>
      <c r="J799">
        <v>54.74</v>
      </c>
      <c r="K799">
        <f t="shared" si="120"/>
        <v>105.83333333333333</v>
      </c>
      <c r="L799">
        <f t="shared" si="121"/>
        <v>118.30000000000001</v>
      </c>
      <c r="M799">
        <f t="shared" si="122"/>
        <v>14.9</v>
      </c>
      <c r="N799">
        <f t="shared" si="123"/>
        <v>4.1675000000000004</v>
      </c>
      <c r="O799">
        <f t="shared" si="124"/>
        <v>11.574999999999999</v>
      </c>
      <c r="P799">
        <f t="shared" si="125"/>
        <v>8.6363636363636367</v>
      </c>
      <c r="Q799">
        <f t="shared" si="126"/>
        <v>50.150666666666673</v>
      </c>
      <c r="R799">
        <f t="shared" si="127"/>
        <v>118.30000000000001</v>
      </c>
      <c r="S799" t="str">
        <f t="shared" si="128"/>
        <v>Moderate</v>
      </c>
      <c r="T799" t="str">
        <f t="shared" si="129"/>
        <v>PM10</v>
      </c>
      <c r="U799">
        <v>28.89</v>
      </c>
      <c r="V799">
        <v>37.090000000000003</v>
      </c>
    </row>
    <row r="800" spans="1:22" x14ac:dyDescent="0.3">
      <c r="A800" s="2" t="s">
        <v>15</v>
      </c>
      <c r="B800">
        <v>560026</v>
      </c>
      <c r="C800" s="3">
        <v>44282</v>
      </c>
      <c r="D800">
        <v>63.24</v>
      </c>
      <c r="E800">
        <v>124.09</v>
      </c>
      <c r="F800">
        <v>13.8</v>
      </c>
      <c r="G800">
        <v>17.63</v>
      </c>
      <c r="H800">
        <v>10.71</v>
      </c>
      <c r="I800">
        <v>0.78</v>
      </c>
      <c r="J800">
        <v>56.73</v>
      </c>
      <c r="K800">
        <f t="shared" si="120"/>
        <v>110.80000000000001</v>
      </c>
      <c r="L800">
        <f t="shared" si="121"/>
        <v>116.06</v>
      </c>
      <c r="M800">
        <f t="shared" si="122"/>
        <v>17.25</v>
      </c>
      <c r="N800">
        <f t="shared" si="123"/>
        <v>4.4074999999999998</v>
      </c>
      <c r="O800">
        <f t="shared" si="124"/>
        <v>13.387499999999999</v>
      </c>
      <c r="P800">
        <f t="shared" si="125"/>
        <v>8.8636363636363633</v>
      </c>
      <c r="Q800">
        <f t="shared" si="126"/>
        <v>56.651333333333326</v>
      </c>
      <c r="R800">
        <f t="shared" si="127"/>
        <v>116.06</v>
      </c>
      <c r="S800" t="str">
        <f t="shared" si="128"/>
        <v>Moderate</v>
      </c>
      <c r="T800" t="str">
        <f t="shared" si="129"/>
        <v>PM10</v>
      </c>
      <c r="U800">
        <v>28.67</v>
      </c>
      <c r="V800">
        <v>42.67</v>
      </c>
    </row>
    <row r="801" spans="1:22" x14ac:dyDescent="0.3">
      <c r="A801" s="2" t="s">
        <v>15</v>
      </c>
      <c r="B801">
        <v>560026</v>
      </c>
      <c r="C801" s="3">
        <v>44283</v>
      </c>
      <c r="D801">
        <v>75.12</v>
      </c>
      <c r="E801">
        <v>133.82</v>
      </c>
      <c r="F801">
        <v>7.92</v>
      </c>
      <c r="G801">
        <v>14.59</v>
      </c>
      <c r="H801">
        <v>6.24</v>
      </c>
      <c r="I801">
        <v>0.79</v>
      </c>
      <c r="J801">
        <v>57.34</v>
      </c>
      <c r="K801">
        <f t="shared" si="120"/>
        <v>150.4</v>
      </c>
      <c r="L801">
        <f t="shared" si="121"/>
        <v>122.54666666666665</v>
      </c>
      <c r="M801">
        <f t="shared" si="122"/>
        <v>9.9</v>
      </c>
      <c r="N801">
        <f t="shared" si="123"/>
        <v>3.6475</v>
      </c>
      <c r="O801">
        <f t="shared" si="124"/>
        <v>7.8</v>
      </c>
      <c r="P801">
        <f t="shared" si="125"/>
        <v>8.9772727272727266</v>
      </c>
      <c r="Q801">
        <f t="shared" si="126"/>
        <v>58.644000000000013</v>
      </c>
      <c r="R801">
        <f t="shared" si="127"/>
        <v>150.4</v>
      </c>
      <c r="S801" t="str">
        <f t="shared" si="128"/>
        <v>Moderate</v>
      </c>
      <c r="T801" t="str">
        <f t="shared" si="129"/>
        <v>PM2.5</v>
      </c>
      <c r="U801">
        <v>27.97</v>
      </c>
      <c r="V801">
        <v>47</v>
      </c>
    </row>
    <row r="802" spans="1:22" x14ac:dyDescent="0.3">
      <c r="A802" s="2" t="s">
        <v>15</v>
      </c>
      <c r="B802">
        <v>560026</v>
      </c>
      <c r="C802" s="3">
        <v>44284</v>
      </c>
      <c r="D802">
        <v>71.819999999999993</v>
      </c>
      <c r="E802">
        <v>128.24</v>
      </c>
      <c r="F802">
        <v>46</v>
      </c>
      <c r="G802">
        <v>31.63</v>
      </c>
      <c r="H802">
        <v>10.7</v>
      </c>
      <c r="I802">
        <v>0.77</v>
      </c>
      <c r="J802">
        <v>55.86</v>
      </c>
      <c r="K802">
        <f t="shared" si="120"/>
        <v>139.39999999999998</v>
      </c>
      <c r="L802">
        <f t="shared" si="121"/>
        <v>118.82666666666667</v>
      </c>
      <c r="M802">
        <f t="shared" si="122"/>
        <v>57.5</v>
      </c>
      <c r="N802">
        <f t="shared" si="123"/>
        <v>7.9074999999999998</v>
      </c>
      <c r="O802">
        <f t="shared" si="124"/>
        <v>13.375</v>
      </c>
      <c r="P802">
        <f t="shared" si="125"/>
        <v>8.75</v>
      </c>
      <c r="Q802">
        <f t="shared" si="126"/>
        <v>53.809333333333328</v>
      </c>
      <c r="R802">
        <f t="shared" si="127"/>
        <v>139.39999999999998</v>
      </c>
      <c r="S802" t="str">
        <f t="shared" si="128"/>
        <v>Moderate</v>
      </c>
      <c r="T802" t="str">
        <f t="shared" si="129"/>
        <v>PM2.5</v>
      </c>
      <c r="U802">
        <v>28.34</v>
      </c>
      <c r="V802">
        <v>45.54</v>
      </c>
    </row>
    <row r="803" spans="1:22" x14ac:dyDescent="0.3">
      <c r="A803" s="2" t="s">
        <v>15</v>
      </c>
      <c r="B803">
        <v>560026</v>
      </c>
      <c r="C803" s="3">
        <v>44285</v>
      </c>
      <c r="D803">
        <v>66.91</v>
      </c>
      <c r="E803">
        <v>131.1</v>
      </c>
      <c r="F803">
        <v>47.46</v>
      </c>
      <c r="G803">
        <v>35.25</v>
      </c>
      <c r="H803">
        <v>11.15</v>
      </c>
      <c r="I803">
        <v>0.65</v>
      </c>
      <c r="J803">
        <v>42.8</v>
      </c>
      <c r="K803">
        <f t="shared" si="120"/>
        <v>123.03333333333332</v>
      </c>
      <c r="L803">
        <f t="shared" si="121"/>
        <v>120.73333333333333</v>
      </c>
      <c r="M803">
        <f t="shared" si="122"/>
        <v>59.325000000000003</v>
      </c>
      <c r="N803">
        <f t="shared" si="123"/>
        <v>8.8125</v>
      </c>
      <c r="O803">
        <f t="shared" si="124"/>
        <v>13.9375</v>
      </c>
      <c r="P803">
        <f t="shared" si="125"/>
        <v>7.3863636363636367</v>
      </c>
      <c r="Q803">
        <f t="shared" si="126"/>
        <v>39.629629629629626</v>
      </c>
      <c r="R803">
        <f t="shared" si="127"/>
        <v>123.03333333333332</v>
      </c>
      <c r="S803" t="str">
        <f t="shared" si="128"/>
        <v>Moderate</v>
      </c>
      <c r="T803" t="str">
        <f t="shared" si="129"/>
        <v>PM2.5</v>
      </c>
      <c r="U803">
        <v>28.47</v>
      </c>
      <c r="V803">
        <v>50.68</v>
      </c>
    </row>
    <row r="804" spans="1:22" x14ac:dyDescent="0.3">
      <c r="A804" s="2" t="s">
        <v>15</v>
      </c>
      <c r="B804">
        <v>560026</v>
      </c>
      <c r="C804" s="3">
        <v>44286</v>
      </c>
      <c r="D804">
        <v>71.11</v>
      </c>
      <c r="E804">
        <v>156.31</v>
      </c>
      <c r="F804">
        <v>64.75</v>
      </c>
      <c r="G804">
        <v>45.8</v>
      </c>
      <c r="H804">
        <v>9.81</v>
      </c>
      <c r="I804">
        <v>0.62</v>
      </c>
      <c r="J804">
        <v>40.700000000000003</v>
      </c>
      <c r="K804">
        <f t="shared" si="120"/>
        <v>137.03333333333333</v>
      </c>
      <c r="L804">
        <f t="shared" si="121"/>
        <v>137.54</v>
      </c>
      <c r="M804">
        <f t="shared" si="122"/>
        <v>80.9375</v>
      </c>
      <c r="N804">
        <f t="shared" si="123"/>
        <v>11.45</v>
      </c>
      <c r="O804">
        <f t="shared" si="124"/>
        <v>12.262499999999999</v>
      </c>
      <c r="P804">
        <f t="shared" si="125"/>
        <v>7.045454545454545</v>
      </c>
      <c r="Q804">
        <f t="shared" si="126"/>
        <v>37.68518518518519</v>
      </c>
      <c r="R804">
        <f t="shared" si="127"/>
        <v>137.54</v>
      </c>
      <c r="S804" t="str">
        <f t="shared" si="128"/>
        <v>Moderate</v>
      </c>
      <c r="T804" t="str">
        <f t="shared" si="129"/>
        <v>PM10</v>
      </c>
      <c r="U804">
        <v>30.16</v>
      </c>
      <c r="V804">
        <v>39.729999999999997</v>
      </c>
    </row>
    <row r="805" spans="1:22" x14ac:dyDescent="0.3">
      <c r="A805" s="2" t="s">
        <v>15</v>
      </c>
      <c r="B805">
        <v>560026</v>
      </c>
      <c r="C805" s="3">
        <v>44287</v>
      </c>
      <c r="D805">
        <v>54.24</v>
      </c>
      <c r="E805">
        <v>114.27</v>
      </c>
      <c r="F805">
        <v>41.73</v>
      </c>
      <c r="G805">
        <v>33.46</v>
      </c>
      <c r="H805">
        <v>8.39</v>
      </c>
      <c r="I805">
        <v>0.63</v>
      </c>
      <c r="J805">
        <v>41</v>
      </c>
      <c r="K805">
        <f t="shared" si="120"/>
        <v>90.4</v>
      </c>
      <c r="L805">
        <f t="shared" si="121"/>
        <v>109.51333333333334</v>
      </c>
      <c r="M805">
        <f t="shared" si="122"/>
        <v>52.162499999999994</v>
      </c>
      <c r="N805">
        <f t="shared" si="123"/>
        <v>8.3650000000000002</v>
      </c>
      <c r="O805">
        <f t="shared" si="124"/>
        <v>10.487500000000001</v>
      </c>
      <c r="P805">
        <f t="shared" si="125"/>
        <v>7.1590909090909092</v>
      </c>
      <c r="Q805">
        <f t="shared" si="126"/>
        <v>37.962962962962962</v>
      </c>
      <c r="R805">
        <f t="shared" si="127"/>
        <v>109.51333333333334</v>
      </c>
      <c r="S805" t="str">
        <f t="shared" si="128"/>
        <v>Moderate</v>
      </c>
      <c r="T805" t="str">
        <f t="shared" si="129"/>
        <v>PM10</v>
      </c>
      <c r="U805">
        <v>29.26</v>
      </c>
      <c r="V805">
        <v>47.91</v>
      </c>
    </row>
    <row r="806" spans="1:22" x14ac:dyDescent="0.3">
      <c r="A806" s="2" t="s">
        <v>15</v>
      </c>
      <c r="B806">
        <v>560026</v>
      </c>
      <c r="C806" s="3">
        <v>44288</v>
      </c>
      <c r="D806">
        <v>42.01</v>
      </c>
      <c r="E806">
        <v>109.17</v>
      </c>
      <c r="F806">
        <v>45.62</v>
      </c>
      <c r="G806">
        <v>31.96</v>
      </c>
      <c r="H806">
        <v>5.73</v>
      </c>
      <c r="I806">
        <v>0.69</v>
      </c>
      <c r="J806">
        <v>47.21</v>
      </c>
      <c r="K806">
        <f t="shared" si="120"/>
        <v>70.016666666666666</v>
      </c>
      <c r="L806">
        <f t="shared" si="121"/>
        <v>106.11333333333333</v>
      </c>
      <c r="M806">
        <f t="shared" si="122"/>
        <v>57.024999999999999</v>
      </c>
      <c r="N806">
        <f t="shared" si="123"/>
        <v>7.99</v>
      </c>
      <c r="O806">
        <f t="shared" si="124"/>
        <v>7.1624999999999996</v>
      </c>
      <c r="P806">
        <f t="shared" si="125"/>
        <v>7.8409090909090899</v>
      </c>
      <c r="Q806">
        <f t="shared" si="126"/>
        <v>43.712962962962962</v>
      </c>
      <c r="R806">
        <f t="shared" si="127"/>
        <v>106.11333333333333</v>
      </c>
      <c r="S806" t="str">
        <f t="shared" si="128"/>
        <v>Moderate</v>
      </c>
      <c r="T806" t="str">
        <f t="shared" si="129"/>
        <v>PM10</v>
      </c>
      <c r="U806">
        <v>28.97</v>
      </c>
      <c r="V806">
        <v>43.13</v>
      </c>
    </row>
    <row r="807" spans="1:22" x14ac:dyDescent="0.3">
      <c r="A807" s="2" t="s">
        <v>15</v>
      </c>
      <c r="B807">
        <v>560026</v>
      </c>
      <c r="C807" s="3">
        <v>44289</v>
      </c>
      <c r="D807">
        <v>48.15</v>
      </c>
      <c r="E807">
        <v>122.5</v>
      </c>
      <c r="F807">
        <v>36.71</v>
      </c>
      <c r="G807">
        <v>27.24</v>
      </c>
      <c r="H807">
        <v>8.02</v>
      </c>
      <c r="I807">
        <v>0.71</v>
      </c>
      <c r="J807">
        <v>49.75</v>
      </c>
      <c r="K807">
        <f t="shared" si="120"/>
        <v>80.25</v>
      </c>
      <c r="L807">
        <f t="shared" si="121"/>
        <v>115</v>
      </c>
      <c r="M807">
        <f t="shared" si="122"/>
        <v>45.887500000000003</v>
      </c>
      <c r="N807">
        <f t="shared" si="123"/>
        <v>6.81</v>
      </c>
      <c r="O807">
        <f t="shared" si="124"/>
        <v>10.025</v>
      </c>
      <c r="P807">
        <f t="shared" si="125"/>
        <v>8.0681818181818183</v>
      </c>
      <c r="Q807">
        <f t="shared" si="126"/>
        <v>46.064814814814817</v>
      </c>
      <c r="R807">
        <f t="shared" si="127"/>
        <v>115</v>
      </c>
      <c r="S807" t="str">
        <f t="shared" si="128"/>
        <v>Moderate</v>
      </c>
      <c r="T807" t="str">
        <f t="shared" si="129"/>
        <v>PM10</v>
      </c>
      <c r="U807">
        <v>28.59</v>
      </c>
      <c r="V807">
        <v>50.52</v>
      </c>
    </row>
    <row r="808" spans="1:22" x14ac:dyDescent="0.3">
      <c r="A808" s="2" t="s">
        <v>15</v>
      </c>
      <c r="B808">
        <v>560026</v>
      </c>
      <c r="C808" s="3">
        <v>44290</v>
      </c>
      <c r="D808">
        <v>52.7</v>
      </c>
      <c r="E808">
        <v>138.78</v>
      </c>
      <c r="F808">
        <v>42.03</v>
      </c>
      <c r="G808">
        <v>30.72</v>
      </c>
      <c r="H808">
        <v>10.199999999999999</v>
      </c>
      <c r="I808">
        <v>0.71</v>
      </c>
      <c r="J808">
        <v>49.07</v>
      </c>
      <c r="K808">
        <f t="shared" si="120"/>
        <v>87.833333333333343</v>
      </c>
      <c r="L808">
        <f t="shared" si="121"/>
        <v>125.85333333333332</v>
      </c>
      <c r="M808">
        <f t="shared" si="122"/>
        <v>52.537500000000001</v>
      </c>
      <c r="N808">
        <f t="shared" si="123"/>
        <v>7.68</v>
      </c>
      <c r="O808">
        <f t="shared" si="124"/>
        <v>12.749999999999998</v>
      </c>
      <c r="P808">
        <f t="shared" si="125"/>
        <v>8.0681818181818183</v>
      </c>
      <c r="Q808">
        <f t="shared" si="126"/>
        <v>45.435185185185183</v>
      </c>
      <c r="R808">
        <f t="shared" si="127"/>
        <v>125.85333333333332</v>
      </c>
      <c r="S808" t="str">
        <f t="shared" si="128"/>
        <v>Moderate</v>
      </c>
      <c r="T808" t="str">
        <f t="shared" si="129"/>
        <v>PM10</v>
      </c>
      <c r="U808">
        <v>29.18</v>
      </c>
      <c r="V808">
        <v>45.17</v>
      </c>
    </row>
    <row r="809" spans="1:22" x14ac:dyDescent="0.3">
      <c r="A809" s="2" t="s">
        <v>15</v>
      </c>
      <c r="B809">
        <v>560026</v>
      </c>
      <c r="C809" s="3">
        <v>44291</v>
      </c>
      <c r="D809">
        <v>53.57</v>
      </c>
      <c r="E809">
        <v>143.22</v>
      </c>
      <c r="F809">
        <v>43</v>
      </c>
      <c r="G809">
        <v>31.93</v>
      </c>
      <c r="H809">
        <v>8.58</v>
      </c>
      <c r="I809">
        <v>0.71</v>
      </c>
      <c r="J809">
        <v>49.1</v>
      </c>
      <c r="K809">
        <f t="shared" si="120"/>
        <v>89.283333333333331</v>
      </c>
      <c r="L809">
        <f t="shared" si="121"/>
        <v>128.81333333333333</v>
      </c>
      <c r="M809">
        <f t="shared" si="122"/>
        <v>53.75</v>
      </c>
      <c r="N809">
        <f t="shared" si="123"/>
        <v>7.9824999999999999</v>
      </c>
      <c r="O809">
        <f t="shared" si="124"/>
        <v>10.725</v>
      </c>
      <c r="P809">
        <f t="shared" si="125"/>
        <v>8.0681818181818183</v>
      </c>
      <c r="Q809">
        <f t="shared" si="126"/>
        <v>45.462962962962962</v>
      </c>
      <c r="R809">
        <f t="shared" si="127"/>
        <v>128.81333333333333</v>
      </c>
      <c r="S809" t="str">
        <f t="shared" si="128"/>
        <v>Moderate</v>
      </c>
      <c r="T809" t="str">
        <f t="shared" si="129"/>
        <v>PM10</v>
      </c>
      <c r="U809">
        <v>28.38</v>
      </c>
      <c r="V809">
        <v>51.71</v>
      </c>
    </row>
    <row r="810" spans="1:22" x14ac:dyDescent="0.3">
      <c r="A810" s="2" t="s">
        <v>15</v>
      </c>
      <c r="B810">
        <v>560026</v>
      </c>
      <c r="C810" s="3">
        <v>44292</v>
      </c>
      <c r="D810">
        <v>68.650000000000006</v>
      </c>
      <c r="E810">
        <v>143.99</v>
      </c>
      <c r="F810">
        <v>32.049999999999997</v>
      </c>
      <c r="G810">
        <v>28.67</v>
      </c>
      <c r="H810">
        <v>2.75</v>
      </c>
      <c r="I810">
        <v>1</v>
      </c>
      <c r="J810">
        <v>78.88</v>
      </c>
      <c r="K810">
        <f t="shared" si="120"/>
        <v>128.83333333333334</v>
      </c>
      <c r="L810">
        <f t="shared" si="121"/>
        <v>129.32666666666668</v>
      </c>
      <c r="M810">
        <f t="shared" si="122"/>
        <v>40.062499999999993</v>
      </c>
      <c r="N810">
        <f t="shared" si="123"/>
        <v>7.1675000000000004</v>
      </c>
      <c r="O810">
        <f t="shared" si="124"/>
        <v>3.4375</v>
      </c>
      <c r="P810">
        <f t="shared" si="125"/>
        <v>11.363636363636363</v>
      </c>
      <c r="Q810">
        <f t="shared" si="126"/>
        <v>128.57999999999998</v>
      </c>
      <c r="R810">
        <f t="shared" si="127"/>
        <v>129.32666666666668</v>
      </c>
      <c r="S810" t="str">
        <f t="shared" si="128"/>
        <v>Moderate</v>
      </c>
      <c r="T810" t="str">
        <f t="shared" si="129"/>
        <v>PM10</v>
      </c>
      <c r="U810">
        <v>28.4</v>
      </c>
      <c r="V810">
        <v>50.94</v>
      </c>
    </row>
    <row r="811" spans="1:22" x14ac:dyDescent="0.3">
      <c r="A811" s="2" t="s">
        <v>15</v>
      </c>
      <c r="B811">
        <v>560026</v>
      </c>
      <c r="C811" s="3">
        <v>44293</v>
      </c>
      <c r="D811">
        <v>55.51</v>
      </c>
      <c r="E811">
        <v>121.95</v>
      </c>
      <c r="F811">
        <v>41.67</v>
      </c>
      <c r="G811">
        <v>29.56</v>
      </c>
      <c r="H811">
        <v>9.89</v>
      </c>
      <c r="I811">
        <v>0.9</v>
      </c>
      <c r="J811">
        <v>69.2</v>
      </c>
      <c r="K811">
        <f t="shared" si="120"/>
        <v>92.516666666666666</v>
      </c>
      <c r="L811">
        <f t="shared" si="121"/>
        <v>114.63333333333334</v>
      </c>
      <c r="M811">
        <f t="shared" si="122"/>
        <v>52.087500000000006</v>
      </c>
      <c r="N811">
        <f t="shared" si="123"/>
        <v>7.39</v>
      </c>
      <c r="O811">
        <f t="shared" si="124"/>
        <v>12.362500000000001</v>
      </c>
      <c r="P811">
        <f t="shared" si="125"/>
        <v>10.227272727272727</v>
      </c>
      <c r="Q811">
        <f t="shared" si="126"/>
        <v>97.386666666666684</v>
      </c>
      <c r="R811">
        <f t="shared" si="127"/>
        <v>114.63333333333334</v>
      </c>
      <c r="S811" t="str">
        <f t="shared" si="128"/>
        <v>Moderate</v>
      </c>
      <c r="T811" t="str">
        <f t="shared" si="129"/>
        <v>PM10</v>
      </c>
      <c r="U811">
        <v>29.03</v>
      </c>
      <c r="V811">
        <v>39.11</v>
      </c>
    </row>
    <row r="812" spans="1:22" x14ac:dyDescent="0.3">
      <c r="A812" s="2" t="s">
        <v>15</v>
      </c>
      <c r="B812">
        <v>560026</v>
      </c>
      <c r="C812" s="3">
        <v>44294</v>
      </c>
      <c r="D812">
        <v>60.9</v>
      </c>
      <c r="E812">
        <v>122.84</v>
      </c>
      <c r="F812">
        <v>36.299999999999997</v>
      </c>
      <c r="G812">
        <v>29.02</v>
      </c>
      <c r="H812">
        <v>11.48</v>
      </c>
      <c r="I812">
        <v>0.97</v>
      </c>
      <c r="J812">
        <v>75.63</v>
      </c>
      <c r="K812">
        <f t="shared" si="120"/>
        <v>103</v>
      </c>
      <c r="L812">
        <f t="shared" si="121"/>
        <v>115.22666666666667</v>
      </c>
      <c r="M812">
        <f t="shared" si="122"/>
        <v>45.374999999999993</v>
      </c>
      <c r="N812">
        <f t="shared" si="123"/>
        <v>7.2549999999999999</v>
      </c>
      <c r="O812">
        <f t="shared" si="124"/>
        <v>14.35</v>
      </c>
      <c r="P812">
        <f t="shared" si="125"/>
        <v>11.022727272727272</v>
      </c>
      <c r="Q812">
        <f t="shared" si="126"/>
        <v>117.20499999999998</v>
      </c>
      <c r="R812">
        <f t="shared" si="127"/>
        <v>117.20499999999998</v>
      </c>
      <c r="S812" t="str">
        <f t="shared" si="128"/>
        <v>Moderate</v>
      </c>
      <c r="T812" t="str">
        <f t="shared" si="129"/>
        <v>OZONE</v>
      </c>
      <c r="U812">
        <v>28.34</v>
      </c>
      <c r="V812">
        <v>41.47</v>
      </c>
    </row>
    <row r="813" spans="1:22" x14ac:dyDescent="0.3">
      <c r="A813" s="2" t="s">
        <v>15</v>
      </c>
      <c r="B813">
        <v>560026</v>
      </c>
      <c r="C813" s="3">
        <v>44295</v>
      </c>
      <c r="D813">
        <v>57.73</v>
      </c>
      <c r="E813">
        <v>117.71</v>
      </c>
      <c r="F813">
        <v>34.090000000000003</v>
      </c>
      <c r="G813">
        <v>27.09</v>
      </c>
      <c r="H813">
        <v>10.4</v>
      </c>
      <c r="I813">
        <v>0.97</v>
      </c>
      <c r="J813">
        <v>76.180000000000007</v>
      </c>
      <c r="K813">
        <f t="shared" si="120"/>
        <v>96.216666666666669</v>
      </c>
      <c r="L813">
        <f t="shared" si="121"/>
        <v>111.80666666666666</v>
      </c>
      <c r="M813">
        <f t="shared" si="122"/>
        <v>42.612500000000004</v>
      </c>
      <c r="N813">
        <f t="shared" si="123"/>
        <v>6.7725</v>
      </c>
      <c r="O813">
        <f t="shared" si="124"/>
        <v>13</v>
      </c>
      <c r="P813">
        <f t="shared" si="125"/>
        <v>11.022727272727272</v>
      </c>
      <c r="Q813">
        <f t="shared" si="126"/>
        <v>119.13000000000002</v>
      </c>
      <c r="R813">
        <f t="shared" si="127"/>
        <v>119.13000000000002</v>
      </c>
      <c r="S813" t="str">
        <f t="shared" si="128"/>
        <v>Moderate</v>
      </c>
      <c r="T813" t="str">
        <f t="shared" si="129"/>
        <v>OZONE</v>
      </c>
      <c r="U813">
        <v>28.26</v>
      </c>
      <c r="V813">
        <v>43.31</v>
      </c>
    </row>
    <row r="814" spans="1:22" x14ac:dyDescent="0.3">
      <c r="A814" s="2" t="s">
        <v>15</v>
      </c>
      <c r="B814">
        <v>560026</v>
      </c>
      <c r="C814" s="3">
        <v>44296</v>
      </c>
      <c r="D814">
        <v>56.65</v>
      </c>
      <c r="E814">
        <v>109.02</v>
      </c>
      <c r="F814">
        <v>32.6</v>
      </c>
      <c r="G814">
        <v>28.54</v>
      </c>
      <c r="H814">
        <v>15.87</v>
      </c>
      <c r="I814">
        <v>1.01</v>
      </c>
      <c r="J814">
        <v>79.8</v>
      </c>
      <c r="K814">
        <f t="shared" si="120"/>
        <v>94.416666666666657</v>
      </c>
      <c r="L814">
        <f t="shared" si="121"/>
        <v>106.01333333333334</v>
      </c>
      <c r="M814">
        <f t="shared" si="122"/>
        <v>40.75</v>
      </c>
      <c r="N814">
        <f t="shared" si="123"/>
        <v>7.1349999999999998</v>
      </c>
      <c r="O814">
        <f t="shared" si="124"/>
        <v>19.837499999999999</v>
      </c>
      <c r="P814">
        <f t="shared" si="125"/>
        <v>11.477272727272727</v>
      </c>
      <c r="Q814">
        <f t="shared" si="126"/>
        <v>131.79999999999998</v>
      </c>
      <c r="R814">
        <f t="shared" si="127"/>
        <v>131.79999999999998</v>
      </c>
      <c r="S814" t="str">
        <f t="shared" si="128"/>
        <v>Moderate</v>
      </c>
      <c r="T814" t="str">
        <f t="shared" si="129"/>
        <v>OZONE</v>
      </c>
      <c r="U814">
        <v>27.95</v>
      </c>
      <c r="V814">
        <v>43.1</v>
      </c>
    </row>
    <row r="815" spans="1:22" x14ac:dyDescent="0.3">
      <c r="A815" s="2" t="s">
        <v>15</v>
      </c>
      <c r="B815">
        <v>560026</v>
      </c>
      <c r="C815" s="3">
        <v>44297</v>
      </c>
      <c r="D815">
        <v>43.04</v>
      </c>
      <c r="E815">
        <v>72.91</v>
      </c>
      <c r="F815">
        <v>17.84</v>
      </c>
      <c r="G815">
        <v>21.58</v>
      </c>
      <c r="H815">
        <v>12.86</v>
      </c>
      <c r="I815">
        <v>0.82</v>
      </c>
      <c r="J815">
        <v>60.69</v>
      </c>
      <c r="K815">
        <f t="shared" si="120"/>
        <v>71.733333333333334</v>
      </c>
      <c r="L815">
        <f t="shared" si="121"/>
        <v>72.91</v>
      </c>
      <c r="M815">
        <f t="shared" si="122"/>
        <v>22.3</v>
      </c>
      <c r="N815">
        <f t="shared" si="123"/>
        <v>5.3949999999999996</v>
      </c>
      <c r="O815">
        <f t="shared" si="124"/>
        <v>16.074999999999999</v>
      </c>
      <c r="P815">
        <f t="shared" si="125"/>
        <v>9.3181818181818166</v>
      </c>
      <c r="Q815">
        <f t="shared" si="126"/>
        <v>69.587333333333333</v>
      </c>
      <c r="R815">
        <f t="shared" si="127"/>
        <v>72.91</v>
      </c>
      <c r="S815" t="str">
        <f t="shared" si="128"/>
        <v>Satisfactory</v>
      </c>
      <c r="T815" t="str">
        <f t="shared" si="129"/>
        <v>PM10</v>
      </c>
      <c r="U815">
        <v>28.02</v>
      </c>
      <c r="V815">
        <v>49.02</v>
      </c>
    </row>
    <row r="816" spans="1:22" x14ac:dyDescent="0.3">
      <c r="A816" s="2" t="s">
        <v>15</v>
      </c>
      <c r="B816">
        <v>560026</v>
      </c>
      <c r="C816" s="3">
        <v>44298</v>
      </c>
      <c r="D816">
        <v>33.840000000000003</v>
      </c>
      <c r="E816">
        <v>62.12</v>
      </c>
      <c r="F816">
        <v>20.73</v>
      </c>
      <c r="G816">
        <v>22.65</v>
      </c>
      <c r="H816">
        <v>9.6300000000000008</v>
      </c>
      <c r="I816">
        <v>0.51</v>
      </c>
      <c r="J816">
        <v>28.9</v>
      </c>
      <c r="K816">
        <f t="shared" ref="K816:K879" si="130">IF(ISTEXT(D816),0,IF(D816&lt;=30,D816*50/30,IF(AND(D816&gt;30,D816&lt;=60),50+(D816-30)*50/30,IF(AND(D816&gt;60,D816&lt;=90),100+(D816-60)*100/30,IF(AND(D816&gt;90,D816&lt;=120),200+(D816-90)*(100/30),IF(AND(D816&gt;120,D816&lt;=250),300+(D816-120)*(100/130),IF(D816&gt;250,400+(D816-250)*(100/130))))))))</f>
        <v>56.400000000000006</v>
      </c>
      <c r="L816">
        <f t="shared" ref="L816:L879" si="131">IF(ISTEXT(E816),0,IF(E816&lt;=50,E816,IF(AND(E816&gt;50,E816&lt;=100),E816,IF(AND(E816&gt;100,E816&lt;=250),100+(E816-100)*100/150,IF(AND(E816&gt;250,E816&lt;=350),200+(E816-250),IF(AND(E816&gt;350,E816&lt;=430),300+(E816-350)*(100/80),IF(E816&gt;430,400+(E816-430)*(100/80))))))))</f>
        <v>62.12</v>
      </c>
      <c r="M816">
        <f t="shared" ref="M816:M879" si="132">IF(ISTEXT(F816),0,IF(F816&lt;=40,F816*50/40,IF(AND(F816&gt;40,F816&lt;=80),50+(F816-40)*50/40,IF(AND(F816&gt;80,F816&lt;=180),100+(F816-80)*100/100,IF(AND(F816&gt;180,F816&lt;=280),200+(F816-180)*(100/100),IF(AND(F816&gt;280,F816&lt;=400),300+(F816-280)*(100/120),IF(F816&gt;400,400+(F816-400)*(100/120))))))))</f>
        <v>25.912500000000001</v>
      </c>
      <c r="N816">
        <f t="shared" ref="N816:N879" si="133">IF(ISTEXT(G816),0,IF(G816&lt;=200,G816*50/200,IF(AND(G816&gt;200,G816&lt;=400),50+(G816-200)*50/200,IF(AND(G816&gt;400,G816&lt;=800),100+(G816-400)*100/400,IF(AND(G816&gt;800,G816&lt;=1200),200+(G816-800)*(100/400),IF(AND(G816&gt;1200,G816&lt;=1800),300+(G816-1200)*(100/600),IF(G816&gt;1800,400+(G816-1800)*(100/600))))))))</f>
        <v>5.6624999999999996</v>
      </c>
      <c r="O816">
        <f t="shared" ref="O816:O879" si="134">IF(ISTEXT(H816),0,IF(H816&lt;=40,H816*50/40,IF(AND(H816&gt;40,H816&lt;=80),50+(H816-40)*50/40,IF(AND(H816&gt;80,H816&lt;=380),100+(H816-80)*100/300,IF(AND(H816&gt;380,H816&lt;=800),200+(H816-380)*(100/420),IF(AND(H816&gt;800,H816&lt;=1600),300+(H816-800)*(100/800),IF(H816&gt;1600,400+(H816-1600)*(100/800))))))))</f>
        <v>12.037500000000001</v>
      </c>
      <c r="P816">
        <f t="shared" ref="P816:P879" si="135">IF(I816&lt;=4.4,(50-0)/(4.4-0)*(I816-0)+0,
IF(I816&lt;=9.4,(100-51)/(9.4-4.5)*(I816-4.5)+51,
IF(I816&lt;=12.4,(150-101)/(12.4-9.5)*(I816-9.5)+101,
IF(I816&lt;=15.4,(200-151)/(15.4-12.5)*(I816-12.5)+151,
IF(I816&lt;=30.4,(300-201)/(30.4-15.5)*(I816-15.5)+201,
(500-301)/(50.4-30.5)*(I816-30.5)+301)))))</f>
        <v>5.795454545454545</v>
      </c>
      <c r="Q816">
        <f t="shared" ref="Q816:Q879" si="136">IF(J816&lt;=54,(50-0)/(54-0)*(J816-0)+0,
IF(J816&lt;=70,(100-51)/(70-55)*(J816-55)+51,
IF(J816&lt;=85,(150-101)/(85-71)*(J816-71)+101,
IF(J816&lt;=105,(200-151)/(105-86)*(J816-86)+151,
IF(J816&lt;=200,(300-201)/(200-106)*(J816-106)+201,
(500-301)/(300-201)*(J816-201)+301)))))</f>
        <v>26.75925925925926</v>
      </c>
      <c r="R816">
        <f t="shared" ref="R816:R879" si="137">MAX(K816:Q816)</f>
        <v>62.12</v>
      </c>
      <c r="S816" t="str">
        <f t="shared" ref="S816:S879" si="138">IF(R816&lt;=50,"Good",
IF(R816&lt;=100,"Satisfactory",
IF(R816&lt;=200,"Moderate",
IF(R816&lt;=300,"Poor",
IF(R816&lt;=400,"Very Poor",
"Severe")))))</f>
        <v>Satisfactory</v>
      </c>
      <c r="T816" t="str">
        <f t="shared" ref="T816:T879" si="139">IF(MAX(K816:Q816)=K816,"PM2.5",
IF(MAX(K816:Q816)=L816,"PM10",
IF(MAX(K816:Q816)=M816,"NO2",
IF(MAX(K816:Q816)=N816,"NH3",
IF(MAX(K816:Q816)=O816,"SO2",
IF(MAX(K816:Q816)=P816,"CO",
IF(MAX(K816:Q816)=Q816,"OZONE","")))))))</f>
        <v>PM10</v>
      </c>
      <c r="U816">
        <v>27.91</v>
      </c>
      <c r="V816">
        <v>54.36</v>
      </c>
    </row>
    <row r="817" spans="1:22" x14ac:dyDescent="0.3">
      <c r="A817" s="2" t="s">
        <v>15</v>
      </c>
      <c r="B817">
        <v>560026</v>
      </c>
      <c r="C817" s="3">
        <v>44299</v>
      </c>
      <c r="D817">
        <v>36.9</v>
      </c>
      <c r="E817">
        <v>55.92</v>
      </c>
      <c r="F817">
        <v>13.07</v>
      </c>
      <c r="G817">
        <v>18.05</v>
      </c>
      <c r="H817">
        <v>9.41</v>
      </c>
      <c r="I817">
        <v>0.56999999999999995</v>
      </c>
      <c r="J817">
        <v>35.28</v>
      </c>
      <c r="K817">
        <f t="shared" si="130"/>
        <v>61.5</v>
      </c>
      <c r="L817">
        <f t="shared" si="131"/>
        <v>55.92</v>
      </c>
      <c r="M817">
        <f t="shared" si="132"/>
        <v>16.337499999999999</v>
      </c>
      <c r="N817">
        <f t="shared" si="133"/>
        <v>4.5125000000000002</v>
      </c>
      <c r="O817">
        <f t="shared" si="134"/>
        <v>11.762499999999999</v>
      </c>
      <c r="P817">
        <f t="shared" si="135"/>
        <v>6.4772727272727266</v>
      </c>
      <c r="Q817">
        <f t="shared" si="136"/>
        <v>32.666666666666671</v>
      </c>
      <c r="R817">
        <f t="shared" si="137"/>
        <v>61.5</v>
      </c>
      <c r="S817" t="str">
        <f t="shared" si="138"/>
        <v>Satisfactory</v>
      </c>
      <c r="T817" t="str">
        <f t="shared" si="139"/>
        <v>PM2.5</v>
      </c>
      <c r="U817">
        <v>27.72</v>
      </c>
      <c r="V817">
        <v>53.59</v>
      </c>
    </row>
    <row r="818" spans="1:22" x14ac:dyDescent="0.3">
      <c r="A818" s="2" t="s">
        <v>15</v>
      </c>
      <c r="B818">
        <v>560026</v>
      </c>
      <c r="C818" s="3">
        <v>44300</v>
      </c>
      <c r="D818">
        <v>38.17</v>
      </c>
      <c r="E818">
        <v>55.71</v>
      </c>
      <c r="F818">
        <v>18.96</v>
      </c>
      <c r="G818">
        <v>21.99</v>
      </c>
      <c r="H818">
        <v>9.4</v>
      </c>
      <c r="I818">
        <v>0.56000000000000005</v>
      </c>
      <c r="J818">
        <v>33.9</v>
      </c>
      <c r="K818">
        <f t="shared" si="130"/>
        <v>63.616666666666674</v>
      </c>
      <c r="L818">
        <f t="shared" si="131"/>
        <v>55.71</v>
      </c>
      <c r="M818">
        <f t="shared" si="132"/>
        <v>23.7</v>
      </c>
      <c r="N818">
        <f t="shared" si="133"/>
        <v>5.4974999999999996</v>
      </c>
      <c r="O818">
        <f t="shared" si="134"/>
        <v>11.75</v>
      </c>
      <c r="P818">
        <f t="shared" si="135"/>
        <v>6.3636363636363642</v>
      </c>
      <c r="Q818">
        <f t="shared" si="136"/>
        <v>31.388888888888889</v>
      </c>
      <c r="R818">
        <f t="shared" si="137"/>
        <v>63.616666666666674</v>
      </c>
      <c r="S818" t="str">
        <f t="shared" si="138"/>
        <v>Satisfactory</v>
      </c>
      <c r="T818" t="str">
        <f t="shared" si="139"/>
        <v>PM2.5</v>
      </c>
      <c r="U818">
        <v>26.13</v>
      </c>
      <c r="V818">
        <v>62.76</v>
      </c>
    </row>
    <row r="819" spans="1:22" x14ac:dyDescent="0.3">
      <c r="A819" s="2" t="s">
        <v>15</v>
      </c>
      <c r="B819">
        <v>560026</v>
      </c>
      <c r="C819" s="3">
        <v>44301</v>
      </c>
      <c r="D819">
        <v>41.44</v>
      </c>
      <c r="E819">
        <v>71.14</v>
      </c>
      <c r="F819">
        <v>23.98</v>
      </c>
      <c r="G819">
        <v>22.25</v>
      </c>
      <c r="H819">
        <v>5.58</v>
      </c>
      <c r="I819">
        <v>0.8</v>
      </c>
      <c r="J819">
        <v>58.51</v>
      </c>
      <c r="K819">
        <f t="shared" si="130"/>
        <v>69.066666666666663</v>
      </c>
      <c r="L819">
        <f t="shared" si="131"/>
        <v>71.14</v>
      </c>
      <c r="M819">
        <f t="shared" si="132"/>
        <v>29.975000000000001</v>
      </c>
      <c r="N819">
        <f t="shared" si="133"/>
        <v>5.5625</v>
      </c>
      <c r="O819">
        <f t="shared" si="134"/>
        <v>6.9749999999999996</v>
      </c>
      <c r="P819">
        <f t="shared" si="135"/>
        <v>9.0909090909090917</v>
      </c>
      <c r="Q819">
        <f t="shared" si="136"/>
        <v>62.465999999999994</v>
      </c>
      <c r="R819">
        <f t="shared" si="137"/>
        <v>71.14</v>
      </c>
      <c r="S819" t="str">
        <f t="shared" si="138"/>
        <v>Satisfactory</v>
      </c>
      <c r="T819" t="str">
        <f t="shared" si="139"/>
        <v>PM10</v>
      </c>
      <c r="U819">
        <v>25.17</v>
      </c>
      <c r="V819">
        <v>65.36</v>
      </c>
    </row>
    <row r="820" spans="1:22" x14ac:dyDescent="0.3">
      <c r="A820" s="2" t="s">
        <v>15</v>
      </c>
      <c r="B820">
        <v>560026</v>
      </c>
      <c r="C820" s="3">
        <v>44302</v>
      </c>
      <c r="D820">
        <v>64.400000000000006</v>
      </c>
      <c r="E820">
        <v>94.63</v>
      </c>
      <c r="F820">
        <v>31.11</v>
      </c>
      <c r="G820">
        <v>27.36</v>
      </c>
      <c r="H820">
        <v>4.17</v>
      </c>
      <c r="I820">
        <v>0.84</v>
      </c>
      <c r="J820">
        <v>62.91</v>
      </c>
      <c r="K820">
        <f t="shared" si="130"/>
        <v>114.66666666666669</v>
      </c>
      <c r="L820">
        <f t="shared" si="131"/>
        <v>94.63</v>
      </c>
      <c r="M820">
        <f t="shared" si="132"/>
        <v>38.887500000000003</v>
      </c>
      <c r="N820">
        <f t="shared" si="133"/>
        <v>6.84</v>
      </c>
      <c r="O820">
        <f t="shared" si="134"/>
        <v>5.2125000000000004</v>
      </c>
      <c r="P820">
        <f t="shared" si="135"/>
        <v>9.545454545454545</v>
      </c>
      <c r="Q820">
        <f t="shared" si="136"/>
        <v>76.839333333333315</v>
      </c>
      <c r="R820">
        <f t="shared" si="137"/>
        <v>114.66666666666669</v>
      </c>
      <c r="S820" t="str">
        <f t="shared" si="138"/>
        <v>Moderate</v>
      </c>
      <c r="T820" t="str">
        <f t="shared" si="139"/>
        <v>PM2.5</v>
      </c>
      <c r="U820">
        <v>26.42</v>
      </c>
      <c r="V820">
        <v>59.55</v>
      </c>
    </row>
    <row r="821" spans="1:22" x14ac:dyDescent="0.3">
      <c r="A821" s="2" t="s">
        <v>15</v>
      </c>
      <c r="B821">
        <v>560026</v>
      </c>
      <c r="C821" s="3">
        <v>44303</v>
      </c>
      <c r="D821">
        <v>49.49</v>
      </c>
      <c r="E821">
        <v>79.73</v>
      </c>
      <c r="F821">
        <v>31.59</v>
      </c>
      <c r="G821">
        <v>28.7</v>
      </c>
      <c r="H821">
        <v>5.55</v>
      </c>
      <c r="I821">
        <v>0.99</v>
      </c>
      <c r="J821">
        <v>78.19</v>
      </c>
      <c r="K821">
        <f t="shared" si="130"/>
        <v>82.483333333333334</v>
      </c>
      <c r="L821">
        <f t="shared" si="131"/>
        <v>79.73</v>
      </c>
      <c r="M821">
        <f t="shared" si="132"/>
        <v>39.487499999999997</v>
      </c>
      <c r="N821">
        <f t="shared" si="133"/>
        <v>7.1749999999999998</v>
      </c>
      <c r="O821">
        <f t="shared" si="134"/>
        <v>6.9375</v>
      </c>
      <c r="P821">
        <f t="shared" si="135"/>
        <v>11.25</v>
      </c>
      <c r="Q821">
        <f t="shared" si="136"/>
        <v>126.16499999999999</v>
      </c>
      <c r="R821">
        <f t="shared" si="137"/>
        <v>126.16499999999999</v>
      </c>
      <c r="S821" t="str">
        <f t="shared" si="138"/>
        <v>Moderate</v>
      </c>
      <c r="T821" t="str">
        <f t="shared" si="139"/>
        <v>OZONE</v>
      </c>
      <c r="U821">
        <v>27.41</v>
      </c>
      <c r="V821">
        <v>55.78</v>
      </c>
    </row>
    <row r="822" spans="1:22" x14ac:dyDescent="0.3">
      <c r="A822" s="2" t="s">
        <v>15</v>
      </c>
      <c r="B822">
        <v>560026</v>
      </c>
      <c r="C822" s="3">
        <v>44304</v>
      </c>
      <c r="D822">
        <v>48.49</v>
      </c>
      <c r="E822">
        <v>68.319999999999993</v>
      </c>
      <c r="F822">
        <v>18.739999999999998</v>
      </c>
      <c r="G822">
        <v>24.82</v>
      </c>
      <c r="H822">
        <v>5.73</v>
      </c>
      <c r="I822">
        <v>1.02</v>
      </c>
      <c r="J822">
        <v>80.989999999999995</v>
      </c>
      <c r="K822">
        <f t="shared" si="130"/>
        <v>80.816666666666663</v>
      </c>
      <c r="L822">
        <f t="shared" si="131"/>
        <v>68.319999999999993</v>
      </c>
      <c r="M822">
        <f t="shared" si="132"/>
        <v>23.424999999999997</v>
      </c>
      <c r="N822">
        <f t="shared" si="133"/>
        <v>6.2050000000000001</v>
      </c>
      <c r="O822">
        <f t="shared" si="134"/>
        <v>7.1624999999999996</v>
      </c>
      <c r="P822">
        <f t="shared" si="135"/>
        <v>11.59090909090909</v>
      </c>
      <c r="Q822">
        <f t="shared" si="136"/>
        <v>135.96499999999997</v>
      </c>
      <c r="R822">
        <f t="shared" si="137"/>
        <v>135.96499999999997</v>
      </c>
      <c r="S822" t="str">
        <f t="shared" si="138"/>
        <v>Moderate</v>
      </c>
      <c r="T822" t="str">
        <f t="shared" si="139"/>
        <v>OZONE</v>
      </c>
      <c r="U822">
        <v>28.35</v>
      </c>
      <c r="V822">
        <v>53.4</v>
      </c>
    </row>
    <row r="823" spans="1:22" x14ac:dyDescent="0.3">
      <c r="A823" s="2" t="s">
        <v>15</v>
      </c>
      <c r="B823">
        <v>560026</v>
      </c>
      <c r="C823" s="3">
        <v>44305</v>
      </c>
      <c r="D823">
        <v>48.76</v>
      </c>
      <c r="E823">
        <v>77.7</v>
      </c>
      <c r="F823">
        <v>25.18</v>
      </c>
      <c r="G823">
        <v>29.44</v>
      </c>
      <c r="H823">
        <v>4.8099999999999996</v>
      </c>
      <c r="I823">
        <v>0.82</v>
      </c>
      <c r="J823">
        <v>61.42</v>
      </c>
      <c r="K823">
        <f t="shared" si="130"/>
        <v>81.266666666666666</v>
      </c>
      <c r="L823">
        <f t="shared" si="131"/>
        <v>77.7</v>
      </c>
      <c r="M823">
        <f t="shared" si="132"/>
        <v>31.475000000000001</v>
      </c>
      <c r="N823">
        <f t="shared" si="133"/>
        <v>7.36</v>
      </c>
      <c r="O823">
        <f t="shared" si="134"/>
        <v>6.0124999999999993</v>
      </c>
      <c r="P823">
        <f t="shared" si="135"/>
        <v>9.3181818181818166</v>
      </c>
      <c r="Q823">
        <f t="shared" si="136"/>
        <v>71.972000000000008</v>
      </c>
      <c r="R823">
        <f t="shared" si="137"/>
        <v>81.266666666666666</v>
      </c>
      <c r="S823" t="str">
        <f t="shared" si="138"/>
        <v>Satisfactory</v>
      </c>
      <c r="T823" t="str">
        <f t="shared" si="139"/>
        <v>PM2.5</v>
      </c>
      <c r="U823">
        <v>28.09</v>
      </c>
      <c r="V823">
        <v>55.31</v>
      </c>
    </row>
    <row r="824" spans="1:22" x14ac:dyDescent="0.3">
      <c r="A824" s="2" t="s">
        <v>15</v>
      </c>
      <c r="B824">
        <v>560026</v>
      </c>
      <c r="C824" s="3">
        <v>44306</v>
      </c>
      <c r="D824">
        <v>48.08</v>
      </c>
      <c r="E824">
        <v>72.5</v>
      </c>
      <c r="F824">
        <v>28.65</v>
      </c>
      <c r="G824">
        <v>30.65</v>
      </c>
      <c r="H824">
        <v>3.7</v>
      </c>
      <c r="I824">
        <v>0.87</v>
      </c>
      <c r="J824">
        <v>66.16</v>
      </c>
      <c r="K824">
        <f t="shared" si="130"/>
        <v>80.133333333333326</v>
      </c>
      <c r="L824">
        <f t="shared" si="131"/>
        <v>72.5</v>
      </c>
      <c r="M824">
        <f t="shared" si="132"/>
        <v>35.8125</v>
      </c>
      <c r="N824">
        <f t="shared" si="133"/>
        <v>7.6624999999999996</v>
      </c>
      <c r="O824">
        <f t="shared" si="134"/>
        <v>4.625</v>
      </c>
      <c r="P824">
        <f t="shared" si="135"/>
        <v>9.8863636363636367</v>
      </c>
      <c r="Q824">
        <f t="shared" si="136"/>
        <v>87.455999999999989</v>
      </c>
      <c r="R824">
        <f t="shared" si="137"/>
        <v>87.455999999999989</v>
      </c>
      <c r="S824" t="str">
        <f t="shared" si="138"/>
        <v>Satisfactory</v>
      </c>
      <c r="T824" t="str">
        <f t="shared" si="139"/>
        <v>OZONE</v>
      </c>
      <c r="U824">
        <v>26.74</v>
      </c>
      <c r="V824">
        <v>60.86</v>
      </c>
    </row>
    <row r="825" spans="1:22" x14ac:dyDescent="0.3">
      <c r="A825" s="2" t="s">
        <v>15</v>
      </c>
      <c r="B825">
        <v>560026</v>
      </c>
      <c r="C825" s="3">
        <v>44307</v>
      </c>
      <c r="D825">
        <v>62.28</v>
      </c>
      <c r="E825">
        <v>96.07</v>
      </c>
      <c r="F825">
        <v>29.33</v>
      </c>
      <c r="G825">
        <v>31.29</v>
      </c>
      <c r="H825">
        <v>3.71</v>
      </c>
      <c r="I825">
        <v>0.94</v>
      </c>
      <c r="J825">
        <v>70.3</v>
      </c>
      <c r="K825">
        <f t="shared" si="130"/>
        <v>107.60000000000001</v>
      </c>
      <c r="L825">
        <f t="shared" si="131"/>
        <v>96.07</v>
      </c>
      <c r="M825">
        <f t="shared" si="132"/>
        <v>36.662500000000001</v>
      </c>
      <c r="N825">
        <f t="shared" si="133"/>
        <v>7.8224999999999998</v>
      </c>
      <c r="O825">
        <f t="shared" si="134"/>
        <v>4.6375000000000002</v>
      </c>
      <c r="P825">
        <f t="shared" si="135"/>
        <v>10.681818181818182</v>
      </c>
      <c r="Q825">
        <f t="shared" si="136"/>
        <v>98.549999999999983</v>
      </c>
      <c r="R825">
        <f t="shared" si="137"/>
        <v>107.60000000000001</v>
      </c>
      <c r="S825" t="str">
        <f t="shared" si="138"/>
        <v>Moderate</v>
      </c>
      <c r="T825" t="str">
        <f t="shared" si="139"/>
        <v>PM2.5</v>
      </c>
      <c r="U825">
        <v>27.23</v>
      </c>
      <c r="V825">
        <v>59.8</v>
      </c>
    </row>
    <row r="826" spans="1:22" x14ac:dyDescent="0.3">
      <c r="A826" s="2" t="s">
        <v>15</v>
      </c>
      <c r="B826">
        <v>560026</v>
      </c>
      <c r="C826" s="3">
        <v>44308</v>
      </c>
      <c r="D826">
        <v>53.54</v>
      </c>
      <c r="E826">
        <v>87.53</v>
      </c>
      <c r="F826">
        <v>31.84</v>
      </c>
      <c r="G826">
        <v>33.99</v>
      </c>
      <c r="H826">
        <v>3.64</v>
      </c>
      <c r="I826">
        <v>0.92</v>
      </c>
      <c r="J826">
        <v>71.349999999999994</v>
      </c>
      <c r="K826">
        <f t="shared" si="130"/>
        <v>89.233333333333334</v>
      </c>
      <c r="L826">
        <f t="shared" si="131"/>
        <v>87.53</v>
      </c>
      <c r="M826">
        <f t="shared" si="132"/>
        <v>39.799999999999997</v>
      </c>
      <c r="N826">
        <f t="shared" si="133"/>
        <v>8.4975000000000005</v>
      </c>
      <c r="O826">
        <f t="shared" si="134"/>
        <v>4.55</v>
      </c>
      <c r="P826">
        <f t="shared" si="135"/>
        <v>10.454545454545455</v>
      </c>
      <c r="Q826">
        <f t="shared" si="136"/>
        <v>102.22499999999998</v>
      </c>
      <c r="R826">
        <f t="shared" si="137"/>
        <v>102.22499999999998</v>
      </c>
      <c r="S826" t="str">
        <f t="shared" si="138"/>
        <v>Moderate</v>
      </c>
      <c r="T826" t="str">
        <f t="shared" si="139"/>
        <v>OZONE</v>
      </c>
      <c r="U826">
        <v>25.93</v>
      </c>
      <c r="V826">
        <v>64.239999999999995</v>
      </c>
    </row>
    <row r="827" spans="1:22" x14ac:dyDescent="0.3">
      <c r="A827" s="2" t="s">
        <v>15</v>
      </c>
      <c r="B827">
        <v>560026</v>
      </c>
      <c r="C827" s="3">
        <v>44309</v>
      </c>
      <c r="D827">
        <v>39.96</v>
      </c>
      <c r="E827">
        <v>59.87</v>
      </c>
      <c r="F827">
        <v>23.64</v>
      </c>
      <c r="G827">
        <v>27.96</v>
      </c>
      <c r="H827">
        <v>4.2300000000000004</v>
      </c>
      <c r="I827">
        <v>0.9</v>
      </c>
      <c r="J827">
        <v>68.98</v>
      </c>
      <c r="K827">
        <f t="shared" si="130"/>
        <v>66.599999999999994</v>
      </c>
      <c r="L827">
        <f t="shared" si="131"/>
        <v>59.87</v>
      </c>
      <c r="M827">
        <f t="shared" si="132"/>
        <v>29.55</v>
      </c>
      <c r="N827">
        <f t="shared" si="133"/>
        <v>6.99</v>
      </c>
      <c r="O827">
        <f t="shared" si="134"/>
        <v>5.2875000000000005</v>
      </c>
      <c r="P827">
        <f t="shared" si="135"/>
        <v>10.227272727272727</v>
      </c>
      <c r="Q827">
        <f t="shared" si="136"/>
        <v>96.668000000000006</v>
      </c>
      <c r="R827">
        <f t="shared" si="137"/>
        <v>96.668000000000006</v>
      </c>
      <c r="S827" t="str">
        <f t="shared" si="138"/>
        <v>Satisfactory</v>
      </c>
      <c r="T827" t="str">
        <f t="shared" si="139"/>
        <v>OZONE</v>
      </c>
      <c r="U827">
        <v>24.85</v>
      </c>
      <c r="V827">
        <v>70.290000000000006</v>
      </c>
    </row>
    <row r="828" spans="1:22" x14ac:dyDescent="0.3">
      <c r="A828" s="2" t="s">
        <v>15</v>
      </c>
      <c r="B828">
        <v>560026</v>
      </c>
      <c r="C828" s="3">
        <v>44310</v>
      </c>
      <c r="D828">
        <v>39.450000000000003</v>
      </c>
      <c r="E828">
        <v>50.78</v>
      </c>
      <c r="F828">
        <v>16.420000000000002</v>
      </c>
      <c r="G828">
        <v>23.49</v>
      </c>
      <c r="H828">
        <v>3.76</v>
      </c>
      <c r="I828">
        <v>1.05</v>
      </c>
      <c r="J828">
        <v>79.61</v>
      </c>
      <c r="K828">
        <f t="shared" si="130"/>
        <v>65.75</v>
      </c>
      <c r="L828">
        <f t="shared" si="131"/>
        <v>50.78</v>
      </c>
      <c r="M828">
        <f t="shared" si="132"/>
        <v>20.525000000000002</v>
      </c>
      <c r="N828">
        <f t="shared" si="133"/>
        <v>5.8724999999999996</v>
      </c>
      <c r="O828">
        <f t="shared" si="134"/>
        <v>4.7</v>
      </c>
      <c r="P828">
        <f t="shared" si="135"/>
        <v>11.931818181818182</v>
      </c>
      <c r="Q828">
        <f t="shared" si="136"/>
        <v>131.13499999999999</v>
      </c>
      <c r="R828">
        <f t="shared" si="137"/>
        <v>131.13499999999999</v>
      </c>
      <c r="S828" t="str">
        <f t="shared" si="138"/>
        <v>Moderate</v>
      </c>
      <c r="T828" t="str">
        <f t="shared" si="139"/>
        <v>OZONE</v>
      </c>
      <c r="U828">
        <v>24.84</v>
      </c>
      <c r="V828">
        <v>68.680000000000007</v>
      </c>
    </row>
    <row r="829" spans="1:22" x14ac:dyDescent="0.3">
      <c r="A829" s="2" t="s">
        <v>15</v>
      </c>
      <c r="B829">
        <v>560026</v>
      </c>
      <c r="C829" s="3">
        <v>44311</v>
      </c>
      <c r="D829">
        <v>60.29</v>
      </c>
      <c r="E829">
        <v>84.25</v>
      </c>
      <c r="F829">
        <v>17.39</v>
      </c>
      <c r="G829">
        <v>27.11</v>
      </c>
      <c r="H829">
        <v>6.58</v>
      </c>
      <c r="I829">
        <v>0.96</v>
      </c>
      <c r="J829">
        <v>74.91</v>
      </c>
      <c r="K829">
        <f t="shared" si="130"/>
        <v>100.96666666666667</v>
      </c>
      <c r="L829">
        <f t="shared" si="131"/>
        <v>84.25</v>
      </c>
      <c r="M829">
        <f t="shared" si="132"/>
        <v>21.737500000000001</v>
      </c>
      <c r="N829">
        <f t="shared" si="133"/>
        <v>6.7774999999999999</v>
      </c>
      <c r="O829">
        <f t="shared" si="134"/>
        <v>8.2249999999999996</v>
      </c>
      <c r="P829">
        <f t="shared" si="135"/>
        <v>10.909090909090908</v>
      </c>
      <c r="Q829">
        <f t="shared" si="136"/>
        <v>114.68499999999999</v>
      </c>
      <c r="R829">
        <f t="shared" si="137"/>
        <v>114.68499999999999</v>
      </c>
      <c r="S829" t="str">
        <f t="shared" si="138"/>
        <v>Moderate</v>
      </c>
      <c r="T829" t="str">
        <f t="shared" si="139"/>
        <v>OZONE</v>
      </c>
      <c r="U829">
        <v>27.55</v>
      </c>
      <c r="V829">
        <v>57.61</v>
      </c>
    </row>
    <row r="830" spans="1:22" x14ac:dyDescent="0.3">
      <c r="A830" s="2" t="s">
        <v>15</v>
      </c>
      <c r="B830">
        <v>560026</v>
      </c>
      <c r="C830" s="3">
        <v>44312</v>
      </c>
      <c r="D830">
        <v>64.94</v>
      </c>
      <c r="E830">
        <v>103.02</v>
      </c>
      <c r="F830">
        <v>36.76</v>
      </c>
      <c r="G830">
        <v>37.880000000000003</v>
      </c>
      <c r="H830">
        <v>6.87</v>
      </c>
      <c r="I830">
        <v>0.86</v>
      </c>
      <c r="J830">
        <v>59.55</v>
      </c>
      <c r="K830">
        <f t="shared" si="130"/>
        <v>116.46666666666665</v>
      </c>
      <c r="L830">
        <f t="shared" si="131"/>
        <v>102.01333333333334</v>
      </c>
      <c r="M830">
        <f t="shared" si="132"/>
        <v>45.95</v>
      </c>
      <c r="N830">
        <f t="shared" si="133"/>
        <v>9.4700000000000006</v>
      </c>
      <c r="O830">
        <f t="shared" si="134"/>
        <v>8.5875000000000004</v>
      </c>
      <c r="P830">
        <f t="shared" si="135"/>
        <v>9.7727272727272716</v>
      </c>
      <c r="Q830">
        <f t="shared" si="136"/>
        <v>65.86333333333333</v>
      </c>
      <c r="R830">
        <f t="shared" si="137"/>
        <v>116.46666666666665</v>
      </c>
      <c r="S830" t="str">
        <f t="shared" si="138"/>
        <v>Moderate</v>
      </c>
      <c r="T830" t="str">
        <f t="shared" si="139"/>
        <v>PM2.5</v>
      </c>
      <c r="U830">
        <v>28.75</v>
      </c>
      <c r="V830">
        <v>50.27</v>
      </c>
    </row>
    <row r="831" spans="1:22" x14ac:dyDescent="0.3">
      <c r="A831" s="2" t="s">
        <v>15</v>
      </c>
      <c r="B831">
        <v>560026</v>
      </c>
      <c r="C831" s="3">
        <v>44313</v>
      </c>
      <c r="D831">
        <v>70.989999999999995</v>
      </c>
      <c r="E831">
        <v>119.07</v>
      </c>
      <c r="F831">
        <v>41.27</v>
      </c>
      <c r="G831">
        <v>41.32</v>
      </c>
      <c r="H831">
        <v>7.93</v>
      </c>
      <c r="I831">
        <v>0.81</v>
      </c>
      <c r="J831">
        <v>24.98</v>
      </c>
      <c r="K831">
        <f t="shared" si="130"/>
        <v>136.63333333333333</v>
      </c>
      <c r="L831">
        <f t="shared" si="131"/>
        <v>112.71333333333332</v>
      </c>
      <c r="M831">
        <f t="shared" si="132"/>
        <v>51.587500000000006</v>
      </c>
      <c r="N831">
        <f t="shared" si="133"/>
        <v>10.33</v>
      </c>
      <c r="O831">
        <f t="shared" si="134"/>
        <v>9.9124999999999996</v>
      </c>
      <c r="P831">
        <f t="shared" si="135"/>
        <v>9.204545454545455</v>
      </c>
      <c r="Q831">
        <f t="shared" si="136"/>
        <v>23.12962962962963</v>
      </c>
      <c r="R831">
        <f t="shared" si="137"/>
        <v>136.63333333333333</v>
      </c>
      <c r="S831" t="str">
        <f t="shared" si="138"/>
        <v>Moderate</v>
      </c>
      <c r="T831" t="str">
        <f t="shared" si="139"/>
        <v>PM2.5</v>
      </c>
      <c r="U831">
        <v>28.13</v>
      </c>
      <c r="V831">
        <v>51.17</v>
      </c>
    </row>
    <row r="832" spans="1:22" x14ac:dyDescent="0.3">
      <c r="A832" s="2" t="s">
        <v>15</v>
      </c>
      <c r="B832">
        <v>560026</v>
      </c>
      <c r="C832" s="3">
        <v>44314</v>
      </c>
      <c r="D832">
        <v>54.88</v>
      </c>
      <c r="E832">
        <v>97.12</v>
      </c>
      <c r="F832">
        <v>23.35</v>
      </c>
      <c r="G832">
        <v>32.67</v>
      </c>
      <c r="H832">
        <v>10.78</v>
      </c>
      <c r="I832">
        <v>1.06</v>
      </c>
      <c r="J832">
        <v>35.49</v>
      </c>
      <c r="K832">
        <f t="shared" si="130"/>
        <v>91.466666666666669</v>
      </c>
      <c r="L832">
        <f t="shared" si="131"/>
        <v>97.12</v>
      </c>
      <c r="M832">
        <f t="shared" si="132"/>
        <v>29.1875</v>
      </c>
      <c r="N832">
        <f t="shared" si="133"/>
        <v>8.1675000000000004</v>
      </c>
      <c r="O832">
        <f t="shared" si="134"/>
        <v>13.475</v>
      </c>
      <c r="P832">
        <f t="shared" si="135"/>
        <v>12.045454545454545</v>
      </c>
      <c r="Q832">
        <f t="shared" si="136"/>
        <v>32.861111111111114</v>
      </c>
      <c r="R832">
        <f t="shared" si="137"/>
        <v>97.12</v>
      </c>
      <c r="S832" t="str">
        <f t="shared" si="138"/>
        <v>Satisfactory</v>
      </c>
      <c r="T832" t="str">
        <f t="shared" si="139"/>
        <v>PM10</v>
      </c>
      <c r="U832">
        <v>28.89</v>
      </c>
      <c r="V832">
        <v>47.53</v>
      </c>
    </row>
    <row r="833" spans="1:22" x14ac:dyDescent="0.3">
      <c r="A833" s="2" t="s">
        <v>15</v>
      </c>
      <c r="B833">
        <v>560026</v>
      </c>
      <c r="C833" s="3">
        <v>44315</v>
      </c>
      <c r="D833">
        <v>46.83</v>
      </c>
      <c r="E833">
        <v>74.45</v>
      </c>
      <c r="F833">
        <v>15.75</v>
      </c>
      <c r="G833">
        <v>28.98</v>
      </c>
      <c r="H833">
        <v>6.05</v>
      </c>
      <c r="I833">
        <v>1.2</v>
      </c>
      <c r="J833">
        <v>41.49</v>
      </c>
      <c r="K833">
        <f t="shared" si="130"/>
        <v>78.05</v>
      </c>
      <c r="L833">
        <f t="shared" si="131"/>
        <v>74.45</v>
      </c>
      <c r="M833">
        <f t="shared" si="132"/>
        <v>19.6875</v>
      </c>
      <c r="N833">
        <f t="shared" si="133"/>
        <v>7.2450000000000001</v>
      </c>
      <c r="O833">
        <f t="shared" si="134"/>
        <v>7.5625</v>
      </c>
      <c r="P833">
        <f t="shared" si="135"/>
        <v>13.636363636363635</v>
      </c>
      <c r="Q833">
        <f t="shared" si="136"/>
        <v>38.416666666666671</v>
      </c>
      <c r="R833">
        <f t="shared" si="137"/>
        <v>78.05</v>
      </c>
      <c r="S833" t="str">
        <f t="shared" si="138"/>
        <v>Satisfactory</v>
      </c>
      <c r="T833" t="str">
        <f t="shared" si="139"/>
        <v>PM2.5</v>
      </c>
      <c r="U833">
        <v>27.98</v>
      </c>
      <c r="V833">
        <v>55.69</v>
      </c>
    </row>
    <row r="834" spans="1:22" x14ac:dyDescent="0.3">
      <c r="A834" s="2" t="s">
        <v>15</v>
      </c>
      <c r="B834">
        <v>560026</v>
      </c>
      <c r="C834" s="3">
        <v>44316</v>
      </c>
      <c r="D834">
        <v>44.4</v>
      </c>
      <c r="E834">
        <v>72.16</v>
      </c>
      <c r="F834">
        <v>15.38</v>
      </c>
      <c r="G834">
        <v>28</v>
      </c>
      <c r="H834">
        <v>4.05</v>
      </c>
      <c r="I834">
        <v>1.2</v>
      </c>
      <c r="J834">
        <v>41.77</v>
      </c>
      <c r="K834">
        <f t="shared" si="130"/>
        <v>74</v>
      </c>
      <c r="L834">
        <f t="shared" si="131"/>
        <v>72.16</v>
      </c>
      <c r="M834">
        <f t="shared" si="132"/>
        <v>19.225000000000001</v>
      </c>
      <c r="N834">
        <f t="shared" si="133"/>
        <v>7</v>
      </c>
      <c r="O834">
        <f t="shared" si="134"/>
        <v>5.0625</v>
      </c>
      <c r="P834">
        <f t="shared" si="135"/>
        <v>13.636363636363635</v>
      </c>
      <c r="Q834">
        <f t="shared" si="136"/>
        <v>38.675925925925931</v>
      </c>
      <c r="R834">
        <f t="shared" si="137"/>
        <v>74</v>
      </c>
      <c r="S834" t="str">
        <f t="shared" si="138"/>
        <v>Satisfactory</v>
      </c>
      <c r="T834" t="str">
        <f t="shared" si="139"/>
        <v>PM2.5</v>
      </c>
      <c r="U834">
        <v>27.17</v>
      </c>
      <c r="V834">
        <v>55.86</v>
      </c>
    </row>
    <row r="835" spans="1:22" x14ac:dyDescent="0.3">
      <c r="A835" s="2" t="s">
        <v>15</v>
      </c>
      <c r="B835">
        <v>560026</v>
      </c>
      <c r="C835" s="3">
        <v>44317</v>
      </c>
      <c r="D835">
        <v>46.52</v>
      </c>
      <c r="E835">
        <v>72.319999999999993</v>
      </c>
      <c r="F835">
        <v>11.55</v>
      </c>
      <c r="G835">
        <v>27.08</v>
      </c>
      <c r="H835">
        <v>12.88</v>
      </c>
      <c r="I835">
        <v>0.98</v>
      </c>
      <c r="J835">
        <v>31.99</v>
      </c>
      <c r="K835">
        <f t="shared" si="130"/>
        <v>77.533333333333331</v>
      </c>
      <c r="L835">
        <f t="shared" si="131"/>
        <v>72.319999999999993</v>
      </c>
      <c r="M835">
        <f t="shared" si="132"/>
        <v>14.4375</v>
      </c>
      <c r="N835">
        <f t="shared" si="133"/>
        <v>6.77</v>
      </c>
      <c r="O835">
        <f t="shared" si="134"/>
        <v>16.100000000000001</v>
      </c>
      <c r="P835">
        <f t="shared" si="135"/>
        <v>11.136363636363637</v>
      </c>
      <c r="Q835">
        <f t="shared" si="136"/>
        <v>29.62037037037037</v>
      </c>
      <c r="R835">
        <f t="shared" si="137"/>
        <v>77.533333333333331</v>
      </c>
      <c r="S835" t="str">
        <f t="shared" si="138"/>
        <v>Satisfactory</v>
      </c>
      <c r="T835" t="str">
        <f t="shared" si="139"/>
        <v>PM2.5</v>
      </c>
      <c r="U835">
        <v>27.99</v>
      </c>
      <c r="V835">
        <v>55.5</v>
      </c>
    </row>
    <row r="836" spans="1:22" x14ac:dyDescent="0.3">
      <c r="A836" s="2" t="s">
        <v>15</v>
      </c>
      <c r="B836">
        <v>560026</v>
      </c>
      <c r="C836" s="3">
        <v>44318</v>
      </c>
      <c r="D836">
        <v>33.08</v>
      </c>
      <c r="E836">
        <v>46.11</v>
      </c>
      <c r="F836">
        <v>8.5</v>
      </c>
      <c r="G836">
        <v>21.52</v>
      </c>
      <c r="H836">
        <v>8.1199999999999992</v>
      </c>
      <c r="I836">
        <v>0.86</v>
      </c>
      <c r="J836">
        <v>27.12</v>
      </c>
      <c r="K836">
        <f t="shared" si="130"/>
        <v>55.133333333333333</v>
      </c>
      <c r="L836">
        <f t="shared" si="131"/>
        <v>46.11</v>
      </c>
      <c r="M836">
        <f t="shared" si="132"/>
        <v>10.625</v>
      </c>
      <c r="N836">
        <f t="shared" si="133"/>
        <v>5.38</v>
      </c>
      <c r="O836">
        <f t="shared" si="134"/>
        <v>10.149999999999999</v>
      </c>
      <c r="P836">
        <f t="shared" si="135"/>
        <v>9.7727272727272716</v>
      </c>
      <c r="Q836">
        <f t="shared" si="136"/>
        <v>25.111111111111111</v>
      </c>
      <c r="R836">
        <f t="shared" si="137"/>
        <v>55.133333333333333</v>
      </c>
      <c r="S836" t="str">
        <f t="shared" si="138"/>
        <v>Satisfactory</v>
      </c>
      <c r="T836" t="str">
        <f t="shared" si="139"/>
        <v>PM2.5</v>
      </c>
      <c r="U836">
        <v>27.94</v>
      </c>
      <c r="V836">
        <v>57.27</v>
      </c>
    </row>
    <row r="837" spans="1:22" x14ac:dyDescent="0.3">
      <c r="A837" s="2" t="s">
        <v>15</v>
      </c>
      <c r="B837">
        <v>560026</v>
      </c>
      <c r="C837" s="3">
        <v>44319</v>
      </c>
      <c r="D837">
        <v>18.88</v>
      </c>
      <c r="E837">
        <v>31.85</v>
      </c>
      <c r="F837">
        <v>10.86</v>
      </c>
      <c r="G837">
        <v>19.41</v>
      </c>
      <c r="H837">
        <v>6.91</v>
      </c>
      <c r="I837">
        <v>0.73</v>
      </c>
      <c r="J837">
        <v>21.34</v>
      </c>
      <c r="K837">
        <f t="shared" si="130"/>
        <v>31.466666666666665</v>
      </c>
      <c r="L837">
        <f t="shared" si="131"/>
        <v>31.85</v>
      </c>
      <c r="M837">
        <f t="shared" si="132"/>
        <v>13.574999999999999</v>
      </c>
      <c r="N837">
        <f t="shared" si="133"/>
        <v>4.8525</v>
      </c>
      <c r="O837">
        <f t="shared" si="134"/>
        <v>8.6374999999999993</v>
      </c>
      <c r="P837">
        <f t="shared" si="135"/>
        <v>8.295454545454545</v>
      </c>
      <c r="Q837">
        <f t="shared" si="136"/>
        <v>19.75925925925926</v>
      </c>
      <c r="R837">
        <f t="shared" si="137"/>
        <v>31.85</v>
      </c>
      <c r="S837" t="str">
        <f t="shared" si="138"/>
        <v>Good</v>
      </c>
      <c r="T837" t="str">
        <f t="shared" si="139"/>
        <v>PM10</v>
      </c>
      <c r="U837">
        <v>28.18</v>
      </c>
      <c r="V837">
        <v>56.68</v>
      </c>
    </row>
    <row r="838" spans="1:22" x14ac:dyDescent="0.3">
      <c r="A838" s="2" t="s">
        <v>15</v>
      </c>
      <c r="B838">
        <v>560026</v>
      </c>
      <c r="C838" s="3">
        <v>44320</v>
      </c>
      <c r="D838">
        <v>27.25</v>
      </c>
      <c r="E838">
        <v>42.7</v>
      </c>
      <c r="F838">
        <v>12.22</v>
      </c>
      <c r="G838">
        <v>21.63</v>
      </c>
      <c r="H838">
        <v>7.01</v>
      </c>
      <c r="I838">
        <v>0.84</v>
      </c>
      <c r="J838">
        <v>26.19</v>
      </c>
      <c r="K838">
        <f t="shared" si="130"/>
        <v>45.416666666666664</v>
      </c>
      <c r="L838">
        <f t="shared" si="131"/>
        <v>42.7</v>
      </c>
      <c r="M838">
        <f t="shared" si="132"/>
        <v>15.275</v>
      </c>
      <c r="N838">
        <f t="shared" si="133"/>
        <v>5.4074999999999998</v>
      </c>
      <c r="O838">
        <f t="shared" si="134"/>
        <v>8.7624999999999993</v>
      </c>
      <c r="P838">
        <f t="shared" si="135"/>
        <v>9.545454545454545</v>
      </c>
      <c r="Q838">
        <f t="shared" si="136"/>
        <v>24.25</v>
      </c>
      <c r="R838">
        <f t="shared" si="137"/>
        <v>45.416666666666664</v>
      </c>
      <c r="S838" t="str">
        <f t="shared" si="138"/>
        <v>Good</v>
      </c>
      <c r="T838" t="str">
        <f t="shared" si="139"/>
        <v>PM2.5</v>
      </c>
      <c r="U838">
        <v>26.9</v>
      </c>
      <c r="V838">
        <v>62.49</v>
      </c>
    </row>
    <row r="839" spans="1:22" x14ac:dyDescent="0.3">
      <c r="A839" s="2" t="s">
        <v>15</v>
      </c>
      <c r="B839">
        <v>560026</v>
      </c>
      <c r="C839" s="3">
        <v>44321</v>
      </c>
      <c r="D839">
        <v>35.53</v>
      </c>
      <c r="E839">
        <v>53.27</v>
      </c>
      <c r="F839">
        <v>12.81</v>
      </c>
      <c r="G839">
        <v>23.67</v>
      </c>
      <c r="H839">
        <v>9.08</v>
      </c>
      <c r="I839">
        <v>0.95</v>
      </c>
      <c r="J839">
        <v>30.79</v>
      </c>
      <c r="K839">
        <f t="shared" si="130"/>
        <v>59.216666666666669</v>
      </c>
      <c r="L839">
        <f t="shared" si="131"/>
        <v>53.27</v>
      </c>
      <c r="M839">
        <f t="shared" si="132"/>
        <v>16.012499999999999</v>
      </c>
      <c r="N839">
        <f t="shared" si="133"/>
        <v>5.9175000000000004</v>
      </c>
      <c r="O839">
        <f t="shared" si="134"/>
        <v>11.35</v>
      </c>
      <c r="P839">
        <f t="shared" si="135"/>
        <v>10.795454545454545</v>
      </c>
      <c r="Q839">
        <f t="shared" si="136"/>
        <v>28.50925925925926</v>
      </c>
      <c r="R839">
        <f t="shared" si="137"/>
        <v>59.216666666666669</v>
      </c>
      <c r="S839" t="str">
        <f t="shared" si="138"/>
        <v>Satisfactory</v>
      </c>
      <c r="T839" t="str">
        <f t="shared" si="139"/>
        <v>PM2.5</v>
      </c>
      <c r="U839">
        <v>28.26</v>
      </c>
      <c r="V839">
        <v>56.9</v>
      </c>
    </row>
    <row r="840" spans="1:22" x14ac:dyDescent="0.3">
      <c r="A840" s="2" t="s">
        <v>15</v>
      </c>
      <c r="B840">
        <v>560026</v>
      </c>
      <c r="C840" s="3">
        <v>44322</v>
      </c>
      <c r="D840">
        <v>23.84</v>
      </c>
      <c r="E840">
        <v>38.61</v>
      </c>
      <c r="F840">
        <v>10.8</v>
      </c>
      <c r="G840">
        <v>20.28</v>
      </c>
      <c r="H840">
        <v>8.0299999999999994</v>
      </c>
      <c r="I840">
        <v>0.77</v>
      </c>
      <c r="J840">
        <v>23.21</v>
      </c>
      <c r="K840">
        <f t="shared" si="130"/>
        <v>39.733333333333334</v>
      </c>
      <c r="L840">
        <f t="shared" si="131"/>
        <v>38.61</v>
      </c>
      <c r="M840">
        <f t="shared" si="132"/>
        <v>13.5</v>
      </c>
      <c r="N840">
        <f t="shared" si="133"/>
        <v>5.07</v>
      </c>
      <c r="O840">
        <f t="shared" si="134"/>
        <v>10.037499999999998</v>
      </c>
      <c r="P840">
        <f t="shared" si="135"/>
        <v>8.75</v>
      </c>
      <c r="Q840">
        <f t="shared" si="136"/>
        <v>21.49074074074074</v>
      </c>
      <c r="R840">
        <f t="shared" si="137"/>
        <v>39.733333333333334</v>
      </c>
      <c r="S840" t="str">
        <f t="shared" si="138"/>
        <v>Good</v>
      </c>
      <c r="T840" t="str">
        <f t="shared" si="139"/>
        <v>PM2.5</v>
      </c>
      <c r="U840">
        <v>28.31</v>
      </c>
      <c r="V840">
        <v>57.54</v>
      </c>
    </row>
    <row r="841" spans="1:22" x14ac:dyDescent="0.3">
      <c r="A841" s="2" t="s">
        <v>15</v>
      </c>
      <c r="B841">
        <v>560026</v>
      </c>
      <c r="C841" s="3">
        <v>44323</v>
      </c>
      <c r="D841">
        <v>21.31</v>
      </c>
      <c r="E841">
        <v>34.47</v>
      </c>
      <c r="F841">
        <v>10.39</v>
      </c>
      <c r="G841">
        <v>20.100000000000001</v>
      </c>
      <c r="H841">
        <v>9.0399999999999991</v>
      </c>
      <c r="I841">
        <v>0.64</v>
      </c>
      <c r="J841">
        <v>17.43</v>
      </c>
      <c r="K841">
        <f t="shared" si="130"/>
        <v>35.516666666666666</v>
      </c>
      <c r="L841">
        <f t="shared" si="131"/>
        <v>34.47</v>
      </c>
      <c r="M841">
        <f t="shared" si="132"/>
        <v>12.987500000000001</v>
      </c>
      <c r="N841">
        <f t="shared" si="133"/>
        <v>5.0250000000000004</v>
      </c>
      <c r="O841">
        <f t="shared" si="134"/>
        <v>11.299999999999999</v>
      </c>
      <c r="P841">
        <f t="shared" si="135"/>
        <v>7.2727272727272725</v>
      </c>
      <c r="Q841">
        <f t="shared" si="136"/>
        <v>16.138888888888889</v>
      </c>
      <c r="R841">
        <f t="shared" si="137"/>
        <v>35.516666666666666</v>
      </c>
      <c r="S841" t="str">
        <f t="shared" si="138"/>
        <v>Good</v>
      </c>
      <c r="T841" t="str">
        <f t="shared" si="139"/>
        <v>PM2.5</v>
      </c>
      <c r="U841">
        <v>28.24</v>
      </c>
      <c r="V841">
        <v>57.77</v>
      </c>
    </row>
    <row r="842" spans="1:22" x14ac:dyDescent="0.3">
      <c r="A842" s="2" t="s">
        <v>15</v>
      </c>
      <c r="B842">
        <v>560026</v>
      </c>
      <c r="C842" s="3">
        <v>44324</v>
      </c>
      <c r="D842">
        <v>19.95</v>
      </c>
      <c r="E842">
        <v>36.51</v>
      </c>
      <c r="F842">
        <v>9.73</v>
      </c>
      <c r="G842">
        <v>18.7</v>
      </c>
      <c r="H842">
        <v>7.52</v>
      </c>
      <c r="I842">
        <v>0.73</v>
      </c>
      <c r="J842">
        <v>21.37</v>
      </c>
      <c r="K842">
        <f t="shared" si="130"/>
        <v>33.25</v>
      </c>
      <c r="L842">
        <f t="shared" si="131"/>
        <v>36.51</v>
      </c>
      <c r="M842">
        <f t="shared" si="132"/>
        <v>12.1625</v>
      </c>
      <c r="N842">
        <f t="shared" si="133"/>
        <v>4.6749999999999998</v>
      </c>
      <c r="O842">
        <f t="shared" si="134"/>
        <v>9.4</v>
      </c>
      <c r="P842">
        <f t="shared" si="135"/>
        <v>8.295454545454545</v>
      </c>
      <c r="Q842">
        <f t="shared" si="136"/>
        <v>19.787037037037038</v>
      </c>
      <c r="R842">
        <f t="shared" si="137"/>
        <v>36.51</v>
      </c>
      <c r="S842" t="str">
        <f t="shared" si="138"/>
        <v>Good</v>
      </c>
      <c r="T842" t="str">
        <f t="shared" si="139"/>
        <v>PM10</v>
      </c>
      <c r="U842">
        <v>27.87</v>
      </c>
      <c r="V842">
        <v>59.94</v>
      </c>
    </row>
    <row r="843" spans="1:22" x14ac:dyDescent="0.3">
      <c r="A843" s="2" t="s">
        <v>15</v>
      </c>
      <c r="B843">
        <v>560026</v>
      </c>
      <c r="C843" s="3">
        <v>44325</v>
      </c>
      <c r="D843">
        <v>16.260000000000002</v>
      </c>
      <c r="E843">
        <v>28.28</v>
      </c>
      <c r="F843">
        <v>8.24</v>
      </c>
      <c r="G843">
        <v>17.39</v>
      </c>
      <c r="H843">
        <v>7.55</v>
      </c>
      <c r="I843">
        <v>0.73</v>
      </c>
      <c r="J843">
        <v>21.56</v>
      </c>
      <c r="K843">
        <f t="shared" si="130"/>
        <v>27.100000000000005</v>
      </c>
      <c r="L843">
        <f t="shared" si="131"/>
        <v>28.28</v>
      </c>
      <c r="M843">
        <f t="shared" si="132"/>
        <v>10.3</v>
      </c>
      <c r="N843">
        <f t="shared" si="133"/>
        <v>4.3475000000000001</v>
      </c>
      <c r="O843">
        <f t="shared" si="134"/>
        <v>9.4375</v>
      </c>
      <c r="P843">
        <f t="shared" si="135"/>
        <v>8.295454545454545</v>
      </c>
      <c r="Q843">
        <f t="shared" si="136"/>
        <v>19.962962962962962</v>
      </c>
      <c r="R843">
        <f t="shared" si="137"/>
        <v>28.28</v>
      </c>
      <c r="S843" t="str">
        <f t="shared" si="138"/>
        <v>Good</v>
      </c>
      <c r="T843" t="str">
        <f t="shared" si="139"/>
        <v>PM10</v>
      </c>
      <c r="U843">
        <v>28.68</v>
      </c>
      <c r="V843">
        <v>54.16</v>
      </c>
    </row>
    <row r="844" spans="1:22" x14ac:dyDescent="0.3">
      <c r="A844" s="2" t="s">
        <v>15</v>
      </c>
      <c r="B844">
        <v>560026</v>
      </c>
      <c r="C844" s="3">
        <v>44326</v>
      </c>
      <c r="D844">
        <v>20.81</v>
      </c>
      <c r="E844">
        <v>33.380000000000003</v>
      </c>
      <c r="F844">
        <v>10.81</v>
      </c>
      <c r="G844">
        <v>18.91</v>
      </c>
      <c r="H844">
        <v>6.66</v>
      </c>
      <c r="I844">
        <v>0.67</v>
      </c>
      <c r="J844">
        <v>18.73</v>
      </c>
      <c r="K844">
        <f t="shared" si="130"/>
        <v>34.68333333333333</v>
      </c>
      <c r="L844">
        <f t="shared" si="131"/>
        <v>33.380000000000003</v>
      </c>
      <c r="M844">
        <f t="shared" si="132"/>
        <v>13.512499999999999</v>
      </c>
      <c r="N844">
        <f t="shared" si="133"/>
        <v>4.7275</v>
      </c>
      <c r="O844">
        <f t="shared" si="134"/>
        <v>8.3249999999999993</v>
      </c>
      <c r="P844">
        <f t="shared" si="135"/>
        <v>7.6136363636363642</v>
      </c>
      <c r="Q844">
        <f t="shared" si="136"/>
        <v>17.342592592592592</v>
      </c>
      <c r="R844">
        <f t="shared" si="137"/>
        <v>34.68333333333333</v>
      </c>
      <c r="S844" t="str">
        <f t="shared" si="138"/>
        <v>Good</v>
      </c>
      <c r="T844" t="str">
        <f t="shared" si="139"/>
        <v>PM2.5</v>
      </c>
      <c r="U844">
        <v>27.13</v>
      </c>
      <c r="V844">
        <v>66.41</v>
      </c>
    </row>
    <row r="845" spans="1:22" x14ac:dyDescent="0.3">
      <c r="A845" s="2" t="s">
        <v>15</v>
      </c>
      <c r="B845">
        <v>560026</v>
      </c>
      <c r="C845" s="3">
        <v>44327</v>
      </c>
      <c r="D845">
        <v>21.78</v>
      </c>
      <c r="E845">
        <v>30.59</v>
      </c>
      <c r="F845">
        <v>9.42</v>
      </c>
      <c r="G845">
        <v>19.02</v>
      </c>
      <c r="H845">
        <v>5.16</v>
      </c>
      <c r="I845">
        <v>0.75</v>
      </c>
      <c r="J845">
        <v>22.4</v>
      </c>
      <c r="K845">
        <f t="shared" si="130"/>
        <v>36.299999999999997</v>
      </c>
      <c r="L845">
        <f t="shared" si="131"/>
        <v>30.59</v>
      </c>
      <c r="M845">
        <f t="shared" si="132"/>
        <v>11.775</v>
      </c>
      <c r="N845">
        <f t="shared" si="133"/>
        <v>4.7549999999999999</v>
      </c>
      <c r="O845">
        <f t="shared" si="134"/>
        <v>6.45</v>
      </c>
      <c r="P845">
        <f t="shared" si="135"/>
        <v>8.5227272727272734</v>
      </c>
      <c r="Q845">
        <f t="shared" si="136"/>
        <v>20.74074074074074</v>
      </c>
      <c r="R845">
        <f t="shared" si="137"/>
        <v>36.299999999999997</v>
      </c>
      <c r="S845" t="str">
        <f t="shared" si="138"/>
        <v>Good</v>
      </c>
      <c r="T845" t="str">
        <f t="shared" si="139"/>
        <v>PM2.5</v>
      </c>
      <c r="U845">
        <v>27.14</v>
      </c>
      <c r="V845">
        <v>66.34</v>
      </c>
    </row>
    <row r="846" spans="1:22" x14ac:dyDescent="0.3">
      <c r="A846" s="2" t="s">
        <v>15</v>
      </c>
      <c r="B846">
        <v>560026</v>
      </c>
      <c r="C846" s="3">
        <v>44328</v>
      </c>
      <c r="D846">
        <v>23.69</v>
      </c>
      <c r="E846">
        <v>33.479999999999997</v>
      </c>
      <c r="F846">
        <v>10.84</v>
      </c>
      <c r="G846">
        <v>22.1</v>
      </c>
      <c r="H846">
        <v>6.37</v>
      </c>
      <c r="I846">
        <v>0.71</v>
      </c>
      <c r="J846">
        <v>20.48</v>
      </c>
      <c r="K846">
        <f t="shared" si="130"/>
        <v>39.483333333333334</v>
      </c>
      <c r="L846">
        <f t="shared" si="131"/>
        <v>33.479999999999997</v>
      </c>
      <c r="M846">
        <f t="shared" si="132"/>
        <v>13.55</v>
      </c>
      <c r="N846">
        <f t="shared" si="133"/>
        <v>5.5250000000000004</v>
      </c>
      <c r="O846">
        <f t="shared" si="134"/>
        <v>7.9625000000000004</v>
      </c>
      <c r="P846">
        <f t="shared" si="135"/>
        <v>8.0681818181818183</v>
      </c>
      <c r="Q846">
        <f t="shared" si="136"/>
        <v>18.962962962962962</v>
      </c>
      <c r="R846">
        <f t="shared" si="137"/>
        <v>39.483333333333334</v>
      </c>
      <c r="S846" t="str">
        <f t="shared" si="138"/>
        <v>Good</v>
      </c>
      <c r="T846" t="str">
        <f t="shared" si="139"/>
        <v>PM2.5</v>
      </c>
      <c r="U846">
        <v>25.96</v>
      </c>
      <c r="V846">
        <v>72.930000000000007</v>
      </c>
    </row>
    <row r="847" spans="1:22" x14ac:dyDescent="0.3">
      <c r="A847" s="2" t="s">
        <v>15</v>
      </c>
      <c r="B847">
        <v>560026</v>
      </c>
      <c r="C847" s="3">
        <v>44329</v>
      </c>
      <c r="D847">
        <v>14.43</v>
      </c>
      <c r="E847">
        <v>20.96</v>
      </c>
      <c r="F847">
        <v>9.93</v>
      </c>
      <c r="G847">
        <v>20.8</v>
      </c>
      <c r="H847">
        <v>4.13</v>
      </c>
      <c r="I847">
        <v>0.8</v>
      </c>
      <c r="J847">
        <v>24.26</v>
      </c>
      <c r="K847">
        <f t="shared" si="130"/>
        <v>24.05</v>
      </c>
      <c r="L847">
        <f t="shared" si="131"/>
        <v>20.96</v>
      </c>
      <c r="M847">
        <f t="shared" si="132"/>
        <v>12.4125</v>
      </c>
      <c r="N847">
        <f t="shared" si="133"/>
        <v>5.2</v>
      </c>
      <c r="O847">
        <f t="shared" si="134"/>
        <v>5.1624999999999996</v>
      </c>
      <c r="P847">
        <f t="shared" si="135"/>
        <v>9.0909090909090917</v>
      </c>
      <c r="Q847">
        <f t="shared" si="136"/>
        <v>22.462962962962965</v>
      </c>
      <c r="R847">
        <f t="shared" si="137"/>
        <v>24.05</v>
      </c>
      <c r="S847" t="str">
        <f t="shared" si="138"/>
        <v>Good</v>
      </c>
      <c r="T847" t="str">
        <f t="shared" si="139"/>
        <v>PM2.5</v>
      </c>
      <c r="U847">
        <v>26.02</v>
      </c>
      <c r="V847">
        <v>71</v>
      </c>
    </row>
    <row r="848" spans="1:22" x14ac:dyDescent="0.3">
      <c r="A848" s="2" t="s">
        <v>15</v>
      </c>
      <c r="B848">
        <v>560026</v>
      </c>
      <c r="C848" s="3">
        <v>44330</v>
      </c>
      <c r="D848">
        <v>9.93</v>
      </c>
      <c r="E848">
        <v>16.75</v>
      </c>
      <c r="F848">
        <v>8.02</v>
      </c>
      <c r="G848">
        <v>18.149999999999999</v>
      </c>
      <c r="H848">
        <v>3.44</v>
      </c>
      <c r="I848">
        <v>0.68</v>
      </c>
      <c r="J848">
        <v>19.22</v>
      </c>
      <c r="K848">
        <f t="shared" si="130"/>
        <v>16.55</v>
      </c>
      <c r="L848">
        <f t="shared" si="131"/>
        <v>16.75</v>
      </c>
      <c r="M848">
        <f t="shared" si="132"/>
        <v>10.025</v>
      </c>
      <c r="N848">
        <f t="shared" si="133"/>
        <v>4.5374999999999996</v>
      </c>
      <c r="O848">
        <f t="shared" si="134"/>
        <v>4.3</v>
      </c>
      <c r="P848">
        <f t="shared" si="135"/>
        <v>7.7272727272727275</v>
      </c>
      <c r="Q848">
        <f t="shared" si="136"/>
        <v>17.796296296296294</v>
      </c>
      <c r="R848">
        <f t="shared" si="137"/>
        <v>17.796296296296294</v>
      </c>
      <c r="S848" t="str">
        <f t="shared" si="138"/>
        <v>Good</v>
      </c>
      <c r="T848" t="str">
        <f t="shared" si="139"/>
        <v>OZONE</v>
      </c>
      <c r="U848">
        <v>27.25</v>
      </c>
      <c r="V848">
        <v>63.81</v>
      </c>
    </row>
    <row r="849" spans="1:22" x14ac:dyDescent="0.3">
      <c r="A849" s="2" t="s">
        <v>15</v>
      </c>
      <c r="B849">
        <v>560026</v>
      </c>
      <c r="C849" s="3">
        <v>44331</v>
      </c>
      <c r="D849">
        <v>2.27</v>
      </c>
      <c r="E849">
        <v>3.42</v>
      </c>
      <c r="F849">
        <v>4.57</v>
      </c>
      <c r="G849">
        <v>14.62</v>
      </c>
      <c r="H849">
        <v>6.52</v>
      </c>
      <c r="I849">
        <v>0.66</v>
      </c>
      <c r="J849">
        <v>18.260000000000002</v>
      </c>
      <c r="K849">
        <f t="shared" si="130"/>
        <v>3.7833333333333332</v>
      </c>
      <c r="L849">
        <f t="shared" si="131"/>
        <v>3.42</v>
      </c>
      <c r="M849">
        <f t="shared" si="132"/>
        <v>5.7125000000000004</v>
      </c>
      <c r="N849">
        <f t="shared" si="133"/>
        <v>3.6549999999999998</v>
      </c>
      <c r="O849">
        <f t="shared" si="134"/>
        <v>8.15</v>
      </c>
      <c r="P849">
        <f t="shared" si="135"/>
        <v>7.5</v>
      </c>
      <c r="Q849">
        <f t="shared" si="136"/>
        <v>16.907407407407408</v>
      </c>
      <c r="R849">
        <f t="shared" si="137"/>
        <v>16.907407407407408</v>
      </c>
      <c r="S849" t="str">
        <f t="shared" si="138"/>
        <v>Good</v>
      </c>
      <c r="T849" t="str">
        <f t="shared" si="139"/>
        <v>OZONE</v>
      </c>
      <c r="U849">
        <v>24.42</v>
      </c>
      <c r="V849">
        <v>70.28</v>
      </c>
    </row>
    <row r="850" spans="1:22" x14ac:dyDescent="0.3">
      <c r="A850" s="2" t="s">
        <v>15</v>
      </c>
      <c r="B850">
        <v>560026</v>
      </c>
      <c r="C850" s="3">
        <v>44332</v>
      </c>
      <c r="D850">
        <v>4.78</v>
      </c>
      <c r="E850">
        <v>8.7799999999999994</v>
      </c>
      <c r="F850">
        <v>4.83</v>
      </c>
      <c r="G850">
        <v>15.67</v>
      </c>
      <c r="H850">
        <v>4.18</v>
      </c>
      <c r="I850">
        <v>0.62</v>
      </c>
      <c r="J850">
        <v>16.93</v>
      </c>
      <c r="K850">
        <f t="shared" si="130"/>
        <v>7.9666666666666668</v>
      </c>
      <c r="L850">
        <f t="shared" si="131"/>
        <v>8.7799999999999994</v>
      </c>
      <c r="M850">
        <f t="shared" si="132"/>
        <v>6.0374999999999996</v>
      </c>
      <c r="N850">
        <f t="shared" si="133"/>
        <v>3.9175</v>
      </c>
      <c r="O850">
        <f t="shared" si="134"/>
        <v>5.2249999999999996</v>
      </c>
      <c r="P850">
        <f t="shared" si="135"/>
        <v>7.045454545454545</v>
      </c>
      <c r="Q850">
        <f t="shared" si="136"/>
        <v>15.675925925925926</v>
      </c>
      <c r="R850">
        <f t="shared" si="137"/>
        <v>15.675925925925926</v>
      </c>
      <c r="S850" t="str">
        <f t="shared" si="138"/>
        <v>Good</v>
      </c>
      <c r="T850" t="str">
        <f t="shared" si="139"/>
        <v>OZONE</v>
      </c>
      <c r="U850">
        <v>23.76</v>
      </c>
      <c r="V850">
        <v>75.13</v>
      </c>
    </row>
    <row r="851" spans="1:22" x14ac:dyDescent="0.3">
      <c r="A851" s="2" t="s">
        <v>15</v>
      </c>
      <c r="B851">
        <v>560026</v>
      </c>
      <c r="C851" s="3">
        <v>44333</v>
      </c>
      <c r="D851">
        <v>12.72</v>
      </c>
      <c r="E851">
        <v>19.190000000000001</v>
      </c>
      <c r="F851">
        <v>7.62</v>
      </c>
      <c r="G851">
        <v>19.16</v>
      </c>
      <c r="H851">
        <v>1.77</v>
      </c>
      <c r="I851">
        <v>0.57999999999999996</v>
      </c>
      <c r="J851">
        <v>14.82</v>
      </c>
      <c r="K851">
        <f t="shared" si="130"/>
        <v>21.2</v>
      </c>
      <c r="L851">
        <f t="shared" si="131"/>
        <v>19.190000000000001</v>
      </c>
      <c r="M851">
        <f t="shared" si="132"/>
        <v>9.5250000000000004</v>
      </c>
      <c r="N851">
        <f t="shared" si="133"/>
        <v>4.79</v>
      </c>
      <c r="O851">
        <f t="shared" si="134"/>
        <v>2.2124999999999999</v>
      </c>
      <c r="P851">
        <f t="shared" si="135"/>
        <v>6.5909090909090899</v>
      </c>
      <c r="Q851">
        <f t="shared" si="136"/>
        <v>13.722222222222223</v>
      </c>
      <c r="R851">
        <f t="shared" si="137"/>
        <v>21.2</v>
      </c>
      <c r="S851" t="str">
        <f t="shared" si="138"/>
        <v>Good</v>
      </c>
      <c r="T851" t="str">
        <f t="shared" si="139"/>
        <v>PM2.5</v>
      </c>
      <c r="U851">
        <v>25.72</v>
      </c>
      <c r="V851">
        <v>68.09</v>
      </c>
    </row>
    <row r="852" spans="1:22" x14ac:dyDescent="0.3">
      <c r="A852" s="2" t="s">
        <v>15</v>
      </c>
      <c r="B852">
        <v>560026</v>
      </c>
      <c r="C852" s="3">
        <v>44334</v>
      </c>
      <c r="D852">
        <v>9.4600000000000009</v>
      </c>
      <c r="E852">
        <v>22.34</v>
      </c>
      <c r="F852">
        <v>8.1999999999999993</v>
      </c>
      <c r="G852">
        <v>25.15</v>
      </c>
      <c r="H852">
        <v>3.77</v>
      </c>
      <c r="I852">
        <v>0.5</v>
      </c>
      <c r="J852">
        <v>11.47</v>
      </c>
      <c r="K852">
        <f t="shared" si="130"/>
        <v>15.766666666666669</v>
      </c>
      <c r="L852">
        <f t="shared" si="131"/>
        <v>22.34</v>
      </c>
      <c r="M852">
        <f t="shared" si="132"/>
        <v>10.249999999999998</v>
      </c>
      <c r="N852">
        <f t="shared" si="133"/>
        <v>6.2874999999999996</v>
      </c>
      <c r="O852">
        <f t="shared" si="134"/>
        <v>4.7125000000000004</v>
      </c>
      <c r="P852">
        <f t="shared" si="135"/>
        <v>5.6818181818181817</v>
      </c>
      <c r="Q852">
        <f t="shared" si="136"/>
        <v>10.62037037037037</v>
      </c>
      <c r="R852">
        <f t="shared" si="137"/>
        <v>22.34</v>
      </c>
      <c r="S852" t="str">
        <f t="shared" si="138"/>
        <v>Good</v>
      </c>
      <c r="T852" t="str">
        <f t="shared" si="139"/>
        <v>PM10</v>
      </c>
      <c r="U852">
        <v>26.01</v>
      </c>
      <c r="V852">
        <v>69.97</v>
      </c>
    </row>
    <row r="853" spans="1:22" x14ac:dyDescent="0.3">
      <c r="A853" s="2" t="s">
        <v>15</v>
      </c>
      <c r="B853">
        <v>560026</v>
      </c>
      <c r="C853" s="3">
        <v>44335</v>
      </c>
      <c r="D853">
        <v>7.23</v>
      </c>
      <c r="E853">
        <v>13.15</v>
      </c>
      <c r="F853">
        <v>8.2200000000000006</v>
      </c>
      <c r="G853">
        <v>22.11</v>
      </c>
      <c r="H853">
        <v>2.38</v>
      </c>
      <c r="I853">
        <v>0.46</v>
      </c>
      <c r="J853">
        <v>9.98</v>
      </c>
      <c r="K853">
        <f t="shared" si="130"/>
        <v>12.05</v>
      </c>
      <c r="L853">
        <f t="shared" si="131"/>
        <v>13.15</v>
      </c>
      <c r="M853">
        <f t="shared" si="132"/>
        <v>10.275000000000002</v>
      </c>
      <c r="N853">
        <f t="shared" si="133"/>
        <v>5.5274999999999999</v>
      </c>
      <c r="O853">
        <f t="shared" si="134"/>
        <v>2.9750000000000001</v>
      </c>
      <c r="P853">
        <f t="shared" si="135"/>
        <v>5.2272727272727275</v>
      </c>
      <c r="Q853">
        <f t="shared" si="136"/>
        <v>9.2407407407407405</v>
      </c>
      <c r="R853">
        <f t="shared" si="137"/>
        <v>13.15</v>
      </c>
      <c r="S853" t="str">
        <f t="shared" si="138"/>
        <v>Good</v>
      </c>
      <c r="T853" t="str">
        <f t="shared" si="139"/>
        <v>PM10</v>
      </c>
      <c r="U853">
        <v>26.26</v>
      </c>
      <c r="V853">
        <v>68.58</v>
      </c>
    </row>
    <row r="854" spans="1:22" x14ac:dyDescent="0.3">
      <c r="A854" s="2" t="s">
        <v>15</v>
      </c>
      <c r="B854">
        <v>560026</v>
      </c>
      <c r="C854" s="3">
        <v>44336</v>
      </c>
      <c r="D854">
        <v>9.0399999999999991</v>
      </c>
      <c r="E854">
        <v>16.89</v>
      </c>
      <c r="F854">
        <v>9.94</v>
      </c>
      <c r="G854">
        <v>20.88</v>
      </c>
      <c r="H854">
        <v>6.52</v>
      </c>
      <c r="I854">
        <v>0.43</v>
      </c>
      <c r="J854">
        <v>8.57</v>
      </c>
      <c r="K854">
        <f t="shared" si="130"/>
        <v>15.066666666666665</v>
      </c>
      <c r="L854">
        <f t="shared" si="131"/>
        <v>16.89</v>
      </c>
      <c r="M854">
        <f t="shared" si="132"/>
        <v>12.425000000000001</v>
      </c>
      <c r="N854">
        <f t="shared" si="133"/>
        <v>5.22</v>
      </c>
      <c r="O854">
        <f t="shared" si="134"/>
        <v>8.15</v>
      </c>
      <c r="P854">
        <f t="shared" si="135"/>
        <v>4.8863636363636358</v>
      </c>
      <c r="Q854">
        <f t="shared" si="136"/>
        <v>7.9351851851851851</v>
      </c>
      <c r="R854">
        <f t="shared" si="137"/>
        <v>16.89</v>
      </c>
      <c r="S854" t="str">
        <f t="shared" si="138"/>
        <v>Good</v>
      </c>
      <c r="T854" t="str">
        <f t="shared" si="139"/>
        <v>PM10</v>
      </c>
      <c r="U854">
        <v>24.23</v>
      </c>
      <c r="V854">
        <v>74.7</v>
      </c>
    </row>
    <row r="855" spans="1:22" x14ac:dyDescent="0.3">
      <c r="A855" s="2" t="s">
        <v>15</v>
      </c>
      <c r="B855">
        <v>560026</v>
      </c>
      <c r="C855" s="3">
        <v>44337</v>
      </c>
      <c r="D855">
        <v>9.2899999999999991</v>
      </c>
      <c r="E855">
        <v>20.61</v>
      </c>
      <c r="F855">
        <v>12.04</v>
      </c>
      <c r="G855">
        <v>23.19</v>
      </c>
      <c r="H855">
        <v>9.7100000000000009</v>
      </c>
      <c r="I855">
        <v>0.33</v>
      </c>
      <c r="J855">
        <v>5.17</v>
      </c>
      <c r="K855">
        <f t="shared" si="130"/>
        <v>15.483333333333331</v>
      </c>
      <c r="L855">
        <f t="shared" si="131"/>
        <v>20.61</v>
      </c>
      <c r="M855">
        <f t="shared" si="132"/>
        <v>15.05</v>
      </c>
      <c r="N855">
        <f t="shared" si="133"/>
        <v>5.7975000000000003</v>
      </c>
      <c r="O855">
        <f t="shared" si="134"/>
        <v>12.137500000000001</v>
      </c>
      <c r="P855">
        <f t="shared" si="135"/>
        <v>3.75</v>
      </c>
      <c r="Q855">
        <f t="shared" si="136"/>
        <v>4.7870370370370372</v>
      </c>
      <c r="R855">
        <f t="shared" si="137"/>
        <v>20.61</v>
      </c>
      <c r="S855" t="str">
        <f t="shared" si="138"/>
        <v>Good</v>
      </c>
      <c r="T855" t="str">
        <f t="shared" si="139"/>
        <v>PM10</v>
      </c>
      <c r="U855">
        <v>22.77</v>
      </c>
      <c r="V855">
        <v>80.91</v>
      </c>
    </row>
    <row r="856" spans="1:22" x14ac:dyDescent="0.3">
      <c r="A856" s="2" t="s">
        <v>15</v>
      </c>
      <c r="B856">
        <v>560026</v>
      </c>
      <c r="C856" s="3">
        <v>44338</v>
      </c>
      <c r="D856">
        <v>12.17</v>
      </c>
      <c r="E856">
        <v>24.27</v>
      </c>
      <c r="F856">
        <v>12.5</v>
      </c>
      <c r="G856">
        <v>22.59</v>
      </c>
      <c r="H856">
        <v>14.66</v>
      </c>
      <c r="I856">
        <v>0.56000000000000005</v>
      </c>
      <c r="J856">
        <v>14.24</v>
      </c>
      <c r="K856">
        <f t="shared" si="130"/>
        <v>20.283333333333335</v>
      </c>
      <c r="L856">
        <f t="shared" si="131"/>
        <v>24.27</v>
      </c>
      <c r="M856">
        <f t="shared" si="132"/>
        <v>15.625</v>
      </c>
      <c r="N856">
        <f t="shared" si="133"/>
        <v>5.6475</v>
      </c>
      <c r="O856">
        <f t="shared" si="134"/>
        <v>18.324999999999999</v>
      </c>
      <c r="P856">
        <f t="shared" si="135"/>
        <v>6.3636363636363642</v>
      </c>
      <c r="Q856">
        <f t="shared" si="136"/>
        <v>13.185185185185185</v>
      </c>
      <c r="R856">
        <f t="shared" si="137"/>
        <v>24.27</v>
      </c>
      <c r="S856" t="str">
        <f t="shared" si="138"/>
        <v>Good</v>
      </c>
      <c r="T856" t="str">
        <f t="shared" si="139"/>
        <v>PM10</v>
      </c>
      <c r="U856">
        <v>25.36</v>
      </c>
      <c r="V856">
        <v>69.22</v>
      </c>
    </row>
    <row r="857" spans="1:22" x14ac:dyDescent="0.3">
      <c r="A857" s="2" t="s">
        <v>15</v>
      </c>
      <c r="B857">
        <v>560026</v>
      </c>
      <c r="C857" s="3">
        <v>44339</v>
      </c>
      <c r="D857">
        <v>12.34</v>
      </c>
      <c r="E857">
        <v>26.19</v>
      </c>
      <c r="F857">
        <v>7.89</v>
      </c>
      <c r="G857">
        <v>22.88</v>
      </c>
      <c r="H857">
        <v>6.32</v>
      </c>
      <c r="I857">
        <v>0.66</v>
      </c>
      <c r="J857">
        <v>18.41</v>
      </c>
      <c r="K857">
        <f t="shared" si="130"/>
        <v>20.566666666666666</v>
      </c>
      <c r="L857">
        <f t="shared" si="131"/>
        <v>26.19</v>
      </c>
      <c r="M857">
        <f t="shared" si="132"/>
        <v>9.8625000000000007</v>
      </c>
      <c r="N857">
        <f t="shared" si="133"/>
        <v>5.72</v>
      </c>
      <c r="O857">
        <f t="shared" si="134"/>
        <v>7.9</v>
      </c>
      <c r="P857">
        <f t="shared" si="135"/>
        <v>7.5</v>
      </c>
      <c r="Q857">
        <f t="shared" si="136"/>
        <v>17.046296296296298</v>
      </c>
      <c r="R857">
        <f t="shared" si="137"/>
        <v>26.19</v>
      </c>
      <c r="S857" t="str">
        <f t="shared" si="138"/>
        <v>Good</v>
      </c>
      <c r="T857" t="str">
        <f t="shared" si="139"/>
        <v>PM10</v>
      </c>
      <c r="U857">
        <v>25.29</v>
      </c>
      <c r="V857">
        <v>68.489999999999995</v>
      </c>
    </row>
    <row r="858" spans="1:22" x14ac:dyDescent="0.3">
      <c r="A858" s="2" t="s">
        <v>15</v>
      </c>
      <c r="B858">
        <v>560026</v>
      </c>
      <c r="C858" s="3">
        <v>44340</v>
      </c>
      <c r="D858">
        <v>14.77</v>
      </c>
      <c r="E858">
        <v>41.98</v>
      </c>
      <c r="F858">
        <v>9.4700000000000006</v>
      </c>
      <c r="G858">
        <v>24.33</v>
      </c>
      <c r="H858">
        <v>6.68</v>
      </c>
      <c r="I858">
        <v>0.66</v>
      </c>
      <c r="J858">
        <v>18.260000000000002</v>
      </c>
      <c r="K858">
        <f t="shared" si="130"/>
        <v>24.616666666666667</v>
      </c>
      <c r="L858">
        <f t="shared" si="131"/>
        <v>41.98</v>
      </c>
      <c r="M858">
        <f t="shared" si="132"/>
        <v>11.837500000000002</v>
      </c>
      <c r="N858">
        <f t="shared" si="133"/>
        <v>6.0824999999999996</v>
      </c>
      <c r="O858">
        <f t="shared" si="134"/>
        <v>8.35</v>
      </c>
      <c r="P858">
        <f t="shared" si="135"/>
        <v>7.5</v>
      </c>
      <c r="Q858">
        <f t="shared" si="136"/>
        <v>16.907407407407408</v>
      </c>
      <c r="R858">
        <f t="shared" si="137"/>
        <v>41.98</v>
      </c>
      <c r="S858" t="str">
        <f t="shared" si="138"/>
        <v>Good</v>
      </c>
      <c r="T858" t="str">
        <f t="shared" si="139"/>
        <v>PM10</v>
      </c>
      <c r="U858">
        <v>26.26</v>
      </c>
      <c r="V858">
        <v>61.31</v>
      </c>
    </row>
    <row r="859" spans="1:22" x14ac:dyDescent="0.3">
      <c r="A859" s="2" t="s">
        <v>15</v>
      </c>
      <c r="B859">
        <v>560026</v>
      </c>
      <c r="C859" s="3">
        <v>44341</v>
      </c>
      <c r="D859">
        <v>14.22</v>
      </c>
      <c r="E859">
        <v>33.700000000000003</v>
      </c>
      <c r="F859">
        <v>8.91</v>
      </c>
      <c r="G859">
        <v>22.55</v>
      </c>
      <c r="H859">
        <v>7.99</v>
      </c>
      <c r="I859">
        <v>0.69</v>
      </c>
      <c r="J859">
        <v>19.59</v>
      </c>
      <c r="K859">
        <f t="shared" si="130"/>
        <v>23.7</v>
      </c>
      <c r="L859">
        <f t="shared" si="131"/>
        <v>33.700000000000003</v>
      </c>
      <c r="M859">
        <f t="shared" si="132"/>
        <v>11.137499999999999</v>
      </c>
      <c r="N859">
        <f t="shared" si="133"/>
        <v>5.6375000000000002</v>
      </c>
      <c r="O859">
        <f t="shared" si="134"/>
        <v>9.9875000000000007</v>
      </c>
      <c r="P859">
        <f t="shared" si="135"/>
        <v>7.8409090909090899</v>
      </c>
      <c r="Q859">
        <f t="shared" si="136"/>
        <v>18.138888888888889</v>
      </c>
      <c r="R859">
        <f t="shared" si="137"/>
        <v>33.700000000000003</v>
      </c>
      <c r="S859" t="str">
        <f t="shared" si="138"/>
        <v>Good</v>
      </c>
      <c r="T859" t="str">
        <f t="shared" si="139"/>
        <v>PM10</v>
      </c>
      <c r="U859">
        <v>23.88</v>
      </c>
      <c r="V859">
        <v>76.64</v>
      </c>
    </row>
    <row r="860" spans="1:22" x14ac:dyDescent="0.3">
      <c r="A860" s="2" t="s">
        <v>15</v>
      </c>
      <c r="B860">
        <v>560026</v>
      </c>
      <c r="C860" s="3">
        <v>44342</v>
      </c>
      <c r="D860">
        <v>45.31</v>
      </c>
      <c r="E860">
        <v>74.569999999999993</v>
      </c>
      <c r="F860">
        <v>10.19</v>
      </c>
      <c r="G860">
        <v>23.99</v>
      </c>
      <c r="H860">
        <v>11.15</v>
      </c>
      <c r="I860">
        <v>0.71</v>
      </c>
      <c r="J860">
        <v>20.7</v>
      </c>
      <c r="K860">
        <f t="shared" si="130"/>
        <v>75.516666666666666</v>
      </c>
      <c r="L860">
        <f t="shared" si="131"/>
        <v>74.569999999999993</v>
      </c>
      <c r="M860">
        <f t="shared" si="132"/>
        <v>12.737500000000001</v>
      </c>
      <c r="N860">
        <f t="shared" si="133"/>
        <v>5.9974999999999996</v>
      </c>
      <c r="O860">
        <f t="shared" si="134"/>
        <v>13.9375</v>
      </c>
      <c r="P860">
        <f t="shared" si="135"/>
        <v>8.0681818181818183</v>
      </c>
      <c r="Q860">
        <f t="shared" si="136"/>
        <v>19.166666666666668</v>
      </c>
      <c r="R860">
        <f t="shared" si="137"/>
        <v>75.516666666666666</v>
      </c>
      <c r="S860" t="str">
        <f t="shared" si="138"/>
        <v>Satisfactory</v>
      </c>
      <c r="T860" t="str">
        <f t="shared" si="139"/>
        <v>PM2.5</v>
      </c>
      <c r="U860">
        <v>24.34</v>
      </c>
      <c r="V860">
        <v>71.89</v>
      </c>
    </row>
    <row r="861" spans="1:22" x14ac:dyDescent="0.3">
      <c r="A861" s="2" t="s">
        <v>15</v>
      </c>
      <c r="B861">
        <v>560026</v>
      </c>
      <c r="C861" s="3">
        <v>44343</v>
      </c>
      <c r="D861">
        <v>42.28</v>
      </c>
      <c r="E861">
        <v>89.41</v>
      </c>
      <c r="F861">
        <v>10.72</v>
      </c>
      <c r="G861">
        <v>24.54</v>
      </c>
      <c r="H861">
        <v>5.85</v>
      </c>
      <c r="I861">
        <v>0.61</v>
      </c>
      <c r="J861">
        <v>16.11</v>
      </c>
      <c r="K861">
        <f t="shared" si="130"/>
        <v>70.466666666666669</v>
      </c>
      <c r="L861">
        <f t="shared" si="131"/>
        <v>89.41</v>
      </c>
      <c r="M861">
        <f t="shared" si="132"/>
        <v>13.4</v>
      </c>
      <c r="N861">
        <f t="shared" si="133"/>
        <v>6.1349999999999998</v>
      </c>
      <c r="O861">
        <f t="shared" si="134"/>
        <v>7.3125</v>
      </c>
      <c r="P861">
        <f t="shared" si="135"/>
        <v>6.9318181818181817</v>
      </c>
      <c r="Q861">
        <f t="shared" si="136"/>
        <v>14.916666666666666</v>
      </c>
      <c r="R861">
        <f t="shared" si="137"/>
        <v>89.41</v>
      </c>
      <c r="S861" t="str">
        <f t="shared" si="138"/>
        <v>Satisfactory</v>
      </c>
      <c r="T861" t="str">
        <f t="shared" si="139"/>
        <v>PM10</v>
      </c>
      <c r="U861">
        <v>25.22</v>
      </c>
      <c r="V861">
        <v>65.239999999999995</v>
      </c>
    </row>
    <row r="862" spans="1:22" x14ac:dyDescent="0.3">
      <c r="A862" s="2" t="s">
        <v>15</v>
      </c>
      <c r="B862">
        <v>560026</v>
      </c>
      <c r="C862" s="3">
        <v>44344</v>
      </c>
      <c r="D862">
        <v>25.21</v>
      </c>
      <c r="E862">
        <v>61.39</v>
      </c>
      <c r="F862">
        <v>10</v>
      </c>
      <c r="G862">
        <v>22.98</v>
      </c>
      <c r="H862">
        <v>6.53</v>
      </c>
      <c r="I862">
        <v>0.62</v>
      </c>
      <c r="J862">
        <v>16.57</v>
      </c>
      <c r="K862">
        <f t="shared" si="130"/>
        <v>42.016666666666666</v>
      </c>
      <c r="L862">
        <f t="shared" si="131"/>
        <v>61.39</v>
      </c>
      <c r="M862">
        <f t="shared" si="132"/>
        <v>12.5</v>
      </c>
      <c r="N862">
        <f t="shared" si="133"/>
        <v>5.7450000000000001</v>
      </c>
      <c r="O862">
        <f t="shared" si="134"/>
        <v>8.1624999999999996</v>
      </c>
      <c r="P862">
        <f t="shared" si="135"/>
        <v>7.045454545454545</v>
      </c>
      <c r="Q862">
        <f t="shared" si="136"/>
        <v>15.342592592592593</v>
      </c>
      <c r="R862">
        <f t="shared" si="137"/>
        <v>61.39</v>
      </c>
      <c r="S862" t="str">
        <f t="shared" si="138"/>
        <v>Satisfactory</v>
      </c>
      <c r="T862" t="str">
        <f t="shared" si="139"/>
        <v>PM10</v>
      </c>
      <c r="U862">
        <v>25.49</v>
      </c>
      <c r="V862">
        <v>62.11</v>
      </c>
    </row>
    <row r="863" spans="1:22" x14ac:dyDescent="0.3">
      <c r="A863" s="2" t="s">
        <v>15</v>
      </c>
      <c r="B863">
        <v>560026</v>
      </c>
      <c r="C863" s="3">
        <v>44345</v>
      </c>
      <c r="D863">
        <v>24.88</v>
      </c>
      <c r="E863">
        <v>43.86</v>
      </c>
      <c r="F863">
        <v>9.26</v>
      </c>
      <c r="G863">
        <v>23.86</v>
      </c>
      <c r="H863">
        <v>4.53</v>
      </c>
      <c r="I863">
        <v>0.6</v>
      </c>
      <c r="J863">
        <v>15.77</v>
      </c>
      <c r="K863">
        <f t="shared" si="130"/>
        <v>41.466666666666669</v>
      </c>
      <c r="L863">
        <f t="shared" si="131"/>
        <v>43.86</v>
      </c>
      <c r="M863">
        <f t="shared" si="132"/>
        <v>11.574999999999999</v>
      </c>
      <c r="N863">
        <f t="shared" si="133"/>
        <v>5.9649999999999999</v>
      </c>
      <c r="O863">
        <f t="shared" si="134"/>
        <v>5.6624999999999996</v>
      </c>
      <c r="P863">
        <f t="shared" si="135"/>
        <v>6.8181818181818175</v>
      </c>
      <c r="Q863">
        <f t="shared" si="136"/>
        <v>14.601851851851851</v>
      </c>
      <c r="R863">
        <f t="shared" si="137"/>
        <v>43.86</v>
      </c>
      <c r="S863" t="str">
        <f t="shared" si="138"/>
        <v>Good</v>
      </c>
      <c r="T863" t="str">
        <f t="shared" si="139"/>
        <v>PM10</v>
      </c>
      <c r="U863">
        <v>25.79</v>
      </c>
      <c r="V863">
        <v>65.88</v>
      </c>
    </row>
    <row r="864" spans="1:22" x14ac:dyDescent="0.3">
      <c r="A864" s="2" t="s">
        <v>15</v>
      </c>
      <c r="B864">
        <v>560026</v>
      </c>
      <c r="C864" s="3">
        <v>44346</v>
      </c>
      <c r="D864">
        <v>12.85</v>
      </c>
      <c r="E864">
        <v>27.9</v>
      </c>
      <c r="F864">
        <v>6.88</v>
      </c>
      <c r="G864">
        <v>23</v>
      </c>
      <c r="H864">
        <v>3.25</v>
      </c>
      <c r="I864">
        <v>0.56000000000000005</v>
      </c>
      <c r="J864">
        <v>14.23</v>
      </c>
      <c r="K864">
        <f t="shared" si="130"/>
        <v>21.416666666666668</v>
      </c>
      <c r="L864">
        <f t="shared" si="131"/>
        <v>27.9</v>
      </c>
      <c r="M864">
        <f t="shared" si="132"/>
        <v>8.6</v>
      </c>
      <c r="N864">
        <f t="shared" si="133"/>
        <v>5.75</v>
      </c>
      <c r="O864">
        <f t="shared" si="134"/>
        <v>4.0625</v>
      </c>
      <c r="P864">
        <f t="shared" si="135"/>
        <v>6.3636363636363642</v>
      </c>
      <c r="Q864">
        <f t="shared" si="136"/>
        <v>13.175925925925926</v>
      </c>
      <c r="R864">
        <f t="shared" si="137"/>
        <v>27.9</v>
      </c>
      <c r="S864" t="str">
        <f t="shared" si="138"/>
        <v>Good</v>
      </c>
      <c r="T864" t="str">
        <f t="shared" si="139"/>
        <v>PM10</v>
      </c>
      <c r="U864">
        <v>25.88</v>
      </c>
      <c r="V864">
        <v>65.19</v>
      </c>
    </row>
    <row r="865" spans="1:22" x14ac:dyDescent="0.3">
      <c r="A865" s="2" t="s">
        <v>15</v>
      </c>
      <c r="B865">
        <v>560026</v>
      </c>
      <c r="C865" s="3">
        <v>44347</v>
      </c>
      <c r="D865">
        <v>13.35</v>
      </c>
      <c r="E865">
        <v>27.99</v>
      </c>
      <c r="F865">
        <v>8.64</v>
      </c>
      <c r="G865">
        <v>24.8</v>
      </c>
      <c r="H865">
        <v>6.31</v>
      </c>
      <c r="I865">
        <v>0.43</v>
      </c>
      <c r="J865">
        <v>13.26</v>
      </c>
      <c r="K865">
        <f t="shared" si="130"/>
        <v>22.25</v>
      </c>
      <c r="L865">
        <f t="shared" si="131"/>
        <v>27.99</v>
      </c>
      <c r="M865">
        <f t="shared" si="132"/>
        <v>10.8</v>
      </c>
      <c r="N865">
        <f t="shared" si="133"/>
        <v>6.2</v>
      </c>
      <c r="O865">
        <f t="shared" si="134"/>
        <v>7.8875000000000002</v>
      </c>
      <c r="P865">
        <f t="shared" si="135"/>
        <v>4.8863636363636358</v>
      </c>
      <c r="Q865">
        <f t="shared" si="136"/>
        <v>12.277777777777777</v>
      </c>
      <c r="R865">
        <f t="shared" si="137"/>
        <v>27.99</v>
      </c>
      <c r="S865" t="str">
        <f t="shared" si="138"/>
        <v>Good</v>
      </c>
      <c r="T865" t="str">
        <f t="shared" si="139"/>
        <v>PM10</v>
      </c>
      <c r="U865">
        <v>26.05</v>
      </c>
      <c r="V865">
        <v>65.39</v>
      </c>
    </row>
    <row r="866" spans="1:22" x14ac:dyDescent="0.3">
      <c r="A866" s="2" t="s">
        <v>15</v>
      </c>
      <c r="B866">
        <v>560026</v>
      </c>
      <c r="C866" s="3">
        <v>44348</v>
      </c>
      <c r="D866">
        <v>8.3800000000000008</v>
      </c>
      <c r="E866">
        <v>19.489999999999998</v>
      </c>
      <c r="F866">
        <v>8.8800000000000008</v>
      </c>
      <c r="G866">
        <v>23.24</v>
      </c>
      <c r="H866">
        <v>5.43</v>
      </c>
      <c r="I866">
        <v>0.38</v>
      </c>
      <c r="J866">
        <v>12.59</v>
      </c>
      <c r="K866">
        <f t="shared" si="130"/>
        <v>13.966666666666669</v>
      </c>
      <c r="L866">
        <f t="shared" si="131"/>
        <v>19.489999999999998</v>
      </c>
      <c r="M866">
        <f t="shared" si="132"/>
        <v>11.100000000000001</v>
      </c>
      <c r="N866">
        <f t="shared" si="133"/>
        <v>5.81</v>
      </c>
      <c r="O866">
        <f t="shared" si="134"/>
        <v>6.7874999999999996</v>
      </c>
      <c r="P866">
        <f t="shared" si="135"/>
        <v>4.3181818181818183</v>
      </c>
      <c r="Q866">
        <f t="shared" si="136"/>
        <v>11.657407407407407</v>
      </c>
      <c r="R866">
        <f t="shared" si="137"/>
        <v>19.489999999999998</v>
      </c>
      <c r="S866" t="str">
        <f t="shared" si="138"/>
        <v>Good</v>
      </c>
      <c r="T866" t="str">
        <f t="shared" si="139"/>
        <v>PM10</v>
      </c>
      <c r="U866">
        <v>26.06</v>
      </c>
      <c r="V866">
        <v>66.95</v>
      </c>
    </row>
    <row r="867" spans="1:22" x14ac:dyDescent="0.3">
      <c r="A867" s="2" t="s">
        <v>15</v>
      </c>
      <c r="B867">
        <v>560026</v>
      </c>
      <c r="C867" s="3">
        <v>44349</v>
      </c>
      <c r="D867">
        <v>11.39</v>
      </c>
      <c r="E867">
        <v>24.89</v>
      </c>
      <c r="F867">
        <v>11.52</v>
      </c>
      <c r="G867">
        <v>22.52</v>
      </c>
      <c r="H867">
        <v>4.13</v>
      </c>
      <c r="I867">
        <v>0.41</v>
      </c>
      <c r="J867">
        <v>15.9</v>
      </c>
      <c r="K867">
        <f t="shared" si="130"/>
        <v>18.983333333333334</v>
      </c>
      <c r="L867">
        <f t="shared" si="131"/>
        <v>24.89</v>
      </c>
      <c r="M867">
        <f t="shared" si="132"/>
        <v>14.4</v>
      </c>
      <c r="N867">
        <f t="shared" si="133"/>
        <v>5.63</v>
      </c>
      <c r="O867">
        <f t="shared" si="134"/>
        <v>5.1624999999999996</v>
      </c>
      <c r="P867">
        <f t="shared" si="135"/>
        <v>4.6590909090909083</v>
      </c>
      <c r="Q867">
        <f t="shared" si="136"/>
        <v>14.722222222222223</v>
      </c>
      <c r="R867">
        <f t="shared" si="137"/>
        <v>24.89</v>
      </c>
      <c r="S867" t="str">
        <f t="shared" si="138"/>
        <v>Good</v>
      </c>
      <c r="T867" t="str">
        <f t="shared" si="139"/>
        <v>PM10</v>
      </c>
      <c r="U867">
        <v>26.27</v>
      </c>
      <c r="V867">
        <v>70.510000000000005</v>
      </c>
    </row>
    <row r="868" spans="1:22" x14ac:dyDescent="0.3">
      <c r="A868" s="2" t="s">
        <v>15</v>
      </c>
      <c r="B868">
        <v>560026</v>
      </c>
      <c r="C868" s="3">
        <v>44350</v>
      </c>
      <c r="D868">
        <v>19.8</v>
      </c>
      <c r="E868">
        <v>36.92</v>
      </c>
      <c r="F868">
        <v>16.46</v>
      </c>
      <c r="G868">
        <v>27.02</v>
      </c>
      <c r="H868">
        <v>7.69</v>
      </c>
      <c r="I868">
        <v>0.46</v>
      </c>
      <c r="J868">
        <v>19.899999999999999</v>
      </c>
      <c r="K868">
        <f t="shared" si="130"/>
        <v>33</v>
      </c>
      <c r="L868">
        <f t="shared" si="131"/>
        <v>36.92</v>
      </c>
      <c r="M868">
        <f t="shared" si="132"/>
        <v>20.574999999999999</v>
      </c>
      <c r="N868">
        <f t="shared" si="133"/>
        <v>6.7549999999999999</v>
      </c>
      <c r="O868">
        <f t="shared" si="134"/>
        <v>9.6125000000000007</v>
      </c>
      <c r="P868">
        <f t="shared" si="135"/>
        <v>5.2272727272727275</v>
      </c>
      <c r="Q868">
        <f t="shared" si="136"/>
        <v>18.425925925925924</v>
      </c>
      <c r="R868">
        <f t="shared" si="137"/>
        <v>36.92</v>
      </c>
      <c r="S868" t="str">
        <f t="shared" si="138"/>
        <v>Good</v>
      </c>
      <c r="T868" t="str">
        <f t="shared" si="139"/>
        <v>PM10</v>
      </c>
      <c r="U868">
        <v>25.29</v>
      </c>
      <c r="V868">
        <v>76.760000000000005</v>
      </c>
    </row>
    <row r="869" spans="1:22" x14ac:dyDescent="0.3">
      <c r="A869" s="2" t="s">
        <v>15</v>
      </c>
      <c r="B869">
        <v>560026</v>
      </c>
      <c r="C869" s="3">
        <v>44351</v>
      </c>
      <c r="D869">
        <v>12.33</v>
      </c>
      <c r="E869">
        <v>22.47</v>
      </c>
      <c r="F869">
        <v>12.3</v>
      </c>
      <c r="G869">
        <v>24.33</v>
      </c>
      <c r="H869">
        <v>8.3000000000000007</v>
      </c>
      <c r="I869">
        <v>0.42</v>
      </c>
      <c r="J869">
        <v>16.43</v>
      </c>
      <c r="K869">
        <f t="shared" si="130"/>
        <v>20.55</v>
      </c>
      <c r="L869">
        <f t="shared" si="131"/>
        <v>22.47</v>
      </c>
      <c r="M869">
        <f t="shared" si="132"/>
        <v>15.375</v>
      </c>
      <c r="N869">
        <f t="shared" si="133"/>
        <v>6.0824999999999996</v>
      </c>
      <c r="O869">
        <f t="shared" si="134"/>
        <v>10.375000000000002</v>
      </c>
      <c r="P869">
        <f t="shared" si="135"/>
        <v>4.7727272727272725</v>
      </c>
      <c r="Q869">
        <f t="shared" si="136"/>
        <v>15.212962962962962</v>
      </c>
      <c r="R869">
        <f t="shared" si="137"/>
        <v>22.47</v>
      </c>
      <c r="S869" t="str">
        <f t="shared" si="138"/>
        <v>Good</v>
      </c>
      <c r="T869" t="str">
        <f t="shared" si="139"/>
        <v>PM10</v>
      </c>
      <c r="U869">
        <v>24.37</v>
      </c>
      <c r="V869">
        <v>80.84</v>
      </c>
    </row>
    <row r="870" spans="1:22" x14ac:dyDescent="0.3">
      <c r="A870" s="2" t="s">
        <v>15</v>
      </c>
      <c r="B870">
        <v>560026</v>
      </c>
      <c r="C870" s="3">
        <v>44352</v>
      </c>
      <c r="D870">
        <v>6.99</v>
      </c>
      <c r="E870">
        <v>12.96</v>
      </c>
      <c r="F870">
        <v>9.64</v>
      </c>
      <c r="G870">
        <v>24.07</v>
      </c>
      <c r="H870">
        <v>6.14</v>
      </c>
      <c r="I870">
        <v>0.37</v>
      </c>
      <c r="J870">
        <v>11.77</v>
      </c>
      <c r="K870">
        <f t="shared" si="130"/>
        <v>11.65</v>
      </c>
      <c r="L870">
        <f t="shared" si="131"/>
        <v>12.96</v>
      </c>
      <c r="M870">
        <f t="shared" si="132"/>
        <v>12.05</v>
      </c>
      <c r="N870">
        <f t="shared" si="133"/>
        <v>6.0175000000000001</v>
      </c>
      <c r="O870">
        <f t="shared" si="134"/>
        <v>7.6749999999999998</v>
      </c>
      <c r="P870">
        <f t="shared" si="135"/>
        <v>4.2045454545454541</v>
      </c>
      <c r="Q870">
        <f t="shared" si="136"/>
        <v>10.898148148148147</v>
      </c>
      <c r="R870">
        <f t="shared" si="137"/>
        <v>12.96</v>
      </c>
      <c r="S870" t="str">
        <f t="shared" si="138"/>
        <v>Good</v>
      </c>
      <c r="T870" t="str">
        <f t="shared" si="139"/>
        <v>PM10</v>
      </c>
      <c r="U870">
        <v>24.04</v>
      </c>
      <c r="V870">
        <v>79.84</v>
      </c>
    </row>
    <row r="871" spans="1:22" x14ac:dyDescent="0.3">
      <c r="A871" s="2" t="s">
        <v>15</v>
      </c>
      <c r="B871">
        <v>560026</v>
      </c>
      <c r="C871" s="3">
        <v>44353</v>
      </c>
      <c r="D871">
        <v>15.7</v>
      </c>
      <c r="E871">
        <v>21.91</v>
      </c>
      <c r="F871">
        <v>9.52</v>
      </c>
      <c r="G871">
        <v>22.14</v>
      </c>
      <c r="H871">
        <v>7.72</v>
      </c>
      <c r="I871">
        <v>0.41</v>
      </c>
      <c r="J871">
        <v>15.62</v>
      </c>
      <c r="K871">
        <f t="shared" si="130"/>
        <v>26.166666666666668</v>
      </c>
      <c r="L871">
        <f t="shared" si="131"/>
        <v>21.91</v>
      </c>
      <c r="M871">
        <f t="shared" si="132"/>
        <v>11.9</v>
      </c>
      <c r="N871">
        <f t="shared" si="133"/>
        <v>5.5350000000000001</v>
      </c>
      <c r="O871">
        <f t="shared" si="134"/>
        <v>9.65</v>
      </c>
      <c r="P871">
        <f t="shared" si="135"/>
        <v>4.6590909090909083</v>
      </c>
      <c r="Q871">
        <f t="shared" si="136"/>
        <v>14.462962962962962</v>
      </c>
      <c r="R871">
        <f t="shared" si="137"/>
        <v>26.166666666666668</v>
      </c>
      <c r="S871" t="str">
        <f t="shared" si="138"/>
        <v>Good</v>
      </c>
      <c r="T871" t="str">
        <f t="shared" si="139"/>
        <v>PM2.5</v>
      </c>
      <c r="U871">
        <v>24.72</v>
      </c>
      <c r="V871">
        <v>74.010000000000005</v>
      </c>
    </row>
    <row r="872" spans="1:22" x14ac:dyDescent="0.3">
      <c r="A872" s="2" t="s">
        <v>15</v>
      </c>
      <c r="B872">
        <v>560026</v>
      </c>
      <c r="C872" s="3">
        <v>44354</v>
      </c>
      <c r="D872">
        <v>19.16</v>
      </c>
      <c r="E872">
        <v>37.159999999999997</v>
      </c>
      <c r="F872">
        <v>12.34</v>
      </c>
      <c r="G872">
        <v>24.37</v>
      </c>
      <c r="H872">
        <v>7.03</v>
      </c>
      <c r="I872">
        <v>0.39</v>
      </c>
      <c r="J872">
        <v>13.68</v>
      </c>
      <c r="K872">
        <f t="shared" si="130"/>
        <v>31.933333333333334</v>
      </c>
      <c r="L872">
        <f t="shared" si="131"/>
        <v>37.159999999999997</v>
      </c>
      <c r="M872">
        <f t="shared" si="132"/>
        <v>15.425000000000001</v>
      </c>
      <c r="N872">
        <f t="shared" si="133"/>
        <v>6.0925000000000002</v>
      </c>
      <c r="O872">
        <f t="shared" si="134"/>
        <v>8.7874999999999996</v>
      </c>
      <c r="P872">
        <f t="shared" si="135"/>
        <v>4.4318181818181817</v>
      </c>
      <c r="Q872">
        <f t="shared" si="136"/>
        <v>12.666666666666666</v>
      </c>
      <c r="R872">
        <f t="shared" si="137"/>
        <v>37.159999999999997</v>
      </c>
      <c r="S872" t="str">
        <f t="shared" si="138"/>
        <v>Good</v>
      </c>
      <c r="T872" t="str">
        <f t="shared" si="139"/>
        <v>PM10</v>
      </c>
      <c r="U872">
        <v>26.17</v>
      </c>
      <c r="V872">
        <v>67.28</v>
      </c>
    </row>
    <row r="873" spans="1:22" x14ac:dyDescent="0.3">
      <c r="A873" s="2" t="s">
        <v>15</v>
      </c>
      <c r="B873">
        <v>560026</v>
      </c>
      <c r="C873" s="3">
        <v>44355</v>
      </c>
      <c r="D873">
        <v>26.33</v>
      </c>
      <c r="E873">
        <v>57.64</v>
      </c>
      <c r="F873">
        <v>9.5</v>
      </c>
      <c r="G873">
        <v>23.08</v>
      </c>
      <c r="H873">
        <v>6.18</v>
      </c>
      <c r="I873">
        <v>0.4</v>
      </c>
      <c r="J873">
        <v>14.63</v>
      </c>
      <c r="K873">
        <f t="shared" si="130"/>
        <v>43.883333333333333</v>
      </c>
      <c r="L873">
        <f t="shared" si="131"/>
        <v>57.64</v>
      </c>
      <c r="M873">
        <f t="shared" si="132"/>
        <v>11.875</v>
      </c>
      <c r="N873">
        <f t="shared" si="133"/>
        <v>5.77</v>
      </c>
      <c r="O873">
        <f t="shared" si="134"/>
        <v>7.7249999999999996</v>
      </c>
      <c r="P873">
        <f t="shared" si="135"/>
        <v>4.5454545454545459</v>
      </c>
      <c r="Q873">
        <f t="shared" si="136"/>
        <v>13.546296296296298</v>
      </c>
      <c r="R873">
        <f t="shared" si="137"/>
        <v>57.64</v>
      </c>
      <c r="S873" t="str">
        <f t="shared" si="138"/>
        <v>Satisfactory</v>
      </c>
      <c r="T873" t="str">
        <f t="shared" si="139"/>
        <v>PM10</v>
      </c>
      <c r="U873">
        <v>25.91</v>
      </c>
      <c r="V873">
        <v>64.97</v>
      </c>
    </row>
    <row r="874" spans="1:22" x14ac:dyDescent="0.3">
      <c r="A874" s="2" t="s">
        <v>15</v>
      </c>
      <c r="B874">
        <v>560026</v>
      </c>
      <c r="C874" s="3">
        <v>44356</v>
      </c>
      <c r="D874">
        <v>12.54</v>
      </c>
      <c r="E874">
        <v>32.770000000000003</v>
      </c>
      <c r="F874">
        <v>8.85</v>
      </c>
      <c r="G874">
        <v>21.57</v>
      </c>
      <c r="H874">
        <v>7.05</v>
      </c>
      <c r="I874">
        <v>0.38</v>
      </c>
      <c r="J874">
        <v>13.2</v>
      </c>
      <c r="K874">
        <f t="shared" si="130"/>
        <v>20.9</v>
      </c>
      <c r="L874">
        <f t="shared" si="131"/>
        <v>32.770000000000003</v>
      </c>
      <c r="M874">
        <f t="shared" si="132"/>
        <v>11.0625</v>
      </c>
      <c r="N874">
        <f t="shared" si="133"/>
        <v>5.3925000000000001</v>
      </c>
      <c r="O874">
        <f t="shared" si="134"/>
        <v>8.8125</v>
      </c>
      <c r="P874">
        <f t="shared" si="135"/>
        <v>4.3181818181818183</v>
      </c>
      <c r="Q874">
        <f t="shared" si="136"/>
        <v>12.222222222222221</v>
      </c>
      <c r="R874">
        <f t="shared" si="137"/>
        <v>32.770000000000003</v>
      </c>
      <c r="S874" t="str">
        <f t="shared" si="138"/>
        <v>Good</v>
      </c>
      <c r="T874" t="str">
        <f t="shared" si="139"/>
        <v>PM10</v>
      </c>
      <c r="U874">
        <v>24.26</v>
      </c>
      <c r="V874">
        <v>71.2</v>
      </c>
    </row>
    <row r="875" spans="1:22" x14ac:dyDescent="0.3">
      <c r="A875" s="2" t="s">
        <v>15</v>
      </c>
      <c r="B875">
        <v>560026</v>
      </c>
      <c r="C875" s="3">
        <v>44357</v>
      </c>
      <c r="D875">
        <v>10.74</v>
      </c>
      <c r="E875">
        <v>25.24</v>
      </c>
      <c r="F875">
        <v>8.9</v>
      </c>
      <c r="G875">
        <v>21.57</v>
      </c>
      <c r="H875">
        <v>7.98</v>
      </c>
      <c r="I875">
        <v>0.38</v>
      </c>
      <c r="J875">
        <v>12.6</v>
      </c>
      <c r="K875">
        <f t="shared" si="130"/>
        <v>17.899999999999999</v>
      </c>
      <c r="L875">
        <f t="shared" si="131"/>
        <v>25.24</v>
      </c>
      <c r="M875">
        <f t="shared" si="132"/>
        <v>11.125</v>
      </c>
      <c r="N875">
        <f t="shared" si="133"/>
        <v>5.3925000000000001</v>
      </c>
      <c r="O875">
        <f t="shared" si="134"/>
        <v>9.9749999999999996</v>
      </c>
      <c r="P875">
        <f t="shared" si="135"/>
        <v>4.3181818181818183</v>
      </c>
      <c r="Q875">
        <f t="shared" si="136"/>
        <v>11.666666666666666</v>
      </c>
      <c r="R875">
        <f t="shared" si="137"/>
        <v>25.24</v>
      </c>
      <c r="S875" t="str">
        <f t="shared" si="138"/>
        <v>Good</v>
      </c>
      <c r="T875" t="str">
        <f t="shared" si="139"/>
        <v>PM10</v>
      </c>
      <c r="U875">
        <v>24.22</v>
      </c>
      <c r="V875">
        <v>73.81</v>
      </c>
    </row>
    <row r="876" spans="1:22" x14ac:dyDescent="0.3">
      <c r="A876" s="2" t="s">
        <v>15</v>
      </c>
      <c r="B876">
        <v>560026</v>
      </c>
      <c r="C876" s="3">
        <v>44358</v>
      </c>
      <c r="D876">
        <v>8.51</v>
      </c>
      <c r="E876">
        <v>24</v>
      </c>
      <c r="F876">
        <v>8.44</v>
      </c>
      <c r="G876">
        <v>19.420000000000002</v>
      </c>
      <c r="H876">
        <v>6.61</v>
      </c>
      <c r="I876">
        <v>0.38</v>
      </c>
      <c r="J876">
        <v>12.62</v>
      </c>
      <c r="K876">
        <f t="shared" si="130"/>
        <v>14.183333333333334</v>
      </c>
      <c r="L876">
        <f t="shared" si="131"/>
        <v>24</v>
      </c>
      <c r="M876">
        <f t="shared" si="132"/>
        <v>10.55</v>
      </c>
      <c r="N876">
        <f t="shared" si="133"/>
        <v>4.8550000000000004</v>
      </c>
      <c r="O876">
        <f t="shared" si="134"/>
        <v>8.2624999999999993</v>
      </c>
      <c r="P876">
        <f t="shared" si="135"/>
        <v>4.3181818181818183</v>
      </c>
      <c r="Q876">
        <f t="shared" si="136"/>
        <v>11.685185185185185</v>
      </c>
      <c r="R876">
        <f t="shared" si="137"/>
        <v>24</v>
      </c>
      <c r="S876" t="str">
        <f t="shared" si="138"/>
        <v>Good</v>
      </c>
      <c r="T876" t="str">
        <f t="shared" si="139"/>
        <v>PM10</v>
      </c>
      <c r="U876">
        <v>24.2</v>
      </c>
      <c r="V876">
        <v>70.5</v>
      </c>
    </row>
    <row r="877" spans="1:22" x14ac:dyDescent="0.3">
      <c r="A877" s="2" t="s">
        <v>15</v>
      </c>
      <c r="B877">
        <v>560026</v>
      </c>
      <c r="C877" s="3">
        <v>44359</v>
      </c>
      <c r="D877">
        <v>22.48</v>
      </c>
      <c r="E877">
        <v>36.770000000000003</v>
      </c>
      <c r="F877">
        <v>8.61</v>
      </c>
      <c r="G877">
        <v>20.84</v>
      </c>
      <c r="H877">
        <v>7.84</v>
      </c>
      <c r="I877">
        <v>0.38</v>
      </c>
      <c r="J877">
        <v>12.78</v>
      </c>
      <c r="K877">
        <f t="shared" si="130"/>
        <v>37.466666666666669</v>
      </c>
      <c r="L877">
        <f t="shared" si="131"/>
        <v>36.770000000000003</v>
      </c>
      <c r="M877">
        <f t="shared" si="132"/>
        <v>10.762499999999999</v>
      </c>
      <c r="N877">
        <f t="shared" si="133"/>
        <v>5.21</v>
      </c>
      <c r="O877">
        <f t="shared" si="134"/>
        <v>9.8000000000000007</v>
      </c>
      <c r="P877">
        <f t="shared" si="135"/>
        <v>4.3181818181818183</v>
      </c>
      <c r="Q877">
        <f t="shared" si="136"/>
        <v>11.833333333333332</v>
      </c>
      <c r="R877">
        <f t="shared" si="137"/>
        <v>37.466666666666669</v>
      </c>
      <c r="S877" t="str">
        <f t="shared" si="138"/>
        <v>Good</v>
      </c>
      <c r="T877" t="str">
        <f t="shared" si="139"/>
        <v>PM2.5</v>
      </c>
      <c r="U877">
        <v>23.67</v>
      </c>
      <c r="V877">
        <v>76.900000000000006</v>
      </c>
    </row>
    <row r="878" spans="1:22" x14ac:dyDescent="0.3">
      <c r="A878" s="2" t="s">
        <v>15</v>
      </c>
      <c r="B878">
        <v>560026</v>
      </c>
      <c r="C878" s="3">
        <v>44360</v>
      </c>
      <c r="D878">
        <v>17.940000000000001</v>
      </c>
      <c r="E878">
        <v>30.53</v>
      </c>
      <c r="F878">
        <v>7.04</v>
      </c>
      <c r="G878">
        <v>18.11</v>
      </c>
      <c r="H878">
        <v>6.41</v>
      </c>
      <c r="I878">
        <v>0.38</v>
      </c>
      <c r="J878">
        <v>12.62</v>
      </c>
      <c r="K878">
        <f t="shared" si="130"/>
        <v>29.900000000000002</v>
      </c>
      <c r="L878">
        <f t="shared" si="131"/>
        <v>30.53</v>
      </c>
      <c r="M878">
        <f t="shared" si="132"/>
        <v>8.8000000000000007</v>
      </c>
      <c r="N878">
        <f t="shared" si="133"/>
        <v>4.5274999999999999</v>
      </c>
      <c r="O878">
        <f t="shared" si="134"/>
        <v>8.0124999999999993</v>
      </c>
      <c r="P878">
        <f t="shared" si="135"/>
        <v>4.3181818181818183</v>
      </c>
      <c r="Q878">
        <f t="shared" si="136"/>
        <v>11.685185185185185</v>
      </c>
      <c r="R878">
        <f t="shared" si="137"/>
        <v>30.53</v>
      </c>
      <c r="S878" t="str">
        <f t="shared" si="138"/>
        <v>Good</v>
      </c>
      <c r="T878" t="str">
        <f t="shared" si="139"/>
        <v>PM10</v>
      </c>
      <c r="U878">
        <v>23.22</v>
      </c>
      <c r="V878">
        <v>78.08</v>
      </c>
    </row>
    <row r="879" spans="1:22" x14ac:dyDescent="0.3">
      <c r="A879" s="2" t="s">
        <v>15</v>
      </c>
      <c r="B879">
        <v>560026</v>
      </c>
      <c r="C879" s="3">
        <v>44361</v>
      </c>
      <c r="D879">
        <v>6.24</v>
      </c>
      <c r="E879">
        <v>15.21</v>
      </c>
      <c r="F879">
        <v>8.31</v>
      </c>
      <c r="G879">
        <v>18.53</v>
      </c>
      <c r="H879">
        <v>6.54</v>
      </c>
      <c r="I879">
        <v>0.36</v>
      </c>
      <c r="J879">
        <v>11.23</v>
      </c>
      <c r="K879">
        <f t="shared" si="130"/>
        <v>10.4</v>
      </c>
      <c r="L879">
        <f t="shared" si="131"/>
        <v>15.21</v>
      </c>
      <c r="M879">
        <f t="shared" si="132"/>
        <v>10.387499999999999</v>
      </c>
      <c r="N879">
        <f t="shared" si="133"/>
        <v>4.6325000000000003</v>
      </c>
      <c r="O879">
        <f t="shared" si="134"/>
        <v>8.1750000000000007</v>
      </c>
      <c r="P879">
        <f t="shared" si="135"/>
        <v>4.0909090909090908</v>
      </c>
      <c r="Q879">
        <f t="shared" si="136"/>
        <v>10.398148148148149</v>
      </c>
      <c r="R879">
        <f t="shared" si="137"/>
        <v>15.21</v>
      </c>
      <c r="S879" t="str">
        <f t="shared" si="138"/>
        <v>Good</v>
      </c>
      <c r="T879" t="str">
        <f t="shared" si="139"/>
        <v>PM10</v>
      </c>
      <c r="U879">
        <v>22.58</v>
      </c>
      <c r="V879">
        <v>81.28</v>
      </c>
    </row>
    <row r="880" spans="1:22" x14ac:dyDescent="0.3">
      <c r="A880" s="2" t="s">
        <v>15</v>
      </c>
      <c r="B880">
        <v>560026</v>
      </c>
      <c r="C880" s="3">
        <v>44362</v>
      </c>
      <c r="D880">
        <v>15.79</v>
      </c>
      <c r="E880">
        <v>35.61</v>
      </c>
      <c r="F880">
        <v>10.029999999999999</v>
      </c>
      <c r="G880">
        <v>20.63</v>
      </c>
      <c r="H880">
        <v>10.210000000000001</v>
      </c>
      <c r="I880">
        <v>0.33</v>
      </c>
      <c r="J880">
        <v>8.5399999999999991</v>
      </c>
      <c r="K880">
        <f t="shared" ref="K880:K943" si="140">IF(ISTEXT(D880),0,IF(D880&lt;=30,D880*50/30,IF(AND(D880&gt;30,D880&lt;=60),50+(D880-30)*50/30,IF(AND(D880&gt;60,D880&lt;=90),100+(D880-60)*100/30,IF(AND(D880&gt;90,D880&lt;=120),200+(D880-90)*(100/30),IF(AND(D880&gt;120,D880&lt;=250),300+(D880-120)*(100/130),IF(D880&gt;250,400+(D880-250)*(100/130))))))))</f>
        <v>26.316666666666666</v>
      </c>
      <c r="L880">
        <f t="shared" ref="L880:L943" si="141">IF(ISTEXT(E880),0,IF(E880&lt;=50,E880,IF(AND(E880&gt;50,E880&lt;=100),E880,IF(AND(E880&gt;100,E880&lt;=250),100+(E880-100)*100/150,IF(AND(E880&gt;250,E880&lt;=350),200+(E880-250),IF(AND(E880&gt;350,E880&lt;=430),300+(E880-350)*(100/80),IF(E880&gt;430,400+(E880-430)*(100/80))))))))</f>
        <v>35.61</v>
      </c>
      <c r="M880">
        <f t="shared" ref="M880:M943" si="142">IF(ISTEXT(F880),0,IF(F880&lt;=40,F880*50/40,IF(AND(F880&gt;40,F880&lt;=80),50+(F880-40)*50/40,IF(AND(F880&gt;80,F880&lt;=180),100+(F880-80)*100/100,IF(AND(F880&gt;180,F880&lt;=280),200+(F880-180)*(100/100),IF(AND(F880&gt;280,F880&lt;=400),300+(F880-280)*(100/120),IF(F880&gt;400,400+(F880-400)*(100/120))))))))</f>
        <v>12.537499999999998</v>
      </c>
      <c r="N880">
        <f t="shared" ref="N880:N943" si="143">IF(ISTEXT(G880),0,IF(G880&lt;=200,G880*50/200,IF(AND(G880&gt;200,G880&lt;=400),50+(G880-200)*50/200,IF(AND(G880&gt;400,G880&lt;=800),100+(G880-400)*100/400,IF(AND(G880&gt;800,G880&lt;=1200),200+(G880-800)*(100/400),IF(AND(G880&gt;1200,G880&lt;=1800),300+(G880-1200)*(100/600),IF(G880&gt;1800,400+(G880-1800)*(100/600))))))))</f>
        <v>5.1574999999999998</v>
      </c>
      <c r="O880">
        <f t="shared" ref="O880:O943" si="144">IF(ISTEXT(H880),0,IF(H880&lt;=40,H880*50/40,IF(AND(H880&gt;40,H880&lt;=80),50+(H880-40)*50/40,IF(AND(H880&gt;80,H880&lt;=380),100+(H880-80)*100/300,IF(AND(H880&gt;380,H880&lt;=800),200+(H880-380)*(100/420),IF(AND(H880&gt;800,H880&lt;=1600),300+(H880-800)*(100/800),IF(H880&gt;1600,400+(H880-1600)*(100/800))))))))</f>
        <v>12.762500000000001</v>
      </c>
      <c r="P880">
        <f t="shared" ref="P880:P943" si="145">IF(I880&lt;=4.4,(50-0)/(4.4-0)*(I880-0)+0,
IF(I880&lt;=9.4,(100-51)/(9.4-4.5)*(I880-4.5)+51,
IF(I880&lt;=12.4,(150-101)/(12.4-9.5)*(I880-9.5)+101,
IF(I880&lt;=15.4,(200-151)/(15.4-12.5)*(I880-12.5)+151,
IF(I880&lt;=30.4,(300-201)/(30.4-15.5)*(I880-15.5)+201,
(500-301)/(50.4-30.5)*(I880-30.5)+301)))))</f>
        <v>3.75</v>
      </c>
      <c r="Q880">
        <f t="shared" ref="Q880:Q943" si="146">IF(J880&lt;=54,(50-0)/(54-0)*(J880-0)+0,
IF(J880&lt;=70,(100-51)/(70-55)*(J880-55)+51,
IF(J880&lt;=85,(150-101)/(85-71)*(J880-71)+101,
IF(J880&lt;=105,(200-151)/(105-86)*(J880-86)+151,
IF(J880&lt;=200,(300-201)/(200-106)*(J880-106)+201,
(500-301)/(300-201)*(J880-201)+301)))))</f>
        <v>7.9074074074074066</v>
      </c>
      <c r="R880">
        <f t="shared" ref="R880:R943" si="147">MAX(K880:Q880)</f>
        <v>35.61</v>
      </c>
      <c r="S880" t="str">
        <f t="shared" ref="S880:S943" si="148">IF(R880&lt;=50,"Good",
IF(R880&lt;=100,"Satisfactory",
IF(R880&lt;=200,"Moderate",
IF(R880&lt;=300,"Poor",
IF(R880&lt;=400,"Very Poor",
"Severe")))))</f>
        <v>Good</v>
      </c>
      <c r="T880" t="str">
        <f t="shared" ref="T880:T943" si="149">IF(MAX(K880:Q880)=K880,"PM2.5",
IF(MAX(K880:Q880)=L880,"PM10",
IF(MAX(K880:Q880)=M880,"NO2",
IF(MAX(K880:Q880)=N880,"NH3",
IF(MAX(K880:Q880)=O880,"SO2",
IF(MAX(K880:Q880)=P880,"CO",
IF(MAX(K880:Q880)=Q880,"OZONE","")))))))</f>
        <v>PM10</v>
      </c>
      <c r="U880">
        <v>22.7</v>
      </c>
      <c r="V880">
        <v>82.81</v>
      </c>
    </row>
    <row r="881" spans="1:22" x14ac:dyDescent="0.3">
      <c r="A881" s="2" t="s">
        <v>15</v>
      </c>
      <c r="B881">
        <v>560026</v>
      </c>
      <c r="C881" s="3">
        <v>44363</v>
      </c>
      <c r="D881">
        <v>15.87</v>
      </c>
      <c r="E881">
        <v>50.65</v>
      </c>
      <c r="F881">
        <v>9.7100000000000009</v>
      </c>
      <c r="G881">
        <v>20.350000000000001</v>
      </c>
      <c r="H881">
        <v>11.24</v>
      </c>
      <c r="I881">
        <v>0.32</v>
      </c>
      <c r="J881">
        <v>7.83</v>
      </c>
      <c r="K881">
        <f t="shared" si="140"/>
        <v>26.45</v>
      </c>
      <c r="L881">
        <f t="shared" si="141"/>
        <v>50.65</v>
      </c>
      <c r="M881">
        <f t="shared" si="142"/>
        <v>12.137500000000001</v>
      </c>
      <c r="N881">
        <f t="shared" si="143"/>
        <v>5.0875000000000004</v>
      </c>
      <c r="O881">
        <f t="shared" si="144"/>
        <v>14.05</v>
      </c>
      <c r="P881">
        <f t="shared" si="145"/>
        <v>3.6363636363636362</v>
      </c>
      <c r="Q881">
        <f t="shared" si="146"/>
        <v>7.25</v>
      </c>
      <c r="R881">
        <f t="shared" si="147"/>
        <v>50.65</v>
      </c>
      <c r="S881" t="str">
        <f t="shared" si="148"/>
        <v>Satisfactory</v>
      </c>
      <c r="T881" t="str">
        <f t="shared" si="149"/>
        <v>PM10</v>
      </c>
      <c r="U881">
        <v>23.12</v>
      </c>
      <c r="V881">
        <v>82.8</v>
      </c>
    </row>
    <row r="882" spans="1:22" x14ac:dyDescent="0.3">
      <c r="A882" s="2" t="s">
        <v>15</v>
      </c>
      <c r="B882">
        <v>560026</v>
      </c>
      <c r="C882" s="3">
        <v>44364</v>
      </c>
      <c r="D882">
        <v>13.4</v>
      </c>
      <c r="E882">
        <v>51.77</v>
      </c>
      <c r="F882">
        <v>9.74</v>
      </c>
      <c r="G882">
        <v>22.03</v>
      </c>
      <c r="H882">
        <v>5.62</v>
      </c>
      <c r="I882">
        <v>0.33</v>
      </c>
      <c r="J882">
        <v>8.3800000000000008</v>
      </c>
      <c r="K882">
        <f t="shared" si="140"/>
        <v>22.333333333333332</v>
      </c>
      <c r="L882">
        <f t="shared" si="141"/>
        <v>51.77</v>
      </c>
      <c r="M882">
        <f t="shared" si="142"/>
        <v>12.175000000000001</v>
      </c>
      <c r="N882">
        <f t="shared" si="143"/>
        <v>5.5075000000000003</v>
      </c>
      <c r="O882">
        <f t="shared" si="144"/>
        <v>7.0250000000000004</v>
      </c>
      <c r="P882">
        <f t="shared" si="145"/>
        <v>3.75</v>
      </c>
      <c r="Q882">
        <f t="shared" si="146"/>
        <v>7.7592592592592604</v>
      </c>
      <c r="R882">
        <f t="shared" si="147"/>
        <v>51.77</v>
      </c>
      <c r="S882" t="str">
        <f t="shared" si="148"/>
        <v>Satisfactory</v>
      </c>
      <c r="T882" t="str">
        <f t="shared" si="149"/>
        <v>PM10</v>
      </c>
      <c r="U882">
        <v>23.44</v>
      </c>
      <c r="V882">
        <v>78.47</v>
      </c>
    </row>
    <row r="883" spans="1:22" x14ac:dyDescent="0.3">
      <c r="A883" s="2" t="s">
        <v>15</v>
      </c>
      <c r="B883">
        <v>560026</v>
      </c>
      <c r="C883" s="3">
        <v>44365</v>
      </c>
      <c r="D883">
        <v>24.49</v>
      </c>
      <c r="E883">
        <v>72.819999999999993</v>
      </c>
      <c r="F883">
        <v>9.83</v>
      </c>
      <c r="G883">
        <v>22.5</v>
      </c>
      <c r="H883">
        <v>6.86</v>
      </c>
      <c r="I883">
        <v>0.34</v>
      </c>
      <c r="J883">
        <v>9.17</v>
      </c>
      <c r="K883">
        <f t="shared" si="140"/>
        <v>40.81666666666667</v>
      </c>
      <c r="L883">
        <f t="shared" si="141"/>
        <v>72.819999999999993</v>
      </c>
      <c r="M883">
        <f t="shared" si="142"/>
        <v>12.2875</v>
      </c>
      <c r="N883">
        <f t="shared" si="143"/>
        <v>5.625</v>
      </c>
      <c r="O883">
        <f t="shared" si="144"/>
        <v>8.5749999999999993</v>
      </c>
      <c r="P883">
        <f t="shared" si="145"/>
        <v>3.8636363636363638</v>
      </c>
      <c r="Q883">
        <f t="shared" si="146"/>
        <v>8.4907407407407405</v>
      </c>
      <c r="R883">
        <f t="shared" si="147"/>
        <v>72.819999999999993</v>
      </c>
      <c r="S883" t="str">
        <f t="shared" si="148"/>
        <v>Satisfactory</v>
      </c>
      <c r="T883" t="str">
        <f t="shared" si="149"/>
        <v>PM10</v>
      </c>
      <c r="U883">
        <v>23.46</v>
      </c>
      <c r="V883">
        <v>76.400000000000006</v>
      </c>
    </row>
    <row r="884" spans="1:22" x14ac:dyDescent="0.3">
      <c r="A884" s="2" t="s">
        <v>15</v>
      </c>
      <c r="B884">
        <v>560026</v>
      </c>
      <c r="C884" s="3">
        <v>44366</v>
      </c>
      <c r="D884">
        <v>24.68</v>
      </c>
      <c r="E884">
        <v>74.989999999999995</v>
      </c>
      <c r="F884">
        <v>7.57</v>
      </c>
      <c r="G884">
        <v>19.329999999999998</v>
      </c>
      <c r="H884">
        <v>9.5399999999999991</v>
      </c>
      <c r="I884">
        <v>0.43</v>
      </c>
      <c r="J884">
        <v>16.149999999999999</v>
      </c>
      <c r="K884">
        <f t="shared" si="140"/>
        <v>41.133333333333333</v>
      </c>
      <c r="L884">
        <f t="shared" si="141"/>
        <v>74.989999999999995</v>
      </c>
      <c r="M884">
        <f t="shared" si="142"/>
        <v>9.4625000000000004</v>
      </c>
      <c r="N884">
        <f t="shared" si="143"/>
        <v>4.8324999999999996</v>
      </c>
      <c r="O884">
        <f t="shared" si="144"/>
        <v>11.924999999999999</v>
      </c>
      <c r="P884">
        <f t="shared" si="145"/>
        <v>4.8863636363636358</v>
      </c>
      <c r="Q884">
        <f t="shared" si="146"/>
        <v>14.953703703703702</v>
      </c>
      <c r="R884">
        <f t="shared" si="147"/>
        <v>74.989999999999995</v>
      </c>
      <c r="S884" t="str">
        <f t="shared" si="148"/>
        <v>Satisfactory</v>
      </c>
      <c r="T884" t="str">
        <f t="shared" si="149"/>
        <v>PM10</v>
      </c>
      <c r="U884">
        <v>23.57</v>
      </c>
      <c r="V884">
        <v>75.650000000000006</v>
      </c>
    </row>
    <row r="885" spans="1:22" x14ac:dyDescent="0.3">
      <c r="A885" s="2" t="s">
        <v>15</v>
      </c>
      <c r="B885">
        <v>560026</v>
      </c>
      <c r="C885" s="3">
        <v>44367</v>
      </c>
      <c r="D885">
        <v>15.9</v>
      </c>
      <c r="E885">
        <v>59.56</v>
      </c>
      <c r="F885">
        <v>8.3699999999999992</v>
      </c>
      <c r="G885">
        <v>20.13</v>
      </c>
      <c r="H885">
        <v>8.16</v>
      </c>
      <c r="I885">
        <v>0.53</v>
      </c>
      <c r="J885">
        <v>23.97</v>
      </c>
      <c r="K885">
        <f t="shared" si="140"/>
        <v>26.5</v>
      </c>
      <c r="L885">
        <f t="shared" si="141"/>
        <v>59.56</v>
      </c>
      <c r="M885">
        <f t="shared" si="142"/>
        <v>10.462499999999999</v>
      </c>
      <c r="N885">
        <f t="shared" si="143"/>
        <v>5.0324999999999998</v>
      </c>
      <c r="O885">
        <f t="shared" si="144"/>
        <v>10.199999999999999</v>
      </c>
      <c r="P885">
        <f t="shared" si="145"/>
        <v>6.0227272727272725</v>
      </c>
      <c r="Q885">
        <f t="shared" si="146"/>
        <v>22.194444444444443</v>
      </c>
      <c r="R885">
        <f t="shared" si="147"/>
        <v>59.56</v>
      </c>
      <c r="S885" t="str">
        <f t="shared" si="148"/>
        <v>Satisfactory</v>
      </c>
      <c r="T885" t="str">
        <f t="shared" si="149"/>
        <v>PM10</v>
      </c>
      <c r="U885">
        <v>24.26</v>
      </c>
      <c r="V885">
        <v>72.95</v>
      </c>
    </row>
    <row r="886" spans="1:22" x14ac:dyDescent="0.3">
      <c r="A886" s="2" t="s">
        <v>15</v>
      </c>
      <c r="B886">
        <v>560026</v>
      </c>
      <c r="C886" s="3">
        <v>44368</v>
      </c>
      <c r="D886">
        <v>15.72</v>
      </c>
      <c r="E886">
        <v>53.38</v>
      </c>
      <c r="F886">
        <v>12.43</v>
      </c>
      <c r="G886">
        <v>23.84</v>
      </c>
      <c r="H886">
        <v>8.58</v>
      </c>
      <c r="I886">
        <v>0.45</v>
      </c>
      <c r="J886">
        <v>19.22</v>
      </c>
      <c r="K886">
        <f t="shared" si="140"/>
        <v>26.2</v>
      </c>
      <c r="L886">
        <f t="shared" si="141"/>
        <v>53.38</v>
      </c>
      <c r="M886">
        <f t="shared" si="142"/>
        <v>15.5375</v>
      </c>
      <c r="N886">
        <f t="shared" si="143"/>
        <v>5.96</v>
      </c>
      <c r="O886">
        <f t="shared" si="144"/>
        <v>10.725</v>
      </c>
      <c r="P886">
        <f t="shared" si="145"/>
        <v>5.1136363636363633</v>
      </c>
      <c r="Q886">
        <f t="shared" si="146"/>
        <v>17.796296296296294</v>
      </c>
      <c r="R886">
        <f t="shared" si="147"/>
        <v>53.38</v>
      </c>
      <c r="S886" t="str">
        <f t="shared" si="148"/>
        <v>Satisfactory</v>
      </c>
      <c r="T886" t="str">
        <f t="shared" si="149"/>
        <v>PM10</v>
      </c>
      <c r="U886">
        <v>24.29</v>
      </c>
      <c r="V886">
        <v>74.680000000000007</v>
      </c>
    </row>
    <row r="887" spans="1:22" x14ac:dyDescent="0.3">
      <c r="A887" s="2" t="s">
        <v>15</v>
      </c>
      <c r="B887">
        <v>560026</v>
      </c>
      <c r="C887" s="3">
        <v>44369</v>
      </c>
      <c r="D887">
        <v>24.78</v>
      </c>
      <c r="E887">
        <v>88.74</v>
      </c>
      <c r="F887">
        <v>17.2</v>
      </c>
      <c r="G887">
        <v>27.28</v>
      </c>
      <c r="H887">
        <v>7.56</v>
      </c>
      <c r="I887">
        <v>0.41</v>
      </c>
      <c r="J887">
        <v>17.39</v>
      </c>
      <c r="K887">
        <f t="shared" si="140"/>
        <v>41.3</v>
      </c>
      <c r="L887">
        <f t="shared" si="141"/>
        <v>88.74</v>
      </c>
      <c r="M887">
        <f t="shared" si="142"/>
        <v>21.5</v>
      </c>
      <c r="N887">
        <f t="shared" si="143"/>
        <v>6.82</v>
      </c>
      <c r="O887">
        <f t="shared" si="144"/>
        <v>9.4499999999999993</v>
      </c>
      <c r="P887">
        <f t="shared" si="145"/>
        <v>4.6590909090909083</v>
      </c>
      <c r="Q887">
        <f t="shared" si="146"/>
        <v>16.101851851851851</v>
      </c>
      <c r="R887">
        <f t="shared" si="147"/>
        <v>88.74</v>
      </c>
      <c r="S887" t="str">
        <f t="shared" si="148"/>
        <v>Satisfactory</v>
      </c>
      <c r="T887" t="str">
        <f t="shared" si="149"/>
        <v>PM10</v>
      </c>
      <c r="U887">
        <v>24.31</v>
      </c>
      <c r="V887">
        <v>72.28</v>
      </c>
    </row>
    <row r="888" spans="1:22" x14ac:dyDescent="0.3">
      <c r="A888" s="2" t="s">
        <v>15</v>
      </c>
      <c r="B888">
        <v>560026</v>
      </c>
      <c r="C888" s="3">
        <v>44370</v>
      </c>
      <c r="D888">
        <v>29.86</v>
      </c>
      <c r="E888">
        <v>89.35</v>
      </c>
      <c r="F888">
        <v>16.350000000000001</v>
      </c>
      <c r="G888">
        <v>31.25</v>
      </c>
      <c r="H888">
        <v>7.29</v>
      </c>
      <c r="I888">
        <v>0.4</v>
      </c>
      <c r="J888">
        <v>16.88</v>
      </c>
      <c r="K888">
        <f t="shared" si="140"/>
        <v>49.766666666666666</v>
      </c>
      <c r="L888">
        <f t="shared" si="141"/>
        <v>89.35</v>
      </c>
      <c r="M888">
        <f t="shared" si="142"/>
        <v>20.437500000000004</v>
      </c>
      <c r="N888">
        <f t="shared" si="143"/>
        <v>7.8125</v>
      </c>
      <c r="O888">
        <f t="shared" si="144"/>
        <v>9.1125000000000007</v>
      </c>
      <c r="P888">
        <f t="shared" si="145"/>
        <v>4.5454545454545459</v>
      </c>
      <c r="Q888">
        <f t="shared" si="146"/>
        <v>15.629629629629628</v>
      </c>
      <c r="R888">
        <f t="shared" si="147"/>
        <v>89.35</v>
      </c>
      <c r="S888" t="str">
        <f t="shared" si="148"/>
        <v>Satisfactory</v>
      </c>
      <c r="T888" t="str">
        <f t="shared" si="149"/>
        <v>PM10</v>
      </c>
      <c r="U888">
        <v>25.14</v>
      </c>
      <c r="V888">
        <v>72.849999999999994</v>
      </c>
    </row>
    <row r="889" spans="1:22" x14ac:dyDescent="0.3">
      <c r="A889" s="2" t="s">
        <v>15</v>
      </c>
      <c r="B889">
        <v>560026</v>
      </c>
      <c r="C889" s="3">
        <v>44371</v>
      </c>
      <c r="D889">
        <v>24.71</v>
      </c>
      <c r="E889">
        <v>78.37</v>
      </c>
      <c r="F889">
        <v>12.84</v>
      </c>
      <c r="G889">
        <v>28.05</v>
      </c>
      <c r="H889">
        <v>5.63</v>
      </c>
      <c r="I889">
        <v>0.44</v>
      </c>
      <c r="J889">
        <v>18.75</v>
      </c>
      <c r="K889">
        <f t="shared" si="140"/>
        <v>41.18333333333333</v>
      </c>
      <c r="L889">
        <f t="shared" si="141"/>
        <v>78.37</v>
      </c>
      <c r="M889">
        <f t="shared" si="142"/>
        <v>16.05</v>
      </c>
      <c r="N889">
        <f t="shared" si="143"/>
        <v>7.0125000000000002</v>
      </c>
      <c r="O889">
        <f t="shared" si="144"/>
        <v>7.0374999999999996</v>
      </c>
      <c r="P889">
        <f t="shared" si="145"/>
        <v>5</v>
      </c>
      <c r="Q889">
        <f t="shared" si="146"/>
        <v>17.361111111111111</v>
      </c>
      <c r="R889">
        <f t="shared" si="147"/>
        <v>78.37</v>
      </c>
      <c r="S889" t="str">
        <f t="shared" si="148"/>
        <v>Satisfactory</v>
      </c>
      <c r="T889" t="str">
        <f t="shared" si="149"/>
        <v>PM10</v>
      </c>
      <c r="U889">
        <v>24.69</v>
      </c>
      <c r="V889">
        <v>71.67</v>
      </c>
    </row>
    <row r="890" spans="1:22" x14ac:dyDescent="0.3">
      <c r="A890" s="2" t="s">
        <v>15</v>
      </c>
      <c r="B890">
        <v>560026</v>
      </c>
      <c r="C890" s="3">
        <v>44372</v>
      </c>
      <c r="D890">
        <v>38.26</v>
      </c>
      <c r="E890">
        <v>99.54</v>
      </c>
      <c r="F890">
        <v>13.38</v>
      </c>
      <c r="G890">
        <v>25.89</v>
      </c>
      <c r="H890">
        <v>8.2200000000000006</v>
      </c>
      <c r="I890">
        <v>0.51</v>
      </c>
      <c r="J890">
        <v>22.35</v>
      </c>
      <c r="K890">
        <f t="shared" si="140"/>
        <v>63.766666666666666</v>
      </c>
      <c r="L890">
        <f t="shared" si="141"/>
        <v>99.54</v>
      </c>
      <c r="M890">
        <f t="shared" si="142"/>
        <v>16.725000000000001</v>
      </c>
      <c r="N890">
        <f t="shared" si="143"/>
        <v>6.4725000000000001</v>
      </c>
      <c r="O890">
        <f t="shared" si="144"/>
        <v>10.275000000000002</v>
      </c>
      <c r="P890">
        <f t="shared" si="145"/>
        <v>5.795454545454545</v>
      </c>
      <c r="Q890">
        <f t="shared" si="146"/>
        <v>20.694444444444446</v>
      </c>
      <c r="R890">
        <f t="shared" si="147"/>
        <v>99.54</v>
      </c>
      <c r="S890" t="str">
        <f t="shared" si="148"/>
        <v>Satisfactory</v>
      </c>
      <c r="T890" t="str">
        <f t="shared" si="149"/>
        <v>PM10</v>
      </c>
      <c r="U890">
        <v>24.6</v>
      </c>
      <c r="V890">
        <v>68.38</v>
      </c>
    </row>
    <row r="891" spans="1:22" x14ac:dyDescent="0.3">
      <c r="A891" s="2" t="s">
        <v>15</v>
      </c>
      <c r="B891">
        <v>560026</v>
      </c>
      <c r="C891" s="3">
        <v>44373</v>
      </c>
      <c r="D891">
        <v>24.84</v>
      </c>
      <c r="E891">
        <v>60.23</v>
      </c>
      <c r="F891">
        <v>12.4</v>
      </c>
      <c r="G891">
        <v>23.66</v>
      </c>
      <c r="H891">
        <v>3.87</v>
      </c>
      <c r="I891">
        <v>0.44</v>
      </c>
      <c r="J891">
        <v>18.75</v>
      </c>
      <c r="K891">
        <f t="shared" si="140"/>
        <v>41.4</v>
      </c>
      <c r="L891">
        <f t="shared" si="141"/>
        <v>60.23</v>
      </c>
      <c r="M891">
        <f t="shared" si="142"/>
        <v>15.5</v>
      </c>
      <c r="N891">
        <f t="shared" si="143"/>
        <v>5.915</v>
      </c>
      <c r="O891">
        <f t="shared" si="144"/>
        <v>4.8375000000000004</v>
      </c>
      <c r="P891">
        <f t="shared" si="145"/>
        <v>5</v>
      </c>
      <c r="Q891">
        <f t="shared" si="146"/>
        <v>17.361111111111111</v>
      </c>
      <c r="R891">
        <f t="shared" si="147"/>
        <v>60.23</v>
      </c>
      <c r="S891" t="str">
        <f t="shared" si="148"/>
        <v>Satisfactory</v>
      </c>
      <c r="T891" t="str">
        <f t="shared" si="149"/>
        <v>PM10</v>
      </c>
      <c r="U891">
        <v>22.92</v>
      </c>
      <c r="V891">
        <v>80.8</v>
      </c>
    </row>
    <row r="892" spans="1:22" x14ac:dyDescent="0.3">
      <c r="A892" s="2" t="s">
        <v>15</v>
      </c>
      <c r="B892">
        <v>560026</v>
      </c>
      <c r="C892" s="3">
        <v>44374</v>
      </c>
      <c r="D892">
        <v>8</v>
      </c>
      <c r="E892">
        <v>33.01</v>
      </c>
      <c r="F892">
        <v>10.84</v>
      </c>
      <c r="G892">
        <v>21.96</v>
      </c>
      <c r="H892">
        <v>9.99</v>
      </c>
      <c r="I892">
        <v>0.44</v>
      </c>
      <c r="J892">
        <v>18.78</v>
      </c>
      <c r="K892">
        <f t="shared" si="140"/>
        <v>13.333333333333334</v>
      </c>
      <c r="L892">
        <f t="shared" si="141"/>
        <v>33.01</v>
      </c>
      <c r="M892">
        <f t="shared" si="142"/>
        <v>13.55</v>
      </c>
      <c r="N892">
        <f t="shared" si="143"/>
        <v>5.49</v>
      </c>
      <c r="O892">
        <f t="shared" si="144"/>
        <v>12.487500000000001</v>
      </c>
      <c r="P892">
        <f t="shared" si="145"/>
        <v>5</v>
      </c>
      <c r="Q892">
        <f t="shared" si="146"/>
        <v>17.388888888888889</v>
      </c>
      <c r="R892">
        <f t="shared" si="147"/>
        <v>33.01</v>
      </c>
      <c r="S892" t="str">
        <f t="shared" si="148"/>
        <v>Good</v>
      </c>
      <c r="T892" t="str">
        <f t="shared" si="149"/>
        <v>PM10</v>
      </c>
      <c r="U892">
        <v>22.57</v>
      </c>
      <c r="V892">
        <v>83.35</v>
      </c>
    </row>
    <row r="893" spans="1:22" x14ac:dyDescent="0.3">
      <c r="A893" s="2" t="s">
        <v>15</v>
      </c>
      <c r="B893">
        <v>560026</v>
      </c>
      <c r="C893" s="3">
        <v>44375</v>
      </c>
      <c r="D893">
        <v>59</v>
      </c>
      <c r="E893">
        <v>64.87</v>
      </c>
      <c r="F893">
        <v>17.59</v>
      </c>
      <c r="G893">
        <v>31.31</v>
      </c>
      <c r="H893">
        <v>6.27</v>
      </c>
      <c r="I893">
        <v>0.4</v>
      </c>
      <c r="J893">
        <v>17.16</v>
      </c>
      <c r="K893">
        <f t="shared" si="140"/>
        <v>98.333333333333343</v>
      </c>
      <c r="L893">
        <f t="shared" si="141"/>
        <v>64.87</v>
      </c>
      <c r="M893">
        <f t="shared" si="142"/>
        <v>21.987500000000001</v>
      </c>
      <c r="N893">
        <f t="shared" si="143"/>
        <v>7.8274999999999997</v>
      </c>
      <c r="O893">
        <f t="shared" si="144"/>
        <v>7.8375000000000004</v>
      </c>
      <c r="P893">
        <f t="shared" si="145"/>
        <v>4.5454545454545459</v>
      </c>
      <c r="Q893">
        <f t="shared" si="146"/>
        <v>15.888888888888889</v>
      </c>
      <c r="R893">
        <f t="shared" si="147"/>
        <v>98.333333333333343</v>
      </c>
      <c r="S893" t="str">
        <f t="shared" si="148"/>
        <v>Satisfactory</v>
      </c>
      <c r="T893" t="str">
        <f t="shared" si="149"/>
        <v>PM2.5</v>
      </c>
      <c r="U893">
        <v>23.94</v>
      </c>
      <c r="V893">
        <v>76.16</v>
      </c>
    </row>
    <row r="894" spans="1:22" x14ac:dyDescent="0.3">
      <c r="A894" s="2" t="s">
        <v>15</v>
      </c>
      <c r="B894">
        <v>560026</v>
      </c>
      <c r="C894" s="3">
        <v>44376</v>
      </c>
      <c r="D894">
        <v>26.51</v>
      </c>
      <c r="E894">
        <v>60.43</v>
      </c>
      <c r="F894">
        <v>15.95</v>
      </c>
      <c r="G894">
        <v>32.700000000000003</v>
      </c>
      <c r="H894">
        <v>4.5</v>
      </c>
      <c r="I894">
        <v>0.67</v>
      </c>
      <c r="J894">
        <v>32.44</v>
      </c>
      <c r="K894">
        <f t="shared" si="140"/>
        <v>44.18333333333333</v>
      </c>
      <c r="L894">
        <f t="shared" si="141"/>
        <v>60.43</v>
      </c>
      <c r="M894">
        <f t="shared" si="142"/>
        <v>19.9375</v>
      </c>
      <c r="N894">
        <f t="shared" si="143"/>
        <v>8.1750000000000007</v>
      </c>
      <c r="O894">
        <f t="shared" si="144"/>
        <v>5.625</v>
      </c>
      <c r="P894">
        <f t="shared" si="145"/>
        <v>7.6136363636363642</v>
      </c>
      <c r="Q894">
        <f t="shared" si="146"/>
        <v>30.037037037037035</v>
      </c>
      <c r="R894">
        <f t="shared" si="147"/>
        <v>60.43</v>
      </c>
      <c r="S894" t="str">
        <f t="shared" si="148"/>
        <v>Satisfactory</v>
      </c>
      <c r="T894" t="str">
        <f t="shared" si="149"/>
        <v>PM10</v>
      </c>
      <c r="U894">
        <v>28.11</v>
      </c>
      <c r="V894">
        <v>63.64</v>
      </c>
    </row>
    <row r="895" spans="1:22" x14ac:dyDescent="0.3">
      <c r="A895" s="2" t="s">
        <v>15</v>
      </c>
      <c r="B895">
        <v>560026</v>
      </c>
      <c r="C895" s="3">
        <v>44377</v>
      </c>
      <c r="D895">
        <v>24.4</v>
      </c>
      <c r="E895">
        <v>52.69</v>
      </c>
      <c r="F895">
        <v>16.79</v>
      </c>
      <c r="G895">
        <v>32.35</v>
      </c>
      <c r="H895">
        <v>6.47</v>
      </c>
      <c r="I895">
        <v>0.59</v>
      </c>
      <c r="J895">
        <v>26.91</v>
      </c>
      <c r="K895">
        <f t="shared" si="140"/>
        <v>40.666666666666664</v>
      </c>
      <c r="L895">
        <f t="shared" si="141"/>
        <v>52.69</v>
      </c>
      <c r="M895">
        <f t="shared" si="142"/>
        <v>20.987500000000001</v>
      </c>
      <c r="N895">
        <f t="shared" si="143"/>
        <v>8.0875000000000004</v>
      </c>
      <c r="O895">
        <f t="shared" si="144"/>
        <v>8.0875000000000004</v>
      </c>
      <c r="P895">
        <f t="shared" si="145"/>
        <v>6.7045454545454541</v>
      </c>
      <c r="Q895">
        <f t="shared" si="146"/>
        <v>24.916666666666668</v>
      </c>
      <c r="R895">
        <f t="shared" si="147"/>
        <v>52.69</v>
      </c>
      <c r="S895" t="str">
        <f t="shared" si="148"/>
        <v>Satisfactory</v>
      </c>
      <c r="T895" t="str">
        <f t="shared" si="149"/>
        <v>PM10</v>
      </c>
      <c r="U895">
        <v>27.4</v>
      </c>
      <c r="V895">
        <v>64.86</v>
      </c>
    </row>
    <row r="896" spans="1:22" x14ac:dyDescent="0.3">
      <c r="A896" s="2" t="s">
        <v>15</v>
      </c>
      <c r="B896">
        <v>560026</v>
      </c>
      <c r="C896" s="3">
        <v>44378</v>
      </c>
      <c r="D896">
        <v>22.49</v>
      </c>
      <c r="E896">
        <v>41.21</v>
      </c>
      <c r="F896">
        <v>13.54</v>
      </c>
      <c r="G896">
        <v>29.24</v>
      </c>
      <c r="H896">
        <v>7.29</v>
      </c>
      <c r="I896">
        <v>0.47</v>
      </c>
      <c r="J896">
        <v>20.059999999999999</v>
      </c>
      <c r="K896">
        <f t="shared" si="140"/>
        <v>37.483333333333334</v>
      </c>
      <c r="L896">
        <f t="shared" si="141"/>
        <v>41.21</v>
      </c>
      <c r="M896">
        <f t="shared" si="142"/>
        <v>16.925000000000001</v>
      </c>
      <c r="N896">
        <f t="shared" si="143"/>
        <v>7.31</v>
      </c>
      <c r="O896">
        <f t="shared" si="144"/>
        <v>9.1125000000000007</v>
      </c>
      <c r="P896">
        <f t="shared" si="145"/>
        <v>5.3409090909090908</v>
      </c>
      <c r="Q896">
        <f t="shared" si="146"/>
        <v>18.574074074074073</v>
      </c>
      <c r="R896">
        <f t="shared" si="147"/>
        <v>41.21</v>
      </c>
      <c r="S896" t="str">
        <f t="shared" si="148"/>
        <v>Good</v>
      </c>
      <c r="T896" t="str">
        <f t="shared" si="149"/>
        <v>PM10</v>
      </c>
      <c r="U896">
        <v>26.28</v>
      </c>
      <c r="V896">
        <v>71.489999999999995</v>
      </c>
    </row>
    <row r="897" spans="1:22" x14ac:dyDescent="0.3">
      <c r="A897" s="2" t="s">
        <v>15</v>
      </c>
      <c r="B897">
        <v>560026</v>
      </c>
      <c r="C897" s="3">
        <v>44379</v>
      </c>
      <c r="D897">
        <v>13.09</v>
      </c>
      <c r="E897">
        <v>23.86</v>
      </c>
      <c r="F897">
        <v>12.55</v>
      </c>
      <c r="G897">
        <v>26.92</v>
      </c>
      <c r="H897">
        <v>3.14</v>
      </c>
      <c r="I897">
        <v>0.39</v>
      </c>
      <c r="J897">
        <v>15.89</v>
      </c>
      <c r="K897">
        <f t="shared" si="140"/>
        <v>21.816666666666666</v>
      </c>
      <c r="L897">
        <f t="shared" si="141"/>
        <v>23.86</v>
      </c>
      <c r="M897">
        <f t="shared" si="142"/>
        <v>15.6875</v>
      </c>
      <c r="N897">
        <f t="shared" si="143"/>
        <v>6.73</v>
      </c>
      <c r="O897">
        <f t="shared" si="144"/>
        <v>3.9249999999999998</v>
      </c>
      <c r="P897">
        <f t="shared" si="145"/>
        <v>4.4318181818181817</v>
      </c>
      <c r="Q897">
        <f t="shared" si="146"/>
        <v>14.712962962962964</v>
      </c>
      <c r="R897">
        <f t="shared" si="147"/>
        <v>23.86</v>
      </c>
      <c r="S897" t="str">
        <f t="shared" si="148"/>
        <v>Good</v>
      </c>
      <c r="T897" t="str">
        <f t="shared" si="149"/>
        <v>PM10</v>
      </c>
      <c r="U897">
        <v>25.82</v>
      </c>
      <c r="V897">
        <v>69.5</v>
      </c>
    </row>
    <row r="898" spans="1:22" x14ac:dyDescent="0.3">
      <c r="A898" s="2" t="s">
        <v>15</v>
      </c>
      <c r="B898">
        <v>560026</v>
      </c>
      <c r="C898" s="3">
        <v>44380</v>
      </c>
      <c r="D898">
        <v>15.55</v>
      </c>
      <c r="E898">
        <v>38.93</v>
      </c>
      <c r="F898">
        <v>11.99</v>
      </c>
      <c r="G898">
        <v>23.96</v>
      </c>
      <c r="H898">
        <v>6.31</v>
      </c>
      <c r="I898">
        <v>0.49</v>
      </c>
      <c r="J898">
        <v>21.51</v>
      </c>
      <c r="K898">
        <f t="shared" si="140"/>
        <v>25.916666666666668</v>
      </c>
      <c r="L898">
        <f t="shared" si="141"/>
        <v>38.93</v>
      </c>
      <c r="M898">
        <f t="shared" si="142"/>
        <v>14.987500000000001</v>
      </c>
      <c r="N898">
        <f t="shared" si="143"/>
        <v>5.99</v>
      </c>
      <c r="O898">
        <f t="shared" si="144"/>
        <v>7.8875000000000002</v>
      </c>
      <c r="P898">
        <f t="shared" si="145"/>
        <v>5.5681818181818183</v>
      </c>
      <c r="Q898">
        <f t="shared" si="146"/>
        <v>19.916666666666668</v>
      </c>
      <c r="R898">
        <f t="shared" si="147"/>
        <v>38.93</v>
      </c>
      <c r="S898" t="str">
        <f t="shared" si="148"/>
        <v>Good</v>
      </c>
      <c r="T898" t="str">
        <f t="shared" si="149"/>
        <v>PM10</v>
      </c>
      <c r="U898">
        <v>25.9</v>
      </c>
      <c r="V898">
        <v>65.52</v>
      </c>
    </row>
    <row r="899" spans="1:22" x14ac:dyDescent="0.3">
      <c r="A899" s="2" t="s">
        <v>15</v>
      </c>
      <c r="B899">
        <v>560026</v>
      </c>
      <c r="C899" s="3">
        <v>44381</v>
      </c>
      <c r="D899">
        <v>9.14</v>
      </c>
      <c r="E899">
        <v>25.42</v>
      </c>
      <c r="F899">
        <v>10.37</v>
      </c>
      <c r="G899">
        <v>23.98</v>
      </c>
      <c r="H899">
        <v>5.89</v>
      </c>
      <c r="I899">
        <v>0.52</v>
      </c>
      <c r="J899">
        <v>22.99</v>
      </c>
      <c r="K899">
        <f t="shared" si="140"/>
        <v>15.233333333333333</v>
      </c>
      <c r="L899">
        <f t="shared" si="141"/>
        <v>25.42</v>
      </c>
      <c r="M899">
        <f t="shared" si="142"/>
        <v>12.9625</v>
      </c>
      <c r="N899">
        <f t="shared" si="143"/>
        <v>5.9950000000000001</v>
      </c>
      <c r="O899">
        <f t="shared" si="144"/>
        <v>7.3624999999999998</v>
      </c>
      <c r="P899">
        <f t="shared" si="145"/>
        <v>5.9090909090909092</v>
      </c>
      <c r="Q899">
        <f t="shared" si="146"/>
        <v>21.287037037037035</v>
      </c>
      <c r="R899">
        <f t="shared" si="147"/>
        <v>25.42</v>
      </c>
      <c r="S899" t="str">
        <f t="shared" si="148"/>
        <v>Good</v>
      </c>
      <c r="T899" t="str">
        <f t="shared" si="149"/>
        <v>PM10</v>
      </c>
      <c r="U899">
        <v>25.17</v>
      </c>
      <c r="V899">
        <v>73.069999999999993</v>
      </c>
    </row>
    <row r="900" spans="1:22" x14ac:dyDescent="0.3">
      <c r="A900" s="2" t="s">
        <v>15</v>
      </c>
      <c r="B900">
        <v>560026</v>
      </c>
      <c r="C900" s="3">
        <v>44382</v>
      </c>
      <c r="D900">
        <v>21.7</v>
      </c>
      <c r="E900">
        <v>44.3</v>
      </c>
      <c r="F900">
        <v>17.77</v>
      </c>
      <c r="G900">
        <v>32.799999999999997</v>
      </c>
      <c r="H900">
        <v>5.55</v>
      </c>
      <c r="I900">
        <v>0.41</v>
      </c>
      <c r="J900">
        <v>17.079999999999998</v>
      </c>
      <c r="K900">
        <f t="shared" si="140"/>
        <v>36.166666666666664</v>
      </c>
      <c r="L900">
        <f t="shared" si="141"/>
        <v>44.3</v>
      </c>
      <c r="M900">
        <f t="shared" si="142"/>
        <v>22.212499999999999</v>
      </c>
      <c r="N900">
        <f t="shared" si="143"/>
        <v>8.1999999999999993</v>
      </c>
      <c r="O900">
        <f t="shared" si="144"/>
        <v>6.9375</v>
      </c>
      <c r="P900">
        <f t="shared" si="145"/>
        <v>4.6590909090909083</v>
      </c>
      <c r="Q900">
        <f t="shared" si="146"/>
        <v>15.814814814814813</v>
      </c>
      <c r="R900">
        <f t="shared" si="147"/>
        <v>44.3</v>
      </c>
      <c r="S900" t="str">
        <f t="shared" si="148"/>
        <v>Good</v>
      </c>
      <c r="T900" t="str">
        <f t="shared" si="149"/>
        <v>PM10</v>
      </c>
      <c r="U900">
        <v>24.97</v>
      </c>
      <c r="V900">
        <v>74.38</v>
      </c>
    </row>
    <row r="901" spans="1:22" x14ac:dyDescent="0.3">
      <c r="A901" s="2" t="s">
        <v>15</v>
      </c>
      <c r="B901">
        <v>560026</v>
      </c>
      <c r="C901" s="3">
        <v>44383</v>
      </c>
      <c r="D901">
        <v>28.93</v>
      </c>
      <c r="E901">
        <v>54.11</v>
      </c>
      <c r="F901">
        <v>19.52</v>
      </c>
      <c r="G901">
        <v>33.25</v>
      </c>
      <c r="H901">
        <v>5.79</v>
      </c>
      <c r="I901">
        <v>0.47</v>
      </c>
      <c r="J901">
        <v>21.94</v>
      </c>
      <c r="K901">
        <f t="shared" si="140"/>
        <v>48.216666666666669</v>
      </c>
      <c r="L901">
        <f t="shared" si="141"/>
        <v>54.11</v>
      </c>
      <c r="M901">
        <f t="shared" si="142"/>
        <v>24.4</v>
      </c>
      <c r="N901">
        <f t="shared" si="143"/>
        <v>8.3125</v>
      </c>
      <c r="O901">
        <f t="shared" si="144"/>
        <v>7.2374999999999998</v>
      </c>
      <c r="P901">
        <f t="shared" si="145"/>
        <v>5.3409090909090908</v>
      </c>
      <c r="Q901">
        <f t="shared" si="146"/>
        <v>20.314814814814817</v>
      </c>
      <c r="R901">
        <f t="shared" si="147"/>
        <v>54.11</v>
      </c>
      <c r="S901" t="str">
        <f t="shared" si="148"/>
        <v>Satisfactory</v>
      </c>
      <c r="T901" t="str">
        <f t="shared" si="149"/>
        <v>PM10</v>
      </c>
      <c r="U901">
        <v>25.56</v>
      </c>
      <c r="V901">
        <v>74.97</v>
      </c>
    </row>
    <row r="902" spans="1:22" x14ac:dyDescent="0.3">
      <c r="A902" s="2" t="s">
        <v>15</v>
      </c>
      <c r="B902">
        <v>560026</v>
      </c>
      <c r="C902" s="3">
        <v>44384</v>
      </c>
      <c r="D902">
        <v>28.26</v>
      </c>
      <c r="E902">
        <v>52.9</v>
      </c>
      <c r="F902">
        <v>20.93</v>
      </c>
      <c r="G902">
        <v>31.35</v>
      </c>
      <c r="H902">
        <v>3.26</v>
      </c>
      <c r="I902">
        <v>0.47</v>
      </c>
      <c r="J902">
        <v>20.2</v>
      </c>
      <c r="K902">
        <f t="shared" si="140"/>
        <v>47.1</v>
      </c>
      <c r="L902">
        <f t="shared" si="141"/>
        <v>52.9</v>
      </c>
      <c r="M902">
        <f t="shared" si="142"/>
        <v>26.162500000000001</v>
      </c>
      <c r="N902">
        <f t="shared" si="143"/>
        <v>7.8375000000000004</v>
      </c>
      <c r="O902">
        <f t="shared" si="144"/>
        <v>4.0750000000000002</v>
      </c>
      <c r="P902">
        <f t="shared" si="145"/>
        <v>5.3409090909090908</v>
      </c>
      <c r="Q902">
        <f t="shared" si="146"/>
        <v>18.703703703703702</v>
      </c>
      <c r="R902">
        <f t="shared" si="147"/>
        <v>52.9</v>
      </c>
      <c r="S902" t="str">
        <f t="shared" si="148"/>
        <v>Satisfactory</v>
      </c>
      <c r="T902" t="str">
        <f t="shared" si="149"/>
        <v>PM10</v>
      </c>
      <c r="U902">
        <v>25.49</v>
      </c>
      <c r="V902">
        <v>75.38</v>
      </c>
    </row>
    <row r="903" spans="1:22" x14ac:dyDescent="0.3">
      <c r="A903" s="2" t="s">
        <v>15</v>
      </c>
      <c r="B903">
        <v>560026</v>
      </c>
      <c r="C903" s="3">
        <v>44385</v>
      </c>
      <c r="D903">
        <v>33.26</v>
      </c>
      <c r="E903">
        <v>54.52</v>
      </c>
      <c r="F903">
        <v>16.579999999999998</v>
      </c>
      <c r="G903">
        <v>30.94</v>
      </c>
      <c r="H903">
        <v>5.74</v>
      </c>
      <c r="I903">
        <v>0.42</v>
      </c>
      <c r="J903">
        <v>18.04</v>
      </c>
      <c r="K903">
        <f t="shared" si="140"/>
        <v>55.43333333333333</v>
      </c>
      <c r="L903">
        <f t="shared" si="141"/>
        <v>54.52</v>
      </c>
      <c r="M903">
        <f t="shared" si="142"/>
        <v>20.724999999999998</v>
      </c>
      <c r="N903">
        <f t="shared" si="143"/>
        <v>7.7350000000000003</v>
      </c>
      <c r="O903">
        <f t="shared" si="144"/>
        <v>7.1749999999999998</v>
      </c>
      <c r="P903">
        <f t="shared" si="145"/>
        <v>4.7727272727272725</v>
      </c>
      <c r="Q903">
        <f t="shared" si="146"/>
        <v>16.703703703703702</v>
      </c>
      <c r="R903">
        <f t="shared" si="147"/>
        <v>55.43333333333333</v>
      </c>
      <c r="S903" t="str">
        <f t="shared" si="148"/>
        <v>Satisfactory</v>
      </c>
      <c r="T903" t="str">
        <f t="shared" si="149"/>
        <v>PM2.5</v>
      </c>
      <c r="U903">
        <v>25.24</v>
      </c>
      <c r="V903">
        <v>74.95</v>
      </c>
    </row>
    <row r="904" spans="1:22" x14ac:dyDescent="0.3">
      <c r="A904" s="2" t="s">
        <v>15</v>
      </c>
      <c r="B904">
        <v>560026</v>
      </c>
      <c r="C904" s="3">
        <v>44386</v>
      </c>
      <c r="D904">
        <v>55.65</v>
      </c>
      <c r="E904">
        <v>90.39</v>
      </c>
      <c r="F904">
        <v>14.06</v>
      </c>
      <c r="G904">
        <v>28.62</v>
      </c>
      <c r="H904">
        <v>9.4700000000000006</v>
      </c>
      <c r="I904">
        <v>0.39</v>
      </c>
      <c r="J904">
        <v>15.51</v>
      </c>
      <c r="K904">
        <f t="shared" si="140"/>
        <v>92.75</v>
      </c>
      <c r="L904">
        <f t="shared" si="141"/>
        <v>90.39</v>
      </c>
      <c r="M904">
        <f t="shared" si="142"/>
        <v>17.574999999999999</v>
      </c>
      <c r="N904">
        <f t="shared" si="143"/>
        <v>7.1550000000000002</v>
      </c>
      <c r="O904">
        <f t="shared" si="144"/>
        <v>11.837500000000002</v>
      </c>
      <c r="P904">
        <f t="shared" si="145"/>
        <v>4.4318181818181817</v>
      </c>
      <c r="Q904">
        <f t="shared" si="146"/>
        <v>14.361111111111111</v>
      </c>
      <c r="R904">
        <f t="shared" si="147"/>
        <v>92.75</v>
      </c>
      <c r="S904" t="str">
        <f t="shared" si="148"/>
        <v>Satisfactory</v>
      </c>
      <c r="T904" t="str">
        <f t="shared" si="149"/>
        <v>PM2.5</v>
      </c>
      <c r="U904">
        <v>24.66</v>
      </c>
      <c r="V904">
        <v>76.069999999999993</v>
      </c>
    </row>
    <row r="905" spans="1:22" x14ac:dyDescent="0.3">
      <c r="A905" s="2" t="s">
        <v>15</v>
      </c>
      <c r="B905">
        <v>560026</v>
      </c>
      <c r="C905" s="3">
        <v>44387</v>
      </c>
      <c r="D905">
        <v>30.41</v>
      </c>
      <c r="E905">
        <v>44.21</v>
      </c>
      <c r="F905">
        <v>11.98</v>
      </c>
      <c r="G905">
        <v>23.75</v>
      </c>
      <c r="H905">
        <v>10.54</v>
      </c>
      <c r="I905">
        <v>0.23</v>
      </c>
      <c r="J905">
        <v>14.16</v>
      </c>
      <c r="K905">
        <f t="shared" si="140"/>
        <v>50.683333333333337</v>
      </c>
      <c r="L905">
        <f t="shared" si="141"/>
        <v>44.21</v>
      </c>
      <c r="M905">
        <f t="shared" si="142"/>
        <v>14.975</v>
      </c>
      <c r="N905">
        <f t="shared" si="143"/>
        <v>5.9375</v>
      </c>
      <c r="O905">
        <f t="shared" si="144"/>
        <v>13.175000000000001</v>
      </c>
      <c r="P905">
        <f t="shared" si="145"/>
        <v>2.6136363636363638</v>
      </c>
      <c r="Q905">
        <f t="shared" si="146"/>
        <v>13.111111111111111</v>
      </c>
      <c r="R905">
        <f t="shared" si="147"/>
        <v>50.683333333333337</v>
      </c>
      <c r="S905" t="str">
        <f t="shared" si="148"/>
        <v>Satisfactory</v>
      </c>
      <c r="T905" t="str">
        <f t="shared" si="149"/>
        <v>PM2.5</v>
      </c>
      <c r="U905">
        <v>23</v>
      </c>
      <c r="V905">
        <v>81.83</v>
      </c>
    </row>
    <row r="906" spans="1:22" x14ac:dyDescent="0.3">
      <c r="A906" s="2" t="s">
        <v>15</v>
      </c>
      <c r="B906">
        <v>560026</v>
      </c>
      <c r="C906" s="3">
        <v>44388</v>
      </c>
      <c r="D906">
        <v>19.899999999999999</v>
      </c>
      <c r="E906">
        <v>30.76</v>
      </c>
      <c r="F906">
        <v>9.7899999999999991</v>
      </c>
      <c r="G906">
        <v>18.98</v>
      </c>
      <c r="H906">
        <v>9.6199999999999992</v>
      </c>
      <c r="I906">
        <v>0.08</v>
      </c>
      <c r="J906">
        <v>15.265000000000001</v>
      </c>
      <c r="K906">
        <f t="shared" si="140"/>
        <v>33.166666666666664</v>
      </c>
      <c r="L906">
        <f t="shared" si="141"/>
        <v>30.76</v>
      </c>
      <c r="M906">
        <f t="shared" si="142"/>
        <v>12.237499999999999</v>
      </c>
      <c r="N906">
        <f t="shared" si="143"/>
        <v>4.7450000000000001</v>
      </c>
      <c r="O906">
        <f t="shared" si="144"/>
        <v>12.024999999999999</v>
      </c>
      <c r="P906">
        <f t="shared" si="145"/>
        <v>0.90909090909090906</v>
      </c>
      <c r="Q906">
        <f t="shared" si="146"/>
        <v>14.13425925925926</v>
      </c>
      <c r="R906">
        <f t="shared" si="147"/>
        <v>33.166666666666664</v>
      </c>
      <c r="S906" t="str">
        <f t="shared" si="148"/>
        <v>Good</v>
      </c>
      <c r="T906" t="str">
        <f t="shared" si="149"/>
        <v>PM2.5</v>
      </c>
      <c r="U906">
        <v>22.79</v>
      </c>
      <c r="V906">
        <v>77.83</v>
      </c>
    </row>
    <row r="907" spans="1:22" x14ac:dyDescent="0.3">
      <c r="A907" s="2" t="s">
        <v>15</v>
      </c>
      <c r="B907">
        <v>560026</v>
      </c>
      <c r="C907" s="3">
        <v>44389</v>
      </c>
      <c r="D907">
        <v>25.05</v>
      </c>
      <c r="E907">
        <v>39.299999999999997</v>
      </c>
      <c r="F907">
        <v>13.5</v>
      </c>
      <c r="G907">
        <v>22.89</v>
      </c>
      <c r="H907">
        <v>7.53</v>
      </c>
      <c r="I907">
        <v>0.09</v>
      </c>
      <c r="J907">
        <v>0.56000000000000005</v>
      </c>
      <c r="K907">
        <f t="shared" si="140"/>
        <v>41.75</v>
      </c>
      <c r="L907">
        <f t="shared" si="141"/>
        <v>39.299999999999997</v>
      </c>
      <c r="M907">
        <f t="shared" si="142"/>
        <v>16.875</v>
      </c>
      <c r="N907">
        <f t="shared" si="143"/>
        <v>5.7225000000000001</v>
      </c>
      <c r="O907">
        <f t="shared" si="144"/>
        <v>9.4124999999999996</v>
      </c>
      <c r="P907">
        <f t="shared" si="145"/>
        <v>1.0227272727272727</v>
      </c>
      <c r="Q907">
        <f t="shared" si="146"/>
        <v>0.5185185185185186</v>
      </c>
      <c r="R907">
        <f t="shared" si="147"/>
        <v>41.75</v>
      </c>
      <c r="S907" t="str">
        <f t="shared" si="148"/>
        <v>Good</v>
      </c>
      <c r="T907" t="str">
        <f t="shared" si="149"/>
        <v>PM2.5</v>
      </c>
      <c r="U907">
        <v>23.06</v>
      </c>
      <c r="V907">
        <v>76.790000000000006</v>
      </c>
    </row>
    <row r="908" spans="1:22" x14ac:dyDescent="0.3">
      <c r="A908" s="2" t="s">
        <v>15</v>
      </c>
      <c r="B908">
        <v>560026</v>
      </c>
      <c r="C908" s="3">
        <v>44390</v>
      </c>
      <c r="D908">
        <v>34.950000000000003</v>
      </c>
      <c r="E908">
        <v>56.12</v>
      </c>
      <c r="F908">
        <v>12.42</v>
      </c>
      <c r="G908">
        <v>23.78</v>
      </c>
      <c r="H908">
        <v>6.72</v>
      </c>
      <c r="I908">
        <v>0.95</v>
      </c>
      <c r="J908">
        <v>15.265000000000001</v>
      </c>
      <c r="K908">
        <f t="shared" si="140"/>
        <v>58.250000000000007</v>
      </c>
      <c r="L908">
        <f t="shared" si="141"/>
        <v>56.12</v>
      </c>
      <c r="M908">
        <f t="shared" si="142"/>
        <v>15.525</v>
      </c>
      <c r="N908">
        <f t="shared" si="143"/>
        <v>5.9450000000000003</v>
      </c>
      <c r="O908">
        <f t="shared" si="144"/>
        <v>8.4</v>
      </c>
      <c r="P908">
        <f t="shared" si="145"/>
        <v>10.795454545454545</v>
      </c>
      <c r="Q908">
        <f t="shared" si="146"/>
        <v>14.13425925925926</v>
      </c>
      <c r="R908">
        <f t="shared" si="147"/>
        <v>58.250000000000007</v>
      </c>
      <c r="S908" t="str">
        <f t="shared" si="148"/>
        <v>Satisfactory</v>
      </c>
      <c r="T908" t="str">
        <f t="shared" si="149"/>
        <v>PM2.5</v>
      </c>
      <c r="U908">
        <v>21.11</v>
      </c>
      <c r="V908">
        <v>88.32</v>
      </c>
    </row>
    <row r="909" spans="1:22" x14ac:dyDescent="0.3">
      <c r="A909" s="2" t="s">
        <v>15</v>
      </c>
      <c r="B909">
        <v>560026</v>
      </c>
      <c r="C909" s="3">
        <v>44391</v>
      </c>
      <c r="D909">
        <v>26.970833330000001</v>
      </c>
      <c r="E909">
        <v>45.81</v>
      </c>
      <c r="F909">
        <v>14.49375</v>
      </c>
      <c r="G909">
        <v>26.239583329999999</v>
      </c>
      <c r="H909">
        <v>7.7604166670000003</v>
      </c>
      <c r="I909">
        <v>0.45166666700000002</v>
      </c>
      <c r="J909">
        <v>15.265000000000001</v>
      </c>
      <c r="K909">
        <f t="shared" si="140"/>
        <v>44.951388883333337</v>
      </c>
      <c r="L909">
        <f t="shared" si="141"/>
        <v>45.81</v>
      </c>
      <c r="M909">
        <f t="shared" si="142"/>
        <v>18.1171875</v>
      </c>
      <c r="N909">
        <f t="shared" si="143"/>
        <v>6.5598958325000005</v>
      </c>
      <c r="O909">
        <f t="shared" si="144"/>
        <v>9.7005208337500015</v>
      </c>
      <c r="P909">
        <f t="shared" si="145"/>
        <v>5.1325757613636362</v>
      </c>
      <c r="Q909">
        <f t="shared" si="146"/>
        <v>14.13425925925926</v>
      </c>
      <c r="R909">
        <f t="shared" si="147"/>
        <v>45.81</v>
      </c>
      <c r="S909" t="str">
        <f t="shared" si="148"/>
        <v>Good</v>
      </c>
      <c r="T909" t="str">
        <f t="shared" si="149"/>
        <v>PM10</v>
      </c>
      <c r="U909">
        <v>24.026666670000001</v>
      </c>
      <c r="V909">
        <v>79.510909089999998</v>
      </c>
    </row>
    <row r="910" spans="1:22" x14ac:dyDescent="0.3">
      <c r="A910" s="2" t="s">
        <v>15</v>
      </c>
      <c r="B910">
        <v>560026</v>
      </c>
      <c r="C910" s="3">
        <v>44392</v>
      </c>
      <c r="D910">
        <v>26.970833330000001</v>
      </c>
      <c r="E910">
        <v>45.81</v>
      </c>
      <c r="F910">
        <v>14.49375</v>
      </c>
      <c r="G910">
        <v>26.239583329999999</v>
      </c>
      <c r="H910">
        <v>7.7604166670000003</v>
      </c>
      <c r="I910">
        <v>0.45166666700000002</v>
      </c>
      <c r="J910">
        <v>15.265000000000001</v>
      </c>
      <c r="K910">
        <f t="shared" si="140"/>
        <v>44.951388883333337</v>
      </c>
      <c r="L910">
        <f t="shared" si="141"/>
        <v>45.81</v>
      </c>
      <c r="M910">
        <f t="shared" si="142"/>
        <v>18.1171875</v>
      </c>
      <c r="N910">
        <f t="shared" si="143"/>
        <v>6.5598958325000005</v>
      </c>
      <c r="O910">
        <f t="shared" si="144"/>
        <v>9.7005208337500015</v>
      </c>
      <c r="P910">
        <f t="shared" si="145"/>
        <v>5.1325757613636362</v>
      </c>
      <c r="Q910">
        <f t="shared" si="146"/>
        <v>14.13425925925926</v>
      </c>
      <c r="R910">
        <f t="shared" si="147"/>
        <v>45.81</v>
      </c>
      <c r="S910" t="str">
        <f t="shared" si="148"/>
        <v>Good</v>
      </c>
      <c r="T910" t="str">
        <f t="shared" si="149"/>
        <v>PM10</v>
      </c>
      <c r="U910">
        <v>24.026666670000001</v>
      </c>
      <c r="V910">
        <v>79.510909089999998</v>
      </c>
    </row>
    <row r="911" spans="1:22" x14ac:dyDescent="0.3">
      <c r="A911" s="2" t="s">
        <v>15</v>
      </c>
      <c r="B911">
        <v>560026</v>
      </c>
      <c r="C911" s="3">
        <v>44393</v>
      </c>
      <c r="D911">
        <v>26.970833330000001</v>
      </c>
      <c r="E911">
        <v>45.81</v>
      </c>
      <c r="F911">
        <v>14.49375</v>
      </c>
      <c r="G911">
        <v>26.239583329999999</v>
      </c>
      <c r="H911">
        <v>7.7604166670000003</v>
      </c>
      <c r="I911">
        <v>0.45166666700000002</v>
      </c>
      <c r="J911">
        <v>15.265000000000001</v>
      </c>
      <c r="K911">
        <f t="shared" si="140"/>
        <v>44.951388883333337</v>
      </c>
      <c r="L911">
        <f t="shared" si="141"/>
        <v>45.81</v>
      </c>
      <c r="M911">
        <f t="shared" si="142"/>
        <v>18.1171875</v>
      </c>
      <c r="N911">
        <f t="shared" si="143"/>
        <v>6.5598958325000005</v>
      </c>
      <c r="O911">
        <f t="shared" si="144"/>
        <v>9.7005208337500015</v>
      </c>
      <c r="P911">
        <f t="shared" si="145"/>
        <v>5.1325757613636362</v>
      </c>
      <c r="Q911">
        <f t="shared" si="146"/>
        <v>14.13425925925926</v>
      </c>
      <c r="R911">
        <f t="shared" si="147"/>
        <v>45.81</v>
      </c>
      <c r="S911" t="str">
        <f t="shared" si="148"/>
        <v>Good</v>
      </c>
      <c r="T911" t="str">
        <f t="shared" si="149"/>
        <v>PM10</v>
      </c>
      <c r="U911">
        <v>24.026666670000001</v>
      </c>
      <c r="V911">
        <v>79.510909089999998</v>
      </c>
    </row>
    <row r="912" spans="1:22" x14ac:dyDescent="0.3">
      <c r="A912" s="2" t="s">
        <v>15</v>
      </c>
      <c r="B912">
        <v>560026</v>
      </c>
      <c r="C912" s="3">
        <v>44394</v>
      </c>
      <c r="D912">
        <v>26.970833330000001</v>
      </c>
      <c r="E912">
        <v>45.81</v>
      </c>
      <c r="F912">
        <v>14.49375</v>
      </c>
      <c r="G912">
        <v>26.239583329999999</v>
      </c>
      <c r="H912">
        <v>7.7604166670000003</v>
      </c>
      <c r="I912">
        <v>0.45166666700000002</v>
      </c>
      <c r="J912">
        <v>15.265000000000001</v>
      </c>
      <c r="K912">
        <f t="shared" si="140"/>
        <v>44.951388883333337</v>
      </c>
      <c r="L912">
        <f t="shared" si="141"/>
        <v>45.81</v>
      </c>
      <c r="M912">
        <f t="shared" si="142"/>
        <v>18.1171875</v>
      </c>
      <c r="N912">
        <f t="shared" si="143"/>
        <v>6.5598958325000005</v>
      </c>
      <c r="O912">
        <f t="shared" si="144"/>
        <v>9.7005208337500015</v>
      </c>
      <c r="P912">
        <f t="shared" si="145"/>
        <v>5.1325757613636362</v>
      </c>
      <c r="Q912">
        <f t="shared" si="146"/>
        <v>14.13425925925926</v>
      </c>
      <c r="R912">
        <f t="shared" si="147"/>
        <v>45.81</v>
      </c>
      <c r="S912" t="str">
        <f t="shared" si="148"/>
        <v>Good</v>
      </c>
      <c r="T912" t="str">
        <f t="shared" si="149"/>
        <v>PM10</v>
      </c>
      <c r="U912">
        <v>24.026666670000001</v>
      </c>
      <c r="V912">
        <v>79.510909089999998</v>
      </c>
    </row>
    <row r="913" spans="1:22" x14ac:dyDescent="0.3">
      <c r="A913" s="2" t="s">
        <v>15</v>
      </c>
      <c r="B913">
        <v>560026</v>
      </c>
      <c r="C913" s="3">
        <v>44395</v>
      </c>
      <c r="D913">
        <v>26.970833330000001</v>
      </c>
      <c r="E913">
        <v>45.81</v>
      </c>
      <c r="F913">
        <v>14.49375</v>
      </c>
      <c r="G913">
        <v>26.239583329999999</v>
      </c>
      <c r="H913">
        <v>7.7604166670000003</v>
      </c>
      <c r="I913">
        <v>0.45166666700000002</v>
      </c>
      <c r="J913">
        <v>15.265000000000001</v>
      </c>
      <c r="K913">
        <f t="shared" si="140"/>
        <v>44.951388883333337</v>
      </c>
      <c r="L913">
        <f t="shared" si="141"/>
        <v>45.81</v>
      </c>
      <c r="M913">
        <f t="shared" si="142"/>
        <v>18.1171875</v>
      </c>
      <c r="N913">
        <f t="shared" si="143"/>
        <v>6.5598958325000005</v>
      </c>
      <c r="O913">
        <f t="shared" si="144"/>
        <v>9.7005208337500015</v>
      </c>
      <c r="P913">
        <f t="shared" si="145"/>
        <v>5.1325757613636362</v>
      </c>
      <c r="Q913">
        <f t="shared" si="146"/>
        <v>14.13425925925926</v>
      </c>
      <c r="R913">
        <f t="shared" si="147"/>
        <v>45.81</v>
      </c>
      <c r="S913" t="str">
        <f t="shared" si="148"/>
        <v>Good</v>
      </c>
      <c r="T913" t="str">
        <f t="shared" si="149"/>
        <v>PM10</v>
      </c>
      <c r="U913">
        <v>24.026666670000001</v>
      </c>
      <c r="V913">
        <v>79.510909089999998</v>
      </c>
    </row>
    <row r="914" spans="1:22" x14ac:dyDescent="0.3">
      <c r="A914" s="2" t="s">
        <v>15</v>
      </c>
      <c r="B914">
        <v>560026</v>
      </c>
      <c r="C914" s="3">
        <v>44396</v>
      </c>
      <c r="D914">
        <v>26.970833330000001</v>
      </c>
      <c r="E914">
        <v>45.81</v>
      </c>
      <c r="F914">
        <v>14.49375</v>
      </c>
      <c r="G914">
        <v>26.239583329999999</v>
      </c>
      <c r="H914">
        <v>7.7604166670000003</v>
      </c>
      <c r="I914">
        <v>0.45166666700000002</v>
      </c>
      <c r="J914">
        <v>15.265000000000001</v>
      </c>
      <c r="K914">
        <f t="shared" si="140"/>
        <v>44.951388883333337</v>
      </c>
      <c r="L914">
        <f t="shared" si="141"/>
        <v>45.81</v>
      </c>
      <c r="M914">
        <f t="shared" si="142"/>
        <v>18.1171875</v>
      </c>
      <c r="N914">
        <f t="shared" si="143"/>
        <v>6.5598958325000005</v>
      </c>
      <c r="O914">
        <f t="shared" si="144"/>
        <v>9.7005208337500015</v>
      </c>
      <c r="P914">
        <f t="shared" si="145"/>
        <v>5.1325757613636362</v>
      </c>
      <c r="Q914">
        <f t="shared" si="146"/>
        <v>14.13425925925926</v>
      </c>
      <c r="R914">
        <f t="shared" si="147"/>
        <v>45.81</v>
      </c>
      <c r="S914" t="str">
        <f t="shared" si="148"/>
        <v>Good</v>
      </c>
      <c r="T914" t="str">
        <f t="shared" si="149"/>
        <v>PM10</v>
      </c>
      <c r="U914">
        <v>24.026666670000001</v>
      </c>
      <c r="V914">
        <v>79.510909089999998</v>
      </c>
    </row>
    <row r="915" spans="1:22" x14ac:dyDescent="0.3">
      <c r="A915" s="2" t="s">
        <v>15</v>
      </c>
      <c r="B915">
        <v>560026</v>
      </c>
      <c r="C915" s="3">
        <v>44397</v>
      </c>
      <c r="D915">
        <v>31.04</v>
      </c>
      <c r="E915">
        <v>52.89</v>
      </c>
      <c r="F915">
        <v>16.260000000000002</v>
      </c>
      <c r="G915">
        <v>31.09</v>
      </c>
      <c r="H915">
        <v>9.01</v>
      </c>
      <c r="I915">
        <v>0.4</v>
      </c>
      <c r="J915">
        <v>14.32</v>
      </c>
      <c r="K915">
        <f t="shared" si="140"/>
        <v>51.733333333333334</v>
      </c>
      <c r="L915">
        <f t="shared" si="141"/>
        <v>52.89</v>
      </c>
      <c r="M915">
        <f t="shared" si="142"/>
        <v>20.325000000000003</v>
      </c>
      <c r="N915">
        <f t="shared" si="143"/>
        <v>7.7725</v>
      </c>
      <c r="O915">
        <f t="shared" si="144"/>
        <v>11.262499999999999</v>
      </c>
      <c r="P915">
        <f t="shared" si="145"/>
        <v>4.5454545454545459</v>
      </c>
      <c r="Q915">
        <f t="shared" si="146"/>
        <v>13.25925925925926</v>
      </c>
      <c r="R915">
        <f t="shared" si="147"/>
        <v>52.89</v>
      </c>
      <c r="S915" t="str">
        <f t="shared" si="148"/>
        <v>Satisfactory</v>
      </c>
      <c r="T915" t="str">
        <f t="shared" si="149"/>
        <v>PM10</v>
      </c>
      <c r="U915">
        <v>25.07</v>
      </c>
      <c r="V915">
        <v>79.510909089999998</v>
      </c>
    </row>
    <row r="916" spans="1:22" x14ac:dyDescent="0.3">
      <c r="A916" s="2" t="s">
        <v>15</v>
      </c>
      <c r="B916">
        <v>560026</v>
      </c>
      <c r="C916" s="3">
        <v>44398</v>
      </c>
      <c r="D916">
        <v>18.91</v>
      </c>
      <c r="E916">
        <v>35.86</v>
      </c>
      <c r="F916">
        <v>15.36</v>
      </c>
      <c r="G916">
        <v>25.92</v>
      </c>
      <c r="H916">
        <v>18.309999999999999</v>
      </c>
      <c r="I916">
        <v>0.43</v>
      </c>
      <c r="J916">
        <v>16.89</v>
      </c>
      <c r="K916">
        <f t="shared" si="140"/>
        <v>31.516666666666666</v>
      </c>
      <c r="L916">
        <f t="shared" si="141"/>
        <v>35.86</v>
      </c>
      <c r="M916">
        <f t="shared" si="142"/>
        <v>19.2</v>
      </c>
      <c r="N916">
        <f t="shared" si="143"/>
        <v>6.48</v>
      </c>
      <c r="O916">
        <f t="shared" si="144"/>
        <v>22.887499999999996</v>
      </c>
      <c r="P916">
        <f t="shared" si="145"/>
        <v>4.8863636363636358</v>
      </c>
      <c r="Q916">
        <f t="shared" si="146"/>
        <v>15.638888888888889</v>
      </c>
      <c r="R916">
        <f t="shared" si="147"/>
        <v>35.86</v>
      </c>
      <c r="S916" t="str">
        <f t="shared" si="148"/>
        <v>Good</v>
      </c>
      <c r="T916" t="str">
        <f t="shared" si="149"/>
        <v>PM10</v>
      </c>
      <c r="U916">
        <v>23.26</v>
      </c>
      <c r="V916">
        <v>79.510909089999998</v>
      </c>
    </row>
    <row r="917" spans="1:22" x14ac:dyDescent="0.3">
      <c r="A917" s="2" t="s">
        <v>15</v>
      </c>
      <c r="B917">
        <v>560026</v>
      </c>
      <c r="C917" s="3">
        <v>44399</v>
      </c>
      <c r="D917">
        <v>26.970833330000001</v>
      </c>
      <c r="E917">
        <v>45.81</v>
      </c>
      <c r="F917">
        <v>14.49375</v>
      </c>
      <c r="G917">
        <v>26.239583329999999</v>
      </c>
      <c r="H917">
        <v>7.7604166670000003</v>
      </c>
      <c r="I917">
        <v>0.45166666700000002</v>
      </c>
      <c r="J917">
        <v>15.265000000000001</v>
      </c>
      <c r="K917">
        <f t="shared" si="140"/>
        <v>44.951388883333337</v>
      </c>
      <c r="L917">
        <f t="shared" si="141"/>
        <v>45.81</v>
      </c>
      <c r="M917">
        <f t="shared" si="142"/>
        <v>18.1171875</v>
      </c>
      <c r="N917">
        <f t="shared" si="143"/>
        <v>6.5598958325000005</v>
      </c>
      <c r="O917">
        <f t="shared" si="144"/>
        <v>9.7005208337500015</v>
      </c>
      <c r="P917">
        <f t="shared" si="145"/>
        <v>5.1325757613636362</v>
      </c>
      <c r="Q917">
        <f t="shared" si="146"/>
        <v>14.13425925925926</v>
      </c>
      <c r="R917">
        <f t="shared" si="147"/>
        <v>45.81</v>
      </c>
      <c r="S917" t="str">
        <f t="shared" si="148"/>
        <v>Good</v>
      </c>
      <c r="T917" t="str">
        <f t="shared" si="149"/>
        <v>PM10</v>
      </c>
      <c r="U917">
        <v>24.026666670000001</v>
      </c>
      <c r="V917">
        <v>79.510909089999998</v>
      </c>
    </row>
    <row r="918" spans="1:22" x14ac:dyDescent="0.3">
      <c r="A918" s="2" t="s">
        <v>15</v>
      </c>
      <c r="B918">
        <v>560026</v>
      </c>
      <c r="C918" s="3">
        <v>44400</v>
      </c>
      <c r="D918">
        <v>21.84</v>
      </c>
      <c r="E918">
        <v>38.729999999999997</v>
      </c>
      <c r="F918">
        <v>18.93</v>
      </c>
      <c r="G918">
        <v>27.3</v>
      </c>
      <c r="H918">
        <v>8.27</v>
      </c>
      <c r="I918">
        <v>0.47</v>
      </c>
      <c r="J918">
        <v>10.41</v>
      </c>
      <c r="K918">
        <f t="shared" si="140"/>
        <v>36.4</v>
      </c>
      <c r="L918">
        <f t="shared" si="141"/>
        <v>38.729999999999997</v>
      </c>
      <c r="M918">
        <f t="shared" si="142"/>
        <v>23.662500000000001</v>
      </c>
      <c r="N918">
        <f t="shared" si="143"/>
        <v>6.8250000000000002</v>
      </c>
      <c r="O918">
        <f t="shared" si="144"/>
        <v>10.3375</v>
      </c>
      <c r="P918">
        <f t="shared" si="145"/>
        <v>5.3409090909090908</v>
      </c>
      <c r="Q918">
        <f t="shared" si="146"/>
        <v>9.6388888888888893</v>
      </c>
      <c r="R918">
        <f t="shared" si="147"/>
        <v>38.729999999999997</v>
      </c>
      <c r="S918" t="str">
        <f t="shared" si="148"/>
        <v>Good</v>
      </c>
      <c r="T918" t="str">
        <f t="shared" si="149"/>
        <v>PM10</v>
      </c>
      <c r="U918">
        <v>22.07</v>
      </c>
      <c r="V918">
        <v>85.39</v>
      </c>
    </row>
    <row r="919" spans="1:22" x14ac:dyDescent="0.3">
      <c r="A919" s="2" t="s">
        <v>15</v>
      </c>
      <c r="B919">
        <v>560026</v>
      </c>
      <c r="C919" s="3">
        <v>44401</v>
      </c>
      <c r="D919">
        <v>24.53</v>
      </c>
      <c r="E919">
        <v>43.05</v>
      </c>
      <c r="F919">
        <v>15.62</v>
      </c>
      <c r="G919">
        <v>28.02</v>
      </c>
      <c r="H919">
        <v>8.5399999999999991</v>
      </c>
      <c r="I919">
        <v>0.43</v>
      </c>
      <c r="J919">
        <v>8.48</v>
      </c>
      <c r="K919">
        <f t="shared" si="140"/>
        <v>40.883333333333333</v>
      </c>
      <c r="L919">
        <f t="shared" si="141"/>
        <v>43.05</v>
      </c>
      <c r="M919">
        <f t="shared" si="142"/>
        <v>19.524999999999999</v>
      </c>
      <c r="N919">
        <f t="shared" si="143"/>
        <v>7.0049999999999999</v>
      </c>
      <c r="O919">
        <f t="shared" si="144"/>
        <v>10.674999999999999</v>
      </c>
      <c r="P919">
        <f t="shared" si="145"/>
        <v>4.8863636363636358</v>
      </c>
      <c r="Q919">
        <f t="shared" si="146"/>
        <v>7.8518518518518521</v>
      </c>
      <c r="R919">
        <f t="shared" si="147"/>
        <v>43.05</v>
      </c>
      <c r="S919" t="str">
        <f t="shared" si="148"/>
        <v>Good</v>
      </c>
      <c r="T919" t="str">
        <f t="shared" si="149"/>
        <v>PM10</v>
      </c>
      <c r="U919">
        <v>22.09</v>
      </c>
      <c r="V919">
        <v>87.45</v>
      </c>
    </row>
    <row r="920" spans="1:22" x14ac:dyDescent="0.3">
      <c r="A920" s="2" t="s">
        <v>15</v>
      </c>
      <c r="B920">
        <v>560026</v>
      </c>
      <c r="C920" s="3">
        <v>44402</v>
      </c>
      <c r="D920">
        <v>21.55</v>
      </c>
      <c r="E920">
        <v>33.35</v>
      </c>
      <c r="F920">
        <v>10.68</v>
      </c>
      <c r="G920">
        <v>22.12</v>
      </c>
      <c r="H920">
        <v>6.68</v>
      </c>
      <c r="I920">
        <v>0.5</v>
      </c>
      <c r="J920">
        <v>12.1</v>
      </c>
      <c r="K920">
        <f t="shared" si="140"/>
        <v>35.916666666666664</v>
      </c>
      <c r="L920">
        <f t="shared" si="141"/>
        <v>33.35</v>
      </c>
      <c r="M920">
        <f t="shared" si="142"/>
        <v>13.35</v>
      </c>
      <c r="N920">
        <f t="shared" si="143"/>
        <v>5.53</v>
      </c>
      <c r="O920">
        <f t="shared" si="144"/>
        <v>8.35</v>
      </c>
      <c r="P920">
        <f t="shared" si="145"/>
        <v>5.6818181818181817</v>
      </c>
      <c r="Q920">
        <f t="shared" si="146"/>
        <v>11.203703703703704</v>
      </c>
      <c r="R920">
        <f t="shared" si="147"/>
        <v>35.916666666666664</v>
      </c>
      <c r="S920" t="str">
        <f t="shared" si="148"/>
        <v>Good</v>
      </c>
      <c r="T920" t="str">
        <f t="shared" si="149"/>
        <v>PM2.5</v>
      </c>
      <c r="U920">
        <v>23.5</v>
      </c>
      <c r="V920">
        <v>86.91</v>
      </c>
    </row>
    <row r="921" spans="1:22" x14ac:dyDescent="0.3">
      <c r="A921" s="2" t="s">
        <v>15</v>
      </c>
      <c r="B921">
        <v>560026</v>
      </c>
      <c r="C921" s="3">
        <v>44403</v>
      </c>
      <c r="D921">
        <v>24.31</v>
      </c>
      <c r="E921">
        <v>37.65</v>
      </c>
      <c r="F921">
        <v>14.97</v>
      </c>
      <c r="G921">
        <v>24.77</v>
      </c>
      <c r="H921">
        <v>7.46</v>
      </c>
      <c r="I921">
        <v>0.49</v>
      </c>
      <c r="J921">
        <v>11.51</v>
      </c>
      <c r="K921">
        <f t="shared" si="140"/>
        <v>40.516666666666666</v>
      </c>
      <c r="L921">
        <f t="shared" si="141"/>
        <v>37.65</v>
      </c>
      <c r="M921">
        <f t="shared" si="142"/>
        <v>18.712499999999999</v>
      </c>
      <c r="N921">
        <f t="shared" si="143"/>
        <v>6.1924999999999999</v>
      </c>
      <c r="O921">
        <f t="shared" si="144"/>
        <v>9.3249999999999993</v>
      </c>
      <c r="P921">
        <f t="shared" si="145"/>
        <v>5.5681818181818183</v>
      </c>
      <c r="Q921">
        <f t="shared" si="146"/>
        <v>10.657407407407407</v>
      </c>
      <c r="R921">
        <f t="shared" si="147"/>
        <v>40.516666666666666</v>
      </c>
      <c r="S921" t="str">
        <f t="shared" si="148"/>
        <v>Good</v>
      </c>
      <c r="T921" t="str">
        <f t="shared" si="149"/>
        <v>PM2.5</v>
      </c>
      <c r="U921">
        <v>23.73</v>
      </c>
      <c r="V921">
        <v>86.05</v>
      </c>
    </row>
    <row r="922" spans="1:22" x14ac:dyDescent="0.3">
      <c r="A922" s="2" t="s">
        <v>15</v>
      </c>
      <c r="B922">
        <v>560026</v>
      </c>
      <c r="C922" s="3">
        <v>44404</v>
      </c>
      <c r="D922">
        <v>25.49</v>
      </c>
      <c r="E922">
        <v>42.73</v>
      </c>
      <c r="F922">
        <v>13.1</v>
      </c>
      <c r="G922">
        <v>22.29</v>
      </c>
      <c r="H922">
        <v>8.0399999999999991</v>
      </c>
      <c r="I922">
        <v>0.53</v>
      </c>
      <c r="J922">
        <v>13.69</v>
      </c>
      <c r="K922">
        <f t="shared" si="140"/>
        <v>42.483333333333334</v>
      </c>
      <c r="L922">
        <f t="shared" si="141"/>
        <v>42.73</v>
      </c>
      <c r="M922">
        <f t="shared" si="142"/>
        <v>16.375</v>
      </c>
      <c r="N922">
        <f t="shared" si="143"/>
        <v>5.5724999999999998</v>
      </c>
      <c r="O922">
        <f t="shared" si="144"/>
        <v>10.049999999999999</v>
      </c>
      <c r="P922">
        <f t="shared" si="145"/>
        <v>6.0227272727272725</v>
      </c>
      <c r="Q922">
        <f t="shared" si="146"/>
        <v>12.675925925925926</v>
      </c>
      <c r="R922">
        <f t="shared" si="147"/>
        <v>42.73</v>
      </c>
      <c r="S922" t="str">
        <f t="shared" si="148"/>
        <v>Good</v>
      </c>
      <c r="T922" t="str">
        <f t="shared" si="149"/>
        <v>PM10</v>
      </c>
      <c r="U922">
        <v>23.47</v>
      </c>
      <c r="V922">
        <v>83.72</v>
      </c>
    </row>
    <row r="923" spans="1:22" x14ac:dyDescent="0.3">
      <c r="A923" s="2" t="s">
        <v>15</v>
      </c>
      <c r="B923">
        <v>560026</v>
      </c>
      <c r="C923" s="3">
        <v>44405</v>
      </c>
      <c r="D923">
        <v>31.74</v>
      </c>
      <c r="E923">
        <v>47.26</v>
      </c>
      <c r="F923">
        <v>14.03</v>
      </c>
      <c r="G923">
        <v>23.65</v>
      </c>
      <c r="H923">
        <v>9.26</v>
      </c>
      <c r="I923">
        <v>0.54</v>
      </c>
      <c r="J923">
        <v>14.31</v>
      </c>
      <c r="K923">
        <f t="shared" si="140"/>
        <v>52.9</v>
      </c>
      <c r="L923">
        <f t="shared" si="141"/>
        <v>47.26</v>
      </c>
      <c r="M923">
        <f t="shared" si="142"/>
        <v>17.537500000000001</v>
      </c>
      <c r="N923">
        <f t="shared" si="143"/>
        <v>5.9124999999999996</v>
      </c>
      <c r="O923">
        <f t="shared" si="144"/>
        <v>11.574999999999999</v>
      </c>
      <c r="P923">
        <f t="shared" si="145"/>
        <v>6.1363636363636367</v>
      </c>
      <c r="Q923">
        <f t="shared" si="146"/>
        <v>13.25</v>
      </c>
      <c r="R923">
        <f t="shared" si="147"/>
        <v>52.9</v>
      </c>
      <c r="S923" t="str">
        <f t="shared" si="148"/>
        <v>Satisfactory</v>
      </c>
      <c r="T923" t="str">
        <f t="shared" si="149"/>
        <v>PM2.5</v>
      </c>
      <c r="U923">
        <v>23.97</v>
      </c>
      <c r="V923">
        <v>85.61</v>
      </c>
    </row>
    <row r="924" spans="1:22" x14ac:dyDescent="0.3">
      <c r="A924" s="2" t="s">
        <v>15</v>
      </c>
      <c r="B924">
        <v>560026</v>
      </c>
      <c r="C924" s="3">
        <v>44406</v>
      </c>
      <c r="D924">
        <v>28.88</v>
      </c>
      <c r="E924">
        <v>52.46</v>
      </c>
      <c r="F924">
        <v>14.23</v>
      </c>
      <c r="G924">
        <v>22.87</v>
      </c>
      <c r="H924">
        <v>9.51</v>
      </c>
      <c r="I924">
        <v>0.56999999999999995</v>
      </c>
      <c r="J924">
        <v>16.03</v>
      </c>
      <c r="K924">
        <f t="shared" si="140"/>
        <v>48.133333333333333</v>
      </c>
      <c r="L924">
        <f t="shared" si="141"/>
        <v>52.46</v>
      </c>
      <c r="M924">
        <f t="shared" si="142"/>
        <v>17.787500000000001</v>
      </c>
      <c r="N924">
        <f t="shared" si="143"/>
        <v>5.7175000000000002</v>
      </c>
      <c r="O924">
        <f t="shared" si="144"/>
        <v>11.887499999999999</v>
      </c>
      <c r="P924">
        <f t="shared" si="145"/>
        <v>6.4772727272727266</v>
      </c>
      <c r="Q924">
        <f t="shared" si="146"/>
        <v>14.842592592592593</v>
      </c>
      <c r="R924">
        <f t="shared" si="147"/>
        <v>52.46</v>
      </c>
      <c r="S924" t="str">
        <f t="shared" si="148"/>
        <v>Satisfactory</v>
      </c>
      <c r="T924" t="str">
        <f t="shared" si="149"/>
        <v>PM10</v>
      </c>
      <c r="U924">
        <v>23.39</v>
      </c>
      <c r="V924">
        <v>83.09</v>
      </c>
    </row>
    <row r="925" spans="1:22" x14ac:dyDescent="0.3">
      <c r="A925" s="2" t="s">
        <v>15</v>
      </c>
      <c r="B925">
        <v>560026</v>
      </c>
      <c r="C925" s="3">
        <v>44407</v>
      </c>
      <c r="D925">
        <v>27.93</v>
      </c>
      <c r="E925">
        <v>45.13</v>
      </c>
      <c r="F925">
        <v>14.16</v>
      </c>
      <c r="G925">
        <v>24.09</v>
      </c>
      <c r="H925">
        <v>7.01</v>
      </c>
      <c r="I925">
        <v>0.56000000000000005</v>
      </c>
      <c r="J925">
        <v>15.53</v>
      </c>
      <c r="K925">
        <f t="shared" si="140"/>
        <v>46.55</v>
      </c>
      <c r="L925">
        <f t="shared" si="141"/>
        <v>45.13</v>
      </c>
      <c r="M925">
        <f t="shared" si="142"/>
        <v>17.7</v>
      </c>
      <c r="N925">
        <f t="shared" si="143"/>
        <v>6.0225</v>
      </c>
      <c r="O925">
        <f t="shared" si="144"/>
        <v>8.7624999999999993</v>
      </c>
      <c r="P925">
        <f t="shared" si="145"/>
        <v>6.3636363636363642</v>
      </c>
      <c r="Q925">
        <f t="shared" si="146"/>
        <v>14.37962962962963</v>
      </c>
      <c r="R925">
        <f t="shared" si="147"/>
        <v>46.55</v>
      </c>
      <c r="S925" t="str">
        <f t="shared" si="148"/>
        <v>Good</v>
      </c>
      <c r="T925" t="str">
        <f t="shared" si="149"/>
        <v>PM2.5</v>
      </c>
      <c r="U925">
        <v>23.41</v>
      </c>
      <c r="V925">
        <v>85.04</v>
      </c>
    </row>
    <row r="926" spans="1:22" x14ac:dyDescent="0.3">
      <c r="A926" s="2" t="s">
        <v>15</v>
      </c>
      <c r="B926">
        <v>560026</v>
      </c>
      <c r="C926" s="3">
        <v>44408</v>
      </c>
      <c r="D926">
        <v>52.7</v>
      </c>
      <c r="E926">
        <v>74.3</v>
      </c>
      <c r="F926">
        <v>15.51</v>
      </c>
      <c r="G926">
        <v>27.17</v>
      </c>
      <c r="H926">
        <v>7.31</v>
      </c>
      <c r="I926">
        <v>0.54</v>
      </c>
      <c r="J926">
        <v>14.62</v>
      </c>
      <c r="K926">
        <f t="shared" si="140"/>
        <v>87.833333333333343</v>
      </c>
      <c r="L926">
        <f t="shared" si="141"/>
        <v>74.3</v>
      </c>
      <c r="M926">
        <f t="shared" si="142"/>
        <v>19.387499999999999</v>
      </c>
      <c r="N926">
        <f t="shared" si="143"/>
        <v>6.7925000000000004</v>
      </c>
      <c r="O926">
        <f t="shared" si="144"/>
        <v>9.1374999999999993</v>
      </c>
      <c r="P926">
        <f t="shared" si="145"/>
        <v>6.1363636363636367</v>
      </c>
      <c r="Q926">
        <f t="shared" si="146"/>
        <v>13.537037037037036</v>
      </c>
      <c r="R926">
        <f t="shared" si="147"/>
        <v>87.833333333333343</v>
      </c>
      <c r="S926" t="str">
        <f t="shared" si="148"/>
        <v>Satisfactory</v>
      </c>
      <c r="T926" t="str">
        <f t="shared" si="149"/>
        <v>PM2.5</v>
      </c>
      <c r="U926">
        <v>23.63</v>
      </c>
      <c r="V926">
        <v>85.88</v>
      </c>
    </row>
    <row r="927" spans="1:22" x14ac:dyDescent="0.3">
      <c r="A927" s="2" t="s">
        <v>15</v>
      </c>
      <c r="B927">
        <v>560026</v>
      </c>
      <c r="C927" s="3">
        <v>44410</v>
      </c>
      <c r="D927">
        <v>44.66</v>
      </c>
      <c r="E927">
        <v>80.02</v>
      </c>
      <c r="F927">
        <v>16.02</v>
      </c>
      <c r="G927">
        <v>29.33</v>
      </c>
      <c r="H927">
        <v>9.7200000000000006</v>
      </c>
      <c r="I927">
        <v>0.61</v>
      </c>
      <c r="J927">
        <v>18.54</v>
      </c>
      <c r="K927">
        <f t="shared" si="140"/>
        <v>74.433333333333323</v>
      </c>
      <c r="L927">
        <f t="shared" si="141"/>
        <v>80.02</v>
      </c>
      <c r="M927">
        <f t="shared" si="142"/>
        <v>20.024999999999999</v>
      </c>
      <c r="N927">
        <f t="shared" si="143"/>
        <v>7.3324999999999996</v>
      </c>
      <c r="O927">
        <f t="shared" si="144"/>
        <v>12.150000000000002</v>
      </c>
      <c r="P927">
        <f t="shared" si="145"/>
        <v>6.9318181818181817</v>
      </c>
      <c r="Q927">
        <f t="shared" si="146"/>
        <v>17.166666666666664</v>
      </c>
      <c r="R927">
        <f t="shared" si="147"/>
        <v>80.02</v>
      </c>
      <c r="S927" t="str">
        <f t="shared" si="148"/>
        <v>Satisfactory</v>
      </c>
      <c r="T927" t="str">
        <f t="shared" si="149"/>
        <v>PM10</v>
      </c>
      <c r="U927">
        <v>25.21</v>
      </c>
      <c r="V927">
        <v>66.09</v>
      </c>
    </row>
    <row r="928" spans="1:22" x14ac:dyDescent="0.3">
      <c r="A928" s="2" t="s">
        <v>15</v>
      </c>
      <c r="B928">
        <v>560026</v>
      </c>
      <c r="C928" s="3">
        <v>44411</v>
      </c>
      <c r="D928">
        <v>27.39</v>
      </c>
      <c r="E928">
        <v>49.04</v>
      </c>
      <c r="F928">
        <v>13.14</v>
      </c>
      <c r="G928">
        <v>25.25</v>
      </c>
      <c r="H928">
        <v>7.56</v>
      </c>
      <c r="I928">
        <v>0.51</v>
      </c>
      <c r="J928">
        <v>12.92</v>
      </c>
      <c r="K928">
        <f t="shared" si="140"/>
        <v>45.65</v>
      </c>
      <c r="L928">
        <f t="shared" si="141"/>
        <v>49.04</v>
      </c>
      <c r="M928">
        <f t="shared" si="142"/>
        <v>16.425000000000001</v>
      </c>
      <c r="N928">
        <f t="shared" si="143"/>
        <v>6.3125</v>
      </c>
      <c r="O928">
        <f t="shared" si="144"/>
        <v>9.4499999999999993</v>
      </c>
      <c r="P928">
        <f t="shared" si="145"/>
        <v>5.795454545454545</v>
      </c>
      <c r="Q928">
        <f t="shared" si="146"/>
        <v>11.962962962962964</v>
      </c>
      <c r="R928">
        <f t="shared" si="147"/>
        <v>49.04</v>
      </c>
      <c r="S928" t="str">
        <f t="shared" si="148"/>
        <v>Good</v>
      </c>
      <c r="T928" t="str">
        <f t="shared" si="149"/>
        <v>PM10</v>
      </c>
      <c r="U928">
        <v>23.5</v>
      </c>
      <c r="V928">
        <v>73.400000000000006</v>
      </c>
    </row>
    <row r="929" spans="1:22" x14ac:dyDescent="0.3">
      <c r="A929" s="2" t="s">
        <v>15</v>
      </c>
      <c r="B929">
        <v>560026</v>
      </c>
      <c r="C929" s="3">
        <v>44412</v>
      </c>
      <c r="D929">
        <v>44.88</v>
      </c>
      <c r="E929">
        <v>72.77</v>
      </c>
      <c r="F929">
        <v>15.46</v>
      </c>
      <c r="G929">
        <v>27.47</v>
      </c>
      <c r="H929">
        <v>7.01</v>
      </c>
      <c r="I929">
        <v>0.5</v>
      </c>
      <c r="J929">
        <v>12.06</v>
      </c>
      <c r="K929">
        <f t="shared" si="140"/>
        <v>74.800000000000011</v>
      </c>
      <c r="L929">
        <f t="shared" si="141"/>
        <v>72.77</v>
      </c>
      <c r="M929">
        <f t="shared" si="142"/>
        <v>19.324999999999999</v>
      </c>
      <c r="N929">
        <f t="shared" si="143"/>
        <v>6.8674999999999997</v>
      </c>
      <c r="O929">
        <f t="shared" si="144"/>
        <v>8.7624999999999993</v>
      </c>
      <c r="P929">
        <f t="shared" si="145"/>
        <v>5.6818181818181817</v>
      </c>
      <c r="Q929">
        <f t="shared" si="146"/>
        <v>11.166666666666668</v>
      </c>
      <c r="R929">
        <f t="shared" si="147"/>
        <v>74.800000000000011</v>
      </c>
      <c r="S929" t="str">
        <f t="shared" si="148"/>
        <v>Satisfactory</v>
      </c>
      <c r="T929" t="str">
        <f t="shared" si="149"/>
        <v>PM2.5</v>
      </c>
      <c r="U929">
        <v>24.47</v>
      </c>
      <c r="V929">
        <v>84.47</v>
      </c>
    </row>
    <row r="930" spans="1:22" x14ac:dyDescent="0.3">
      <c r="A930" s="2" t="s">
        <v>15</v>
      </c>
      <c r="B930">
        <v>560026</v>
      </c>
      <c r="C930" s="3">
        <v>44413</v>
      </c>
      <c r="D930">
        <v>40.799999999999997</v>
      </c>
      <c r="E930">
        <v>66.58</v>
      </c>
      <c r="F930">
        <v>13.15</v>
      </c>
      <c r="G930">
        <v>26.12</v>
      </c>
      <c r="H930">
        <v>8.84</v>
      </c>
      <c r="I930">
        <v>0.44</v>
      </c>
      <c r="J930">
        <v>8.64</v>
      </c>
      <c r="K930">
        <f t="shared" si="140"/>
        <v>68</v>
      </c>
      <c r="L930">
        <f t="shared" si="141"/>
        <v>66.58</v>
      </c>
      <c r="M930">
        <f t="shared" si="142"/>
        <v>16.4375</v>
      </c>
      <c r="N930">
        <f t="shared" si="143"/>
        <v>6.53</v>
      </c>
      <c r="O930">
        <f t="shared" si="144"/>
        <v>11.05</v>
      </c>
      <c r="P930">
        <f t="shared" si="145"/>
        <v>5</v>
      </c>
      <c r="Q930">
        <f t="shared" si="146"/>
        <v>8</v>
      </c>
      <c r="R930">
        <f t="shared" si="147"/>
        <v>68</v>
      </c>
      <c r="S930" t="str">
        <f t="shared" si="148"/>
        <v>Satisfactory</v>
      </c>
      <c r="T930" t="str">
        <f t="shared" si="149"/>
        <v>PM2.5</v>
      </c>
      <c r="U930">
        <v>23.03</v>
      </c>
      <c r="V930">
        <v>89.37</v>
      </c>
    </row>
    <row r="931" spans="1:22" x14ac:dyDescent="0.3">
      <c r="A931" s="2" t="s">
        <v>15</v>
      </c>
      <c r="B931">
        <v>560026</v>
      </c>
      <c r="C931" s="3">
        <v>44414</v>
      </c>
      <c r="D931">
        <v>35.21</v>
      </c>
      <c r="E931">
        <v>56.33</v>
      </c>
      <c r="F931">
        <v>13.42</v>
      </c>
      <c r="G931">
        <v>27.25</v>
      </c>
      <c r="H931">
        <v>10.86</v>
      </c>
      <c r="I931">
        <v>0.44</v>
      </c>
      <c r="J931">
        <v>8.94</v>
      </c>
      <c r="K931">
        <f t="shared" si="140"/>
        <v>58.683333333333337</v>
      </c>
      <c r="L931">
        <f t="shared" si="141"/>
        <v>56.33</v>
      </c>
      <c r="M931">
        <f t="shared" si="142"/>
        <v>16.774999999999999</v>
      </c>
      <c r="N931">
        <f t="shared" si="143"/>
        <v>6.8125</v>
      </c>
      <c r="O931">
        <f t="shared" si="144"/>
        <v>13.574999999999999</v>
      </c>
      <c r="P931">
        <f t="shared" si="145"/>
        <v>5</v>
      </c>
      <c r="Q931">
        <f t="shared" si="146"/>
        <v>8.2777777777777768</v>
      </c>
      <c r="R931">
        <f t="shared" si="147"/>
        <v>58.683333333333337</v>
      </c>
      <c r="S931" t="str">
        <f t="shared" si="148"/>
        <v>Satisfactory</v>
      </c>
      <c r="T931" t="str">
        <f t="shared" si="149"/>
        <v>PM2.5</v>
      </c>
      <c r="U931">
        <v>24.26</v>
      </c>
      <c r="V931">
        <v>87.95</v>
      </c>
    </row>
    <row r="932" spans="1:22" x14ac:dyDescent="0.3">
      <c r="A932" s="2" t="s">
        <v>15</v>
      </c>
      <c r="B932">
        <v>560026</v>
      </c>
      <c r="C932" s="3">
        <v>44415</v>
      </c>
      <c r="D932">
        <v>25.59</v>
      </c>
      <c r="E932">
        <v>38.49</v>
      </c>
      <c r="F932">
        <v>15.06</v>
      </c>
      <c r="G932">
        <v>27.16</v>
      </c>
      <c r="H932">
        <v>7</v>
      </c>
      <c r="I932">
        <v>0.46</v>
      </c>
      <c r="J932">
        <v>9.75</v>
      </c>
      <c r="K932">
        <f t="shared" si="140"/>
        <v>42.65</v>
      </c>
      <c r="L932">
        <f t="shared" si="141"/>
        <v>38.49</v>
      </c>
      <c r="M932">
        <f t="shared" si="142"/>
        <v>18.824999999999999</v>
      </c>
      <c r="N932">
        <f t="shared" si="143"/>
        <v>6.79</v>
      </c>
      <c r="O932">
        <f t="shared" si="144"/>
        <v>8.75</v>
      </c>
      <c r="P932">
        <f t="shared" si="145"/>
        <v>5.2272727272727275</v>
      </c>
      <c r="Q932">
        <f t="shared" si="146"/>
        <v>9.0277777777777786</v>
      </c>
      <c r="R932">
        <f t="shared" si="147"/>
        <v>42.65</v>
      </c>
      <c r="S932" t="str">
        <f t="shared" si="148"/>
        <v>Good</v>
      </c>
      <c r="T932" t="str">
        <f t="shared" si="149"/>
        <v>PM2.5</v>
      </c>
      <c r="U932">
        <v>24.18</v>
      </c>
      <c r="V932">
        <v>91.38</v>
      </c>
    </row>
    <row r="933" spans="1:22" x14ac:dyDescent="0.3">
      <c r="A933" s="2" t="s">
        <v>15</v>
      </c>
      <c r="B933">
        <v>560026</v>
      </c>
      <c r="C933" s="3">
        <v>44416</v>
      </c>
      <c r="D933">
        <v>37.82</v>
      </c>
      <c r="E933">
        <v>50.85</v>
      </c>
      <c r="F933">
        <v>10.93</v>
      </c>
      <c r="G933">
        <v>23.41</v>
      </c>
      <c r="H933">
        <v>9.31</v>
      </c>
      <c r="I933">
        <v>0.55000000000000004</v>
      </c>
      <c r="J933">
        <v>15.99</v>
      </c>
      <c r="K933">
        <f t="shared" si="140"/>
        <v>63.033333333333331</v>
      </c>
      <c r="L933">
        <f t="shared" si="141"/>
        <v>50.85</v>
      </c>
      <c r="M933">
        <f t="shared" si="142"/>
        <v>13.6625</v>
      </c>
      <c r="N933">
        <f t="shared" si="143"/>
        <v>5.8525</v>
      </c>
      <c r="O933">
        <f t="shared" si="144"/>
        <v>11.637499999999999</v>
      </c>
      <c r="P933">
        <f t="shared" si="145"/>
        <v>6.25</v>
      </c>
      <c r="Q933">
        <f t="shared" si="146"/>
        <v>14.805555555555555</v>
      </c>
      <c r="R933">
        <f t="shared" si="147"/>
        <v>63.033333333333331</v>
      </c>
      <c r="S933" t="str">
        <f t="shared" si="148"/>
        <v>Satisfactory</v>
      </c>
      <c r="T933" t="str">
        <f t="shared" si="149"/>
        <v>PM2.5</v>
      </c>
      <c r="U933">
        <v>24.73</v>
      </c>
      <c r="V933">
        <v>90.98</v>
      </c>
    </row>
    <row r="934" spans="1:22" x14ac:dyDescent="0.3">
      <c r="A934" s="2" t="s">
        <v>15</v>
      </c>
      <c r="B934">
        <v>560026</v>
      </c>
      <c r="C934" s="3">
        <v>44417</v>
      </c>
      <c r="D934">
        <v>27.22</v>
      </c>
      <c r="E934">
        <v>40.119999999999997</v>
      </c>
      <c r="F934">
        <v>11.926296300000001</v>
      </c>
      <c r="G934">
        <v>42.171481479999997</v>
      </c>
      <c r="H934">
        <v>42.171481479999997</v>
      </c>
      <c r="I934">
        <v>0.36</v>
      </c>
      <c r="J934">
        <v>8.19</v>
      </c>
      <c r="K934">
        <f t="shared" si="140"/>
        <v>45.366666666666667</v>
      </c>
      <c r="L934">
        <f t="shared" si="141"/>
        <v>40.119999999999997</v>
      </c>
      <c r="M934">
        <f t="shared" si="142"/>
        <v>14.907870375000002</v>
      </c>
      <c r="N934">
        <f t="shared" si="143"/>
        <v>10.542870369999997</v>
      </c>
      <c r="O934">
        <f t="shared" si="144"/>
        <v>52.71435185</v>
      </c>
      <c r="P934">
        <f t="shared" si="145"/>
        <v>4.0909090909090908</v>
      </c>
      <c r="Q934">
        <f t="shared" si="146"/>
        <v>7.583333333333333</v>
      </c>
      <c r="R934">
        <f t="shared" si="147"/>
        <v>52.71435185</v>
      </c>
      <c r="S934" t="str">
        <f t="shared" si="148"/>
        <v>Satisfactory</v>
      </c>
      <c r="T934" t="str">
        <f t="shared" si="149"/>
        <v>SO2</v>
      </c>
      <c r="U934">
        <v>22.14</v>
      </c>
      <c r="V934">
        <v>83.281923079999999</v>
      </c>
    </row>
    <row r="935" spans="1:22" x14ac:dyDescent="0.3">
      <c r="A935" s="2" t="s">
        <v>15</v>
      </c>
      <c r="B935">
        <v>560026</v>
      </c>
      <c r="C935" s="3">
        <v>44418</v>
      </c>
      <c r="D935">
        <v>38.619999999999997</v>
      </c>
      <c r="E935">
        <v>55.08</v>
      </c>
      <c r="F935">
        <v>16.53</v>
      </c>
      <c r="G935">
        <v>176.58</v>
      </c>
      <c r="H935">
        <v>19.829999999999998</v>
      </c>
      <c r="I935">
        <v>0.46</v>
      </c>
      <c r="J935">
        <v>10.220000000000001</v>
      </c>
      <c r="K935">
        <f t="shared" si="140"/>
        <v>64.36666666666666</v>
      </c>
      <c r="L935">
        <f t="shared" si="141"/>
        <v>55.08</v>
      </c>
      <c r="M935">
        <f t="shared" si="142"/>
        <v>20.662500000000001</v>
      </c>
      <c r="N935">
        <f t="shared" si="143"/>
        <v>44.145000000000003</v>
      </c>
      <c r="O935">
        <f t="shared" si="144"/>
        <v>24.787499999999998</v>
      </c>
      <c r="P935">
        <f t="shared" si="145"/>
        <v>5.2272727272727275</v>
      </c>
      <c r="Q935">
        <f t="shared" si="146"/>
        <v>9.4629629629629637</v>
      </c>
      <c r="R935">
        <f t="shared" si="147"/>
        <v>64.36666666666666</v>
      </c>
      <c r="S935" t="str">
        <f t="shared" si="148"/>
        <v>Satisfactory</v>
      </c>
      <c r="T935" t="str">
        <f t="shared" si="149"/>
        <v>PM2.5</v>
      </c>
      <c r="U935">
        <v>25.77</v>
      </c>
      <c r="V935">
        <v>65</v>
      </c>
    </row>
    <row r="936" spans="1:22" x14ac:dyDescent="0.3">
      <c r="A936" s="2" t="s">
        <v>15</v>
      </c>
      <c r="B936">
        <v>560026</v>
      </c>
      <c r="C936" s="3">
        <v>44419</v>
      </c>
      <c r="D936">
        <v>44.07</v>
      </c>
      <c r="E936">
        <v>74.91</v>
      </c>
      <c r="F936">
        <v>17.399999999999999</v>
      </c>
      <c r="G936">
        <v>81.760000000000005</v>
      </c>
      <c r="H936">
        <v>3.58</v>
      </c>
      <c r="I936">
        <v>0.46</v>
      </c>
      <c r="J936">
        <v>9.64</v>
      </c>
      <c r="K936">
        <f t="shared" si="140"/>
        <v>73.45</v>
      </c>
      <c r="L936">
        <f t="shared" si="141"/>
        <v>74.91</v>
      </c>
      <c r="M936">
        <f t="shared" si="142"/>
        <v>21.749999999999996</v>
      </c>
      <c r="N936">
        <f t="shared" si="143"/>
        <v>20.440000000000001</v>
      </c>
      <c r="O936">
        <f t="shared" si="144"/>
        <v>4.4749999999999996</v>
      </c>
      <c r="P936">
        <f t="shared" si="145"/>
        <v>5.2272727272727275</v>
      </c>
      <c r="Q936">
        <f t="shared" si="146"/>
        <v>8.9259259259259274</v>
      </c>
      <c r="R936">
        <f t="shared" si="147"/>
        <v>74.91</v>
      </c>
      <c r="S936" t="str">
        <f t="shared" si="148"/>
        <v>Satisfactory</v>
      </c>
      <c r="T936" t="str">
        <f t="shared" si="149"/>
        <v>PM10</v>
      </c>
      <c r="U936">
        <v>26.49</v>
      </c>
      <c r="V936">
        <v>83.281923079999999</v>
      </c>
    </row>
    <row r="937" spans="1:22" x14ac:dyDescent="0.3">
      <c r="A937" s="2" t="s">
        <v>15</v>
      </c>
      <c r="B937">
        <v>560026</v>
      </c>
      <c r="C937" s="3">
        <v>44420</v>
      </c>
      <c r="D937">
        <v>29.89</v>
      </c>
      <c r="E937">
        <v>51.64</v>
      </c>
      <c r="F937">
        <v>11.95</v>
      </c>
      <c r="G937">
        <v>59.41</v>
      </c>
      <c r="H937">
        <v>8.2100000000000009</v>
      </c>
      <c r="I937">
        <v>0.39</v>
      </c>
      <c r="J937">
        <v>6.29</v>
      </c>
      <c r="K937">
        <f t="shared" si="140"/>
        <v>49.81666666666667</v>
      </c>
      <c r="L937">
        <f t="shared" si="141"/>
        <v>51.64</v>
      </c>
      <c r="M937">
        <f t="shared" si="142"/>
        <v>14.9375</v>
      </c>
      <c r="N937">
        <f t="shared" si="143"/>
        <v>14.852499999999999</v>
      </c>
      <c r="O937">
        <f t="shared" si="144"/>
        <v>10.262500000000001</v>
      </c>
      <c r="P937">
        <f t="shared" si="145"/>
        <v>4.4318181818181817</v>
      </c>
      <c r="Q937">
        <f t="shared" si="146"/>
        <v>5.8240740740740744</v>
      </c>
      <c r="R937">
        <f t="shared" si="147"/>
        <v>51.64</v>
      </c>
      <c r="S937" t="str">
        <f t="shared" si="148"/>
        <v>Satisfactory</v>
      </c>
      <c r="T937" t="str">
        <f t="shared" si="149"/>
        <v>PM10</v>
      </c>
      <c r="U937">
        <v>23.12</v>
      </c>
      <c r="V937">
        <v>89.52</v>
      </c>
    </row>
    <row r="938" spans="1:22" x14ac:dyDescent="0.3">
      <c r="A938" s="2" t="s">
        <v>15</v>
      </c>
      <c r="B938">
        <v>560026</v>
      </c>
      <c r="C938" s="3">
        <v>44421</v>
      </c>
      <c r="D938">
        <v>28.94</v>
      </c>
      <c r="E938">
        <v>51.24</v>
      </c>
      <c r="F938">
        <v>10.47</v>
      </c>
      <c r="G938">
        <v>53.51</v>
      </c>
      <c r="H938">
        <v>7.89</v>
      </c>
      <c r="I938">
        <v>0.41</v>
      </c>
      <c r="J938">
        <v>7.13</v>
      </c>
      <c r="K938">
        <f t="shared" si="140"/>
        <v>48.233333333333334</v>
      </c>
      <c r="L938">
        <f t="shared" si="141"/>
        <v>51.24</v>
      </c>
      <c r="M938">
        <f t="shared" si="142"/>
        <v>13.0875</v>
      </c>
      <c r="N938">
        <f t="shared" si="143"/>
        <v>13.3775</v>
      </c>
      <c r="O938">
        <f t="shared" si="144"/>
        <v>9.8625000000000007</v>
      </c>
      <c r="P938">
        <f t="shared" si="145"/>
        <v>4.6590909090909083</v>
      </c>
      <c r="Q938">
        <f t="shared" si="146"/>
        <v>6.6018518518518521</v>
      </c>
      <c r="R938">
        <f t="shared" si="147"/>
        <v>51.24</v>
      </c>
      <c r="S938" t="str">
        <f t="shared" si="148"/>
        <v>Satisfactory</v>
      </c>
      <c r="T938" t="str">
        <f t="shared" si="149"/>
        <v>PM10</v>
      </c>
      <c r="U938">
        <v>21.43</v>
      </c>
      <c r="V938">
        <v>90.11</v>
      </c>
    </row>
    <row r="939" spans="1:22" x14ac:dyDescent="0.3">
      <c r="A939" s="2" t="s">
        <v>15</v>
      </c>
      <c r="B939">
        <v>560026</v>
      </c>
      <c r="C939" s="3">
        <v>44422</v>
      </c>
      <c r="D939">
        <v>37.104285709999999</v>
      </c>
      <c r="E939">
        <v>58.986785709999999</v>
      </c>
      <c r="F939">
        <v>11.926296300000001</v>
      </c>
      <c r="G939">
        <v>42.171481479999997</v>
      </c>
      <c r="H939">
        <v>42.171481479999997</v>
      </c>
      <c r="I939">
        <v>0.51071428600000002</v>
      </c>
      <c r="J939">
        <v>13.058571430000001</v>
      </c>
      <c r="K939">
        <f t="shared" si="140"/>
        <v>61.84047618333333</v>
      </c>
      <c r="L939">
        <f t="shared" si="141"/>
        <v>58.986785709999999</v>
      </c>
      <c r="M939">
        <f t="shared" si="142"/>
        <v>14.907870375000002</v>
      </c>
      <c r="N939">
        <f t="shared" si="143"/>
        <v>10.542870369999997</v>
      </c>
      <c r="O939">
        <f t="shared" si="144"/>
        <v>52.71435185</v>
      </c>
      <c r="P939">
        <f t="shared" si="145"/>
        <v>5.8035714318181819</v>
      </c>
      <c r="Q939">
        <f t="shared" si="146"/>
        <v>12.091269842592594</v>
      </c>
      <c r="R939">
        <f t="shared" si="147"/>
        <v>61.84047618333333</v>
      </c>
      <c r="S939" t="str">
        <f t="shared" si="148"/>
        <v>Satisfactory</v>
      </c>
      <c r="T939" t="str">
        <f t="shared" si="149"/>
        <v>PM2.5</v>
      </c>
      <c r="U939">
        <v>23.667142859999998</v>
      </c>
      <c r="V939">
        <v>83.281923079999999</v>
      </c>
    </row>
    <row r="940" spans="1:22" x14ac:dyDescent="0.3">
      <c r="A940" s="2" t="s">
        <v>15</v>
      </c>
      <c r="B940">
        <v>560026</v>
      </c>
      <c r="C940" s="3">
        <v>44423</v>
      </c>
      <c r="D940">
        <v>37.104285709999999</v>
      </c>
      <c r="E940">
        <v>58.986785709999999</v>
      </c>
      <c r="F940">
        <v>11.926296300000001</v>
      </c>
      <c r="G940">
        <v>42.171481479999997</v>
      </c>
      <c r="H940">
        <v>42.171481479999997</v>
      </c>
      <c r="I940">
        <v>0.51071428600000002</v>
      </c>
      <c r="J940">
        <v>13.058571430000001</v>
      </c>
      <c r="K940">
        <f t="shared" si="140"/>
        <v>61.84047618333333</v>
      </c>
      <c r="L940">
        <f t="shared" si="141"/>
        <v>58.986785709999999</v>
      </c>
      <c r="M940">
        <f t="shared" si="142"/>
        <v>14.907870375000002</v>
      </c>
      <c r="N940">
        <f t="shared" si="143"/>
        <v>10.542870369999997</v>
      </c>
      <c r="O940">
        <f t="shared" si="144"/>
        <v>52.71435185</v>
      </c>
      <c r="P940">
        <f t="shared" si="145"/>
        <v>5.8035714318181819</v>
      </c>
      <c r="Q940">
        <f t="shared" si="146"/>
        <v>12.091269842592594</v>
      </c>
      <c r="R940">
        <f t="shared" si="147"/>
        <v>61.84047618333333</v>
      </c>
      <c r="S940" t="str">
        <f t="shared" si="148"/>
        <v>Satisfactory</v>
      </c>
      <c r="T940" t="str">
        <f t="shared" si="149"/>
        <v>PM2.5</v>
      </c>
      <c r="U940">
        <v>23.667142859999998</v>
      </c>
      <c r="V940">
        <v>83.281923079999999</v>
      </c>
    </row>
    <row r="941" spans="1:22" x14ac:dyDescent="0.3">
      <c r="A941" s="2" t="s">
        <v>15</v>
      </c>
      <c r="B941">
        <v>560026</v>
      </c>
      <c r="C941" s="3">
        <v>44424</v>
      </c>
      <c r="D941">
        <v>37.104285709999999</v>
      </c>
      <c r="E941">
        <v>58.986785709999999</v>
      </c>
      <c r="F941">
        <v>11.926296300000001</v>
      </c>
      <c r="G941">
        <v>42.171481479999997</v>
      </c>
      <c r="H941">
        <v>42.171481479999997</v>
      </c>
      <c r="I941">
        <v>0.51071428600000002</v>
      </c>
      <c r="J941">
        <v>13.058571430000001</v>
      </c>
      <c r="K941">
        <f t="shared" si="140"/>
        <v>61.84047618333333</v>
      </c>
      <c r="L941">
        <f t="shared" si="141"/>
        <v>58.986785709999999</v>
      </c>
      <c r="M941">
        <f t="shared" si="142"/>
        <v>14.907870375000002</v>
      </c>
      <c r="N941">
        <f t="shared" si="143"/>
        <v>10.542870369999997</v>
      </c>
      <c r="O941">
        <f t="shared" si="144"/>
        <v>52.71435185</v>
      </c>
      <c r="P941">
        <f t="shared" si="145"/>
        <v>5.8035714318181819</v>
      </c>
      <c r="Q941">
        <f t="shared" si="146"/>
        <v>12.091269842592594</v>
      </c>
      <c r="R941">
        <f t="shared" si="147"/>
        <v>61.84047618333333</v>
      </c>
      <c r="S941" t="str">
        <f t="shared" si="148"/>
        <v>Satisfactory</v>
      </c>
      <c r="T941" t="str">
        <f t="shared" si="149"/>
        <v>PM2.5</v>
      </c>
      <c r="U941">
        <v>23.667142859999998</v>
      </c>
      <c r="V941">
        <v>83.281923079999999</v>
      </c>
    </row>
    <row r="942" spans="1:22" x14ac:dyDescent="0.3">
      <c r="A942" s="2" t="s">
        <v>15</v>
      </c>
      <c r="B942">
        <v>560026</v>
      </c>
      <c r="C942" s="3">
        <v>44425</v>
      </c>
      <c r="D942">
        <v>49.6</v>
      </c>
      <c r="E942">
        <v>82.91</v>
      </c>
      <c r="F942">
        <v>16.600000000000001</v>
      </c>
      <c r="G942">
        <v>27.43</v>
      </c>
      <c r="H942">
        <v>6.31</v>
      </c>
      <c r="I942">
        <v>0.44</v>
      </c>
      <c r="J942">
        <v>8.7100000000000009</v>
      </c>
      <c r="K942">
        <f t="shared" si="140"/>
        <v>82.666666666666671</v>
      </c>
      <c r="L942">
        <f t="shared" si="141"/>
        <v>82.91</v>
      </c>
      <c r="M942">
        <f t="shared" si="142"/>
        <v>20.750000000000004</v>
      </c>
      <c r="N942">
        <f t="shared" si="143"/>
        <v>6.8574999999999999</v>
      </c>
      <c r="O942">
        <f t="shared" si="144"/>
        <v>7.8875000000000002</v>
      </c>
      <c r="P942">
        <f t="shared" si="145"/>
        <v>5</v>
      </c>
      <c r="Q942">
        <f t="shared" si="146"/>
        <v>8.0648148148148149</v>
      </c>
      <c r="R942">
        <f t="shared" si="147"/>
        <v>82.91</v>
      </c>
      <c r="S942" t="str">
        <f t="shared" si="148"/>
        <v>Satisfactory</v>
      </c>
      <c r="T942" t="str">
        <f t="shared" si="149"/>
        <v>PM10</v>
      </c>
      <c r="U942">
        <v>24.99</v>
      </c>
      <c r="V942">
        <v>77</v>
      </c>
    </row>
    <row r="943" spans="1:22" x14ac:dyDescent="0.3">
      <c r="A943" s="2" t="s">
        <v>15</v>
      </c>
      <c r="B943">
        <v>560026</v>
      </c>
      <c r="C943" s="3">
        <v>44426</v>
      </c>
      <c r="D943">
        <v>62.54</v>
      </c>
      <c r="E943">
        <v>79.959999999999994</v>
      </c>
      <c r="F943">
        <v>11.92</v>
      </c>
      <c r="G943">
        <v>35.229999999999997</v>
      </c>
      <c r="H943">
        <v>16.079999999999998</v>
      </c>
      <c r="I943">
        <v>0.39</v>
      </c>
      <c r="J943">
        <v>6.71</v>
      </c>
      <c r="K943">
        <f t="shared" si="140"/>
        <v>108.46666666666667</v>
      </c>
      <c r="L943">
        <f t="shared" si="141"/>
        <v>79.959999999999994</v>
      </c>
      <c r="M943">
        <f t="shared" si="142"/>
        <v>14.9</v>
      </c>
      <c r="N943">
        <f t="shared" si="143"/>
        <v>8.8074999999999992</v>
      </c>
      <c r="O943">
        <f t="shared" si="144"/>
        <v>20.099999999999998</v>
      </c>
      <c r="P943">
        <f t="shared" si="145"/>
        <v>4.4318181818181817</v>
      </c>
      <c r="Q943">
        <f t="shared" si="146"/>
        <v>6.2129629629629628</v>
      </c>
      <c r="R943">
        <f t="shared" si="147"/>
        <v>108.46666666666667</v>
      </c>
      <c r="S943" t="str">
        <f t="shared" si="148"/>
        <v>Moderate</v>
      </c>
      <c r="T943" t="str">
        <f t="shared" si="149"/>
        <v>PM2.5</v>
      </c>
      <c r="U943">
        <v>24.89</v>
      </c>
      <c r="V943">
        <v>79.849999999999994</v>
      </c>
    </row>
    <row r="944" spans="1:22" x14ac:dyDescent="0.3">
      <c r="A944" s="2" t="s">
        <v>15</v>
      </c>
      <c r="B944">
        <v>560026</v>
      </c>
      <c r="C944" s="3">
        <v>44427</v>
      </c>
      <c r="D944">
        <v>26.65</v>
      </c>
      <c r="E944">
        <v>39.86</v>
      </c>
      <c r="F944">
        <v>11.29</v>
      </c>
      <c r="G944">
        <v>35.729999999999997</v>
      </c>
      <c r="H944">
        <v>11.8</v>
      </c>
      <c r="I944">
        <v>0.39</v>
      </c>
      <c r="J944">
        <v>6.59</v>
      </c>
      <c r="K944">
        <f t="shared" ref="K944:K1007" si="150">IF(ISTEXT(D944),0,IF(D944&lt;=30,D944*50/30,IF(AND(D944&gt;30,D944&lt;=60),50+(D944-30)*50/30,IF(AND(D944&gt;60,D944&lt;=90),100+(D944-60)*100/30,IF(AND(D944&gt;90,D944&lt;=120),200+(D944-90)*(100/30),IF(AND(D944&gt;120,D944&lt;=250),300+(D944-120)*(100/130),IF(D944&gt;250,400+(D944-250)*(100/130))))))))</f>
        <v>44.416666666666664</v>
      </c>
      <c r="L944">
        <f t="shared" ref="L944:L1007" si="151">IF(ISTEXT(E944),0,IF(E944&lt;=50,E944,IF(AND(E944&gt;50,E944&lt;=100),E944,IF(AND(E944&gt;100,E944&lt;=250),100+(E944-100)*100/150,IF(AND(E944&gt;250,E944&lt;=350),200+(E944-250),IF(AND(E944&gt;350,E944&lt;=430),300+(E944-350)*(100/80),IF(E944&gt;430,400+(E944-430)*(100/80))))))))</f>
        <v>39.86</v>
      </c>
      <c r="M944">
        <f t="shared" ref="M944:M1007" si="152">IF(ISTEXT(F944),0,IF(F944&lt;=40,F944*50/40,IF(AND(F944&gt;40,F944&lt;=80),50+(F944-40)*50/40,IF(AND(F944&gt;80,F944&lt;=180),100+(F944-80)*100/100,IF(AND(F944&gt;180,F944&lt;=280),200+(F944-180)*(100/100),IF(AND(F944&gt;280,F944&lt;=400),300+(F944-280)*(100/120),IF(F944&gt;400,400+(F944-400)*(100/120))))))))</f>
        <v>14.112500000000001</v>
      </c>
      <c r="N944">
        <f t="shared" ref="N944:N1007" si="153">IF(ISTEXT(G944),0,IF(G944&lt;=200,G944*50/200,IF(AND(G944&gt;200,G944&lt;=400),50+(G944-200)*50/200,IF(AND(G944&gt;400,G944&lt;=800),100+(G944-400)*100/400,IF(AND(G944&gt;800,G944&lt;=1200),200+(G944-800)*(100/400),IF(AND(G944&gt;1200,G944&lt;=1800),300+(G944-1200)*(100/600),IF(G944&gt;1800,400+(G944-1800)*(100/600))))))))</f>
        <v>8.9324999999999992</v>
      </c>
      <c r="O944">
        <f t="shared" ref="O944:O1007" si="154">IF(ISTEXT(H944),0,IF(H944&lt;=40,H944*50/40,IF(AND(H944&gt;40,H944&lt;=80),50+(H944-40)*50/40,IF(AND(H944&gt;80,H944&lt;=380),100+(H944-80)*100/300,IF(AND(H944&gt;380,H944&lt;=800),200+(H944-380)*(100/420),IF(AND(H944&gt;800,H944&lt;=1600),300+(H944-800)*(100/800),IF(H944&gt;1600,400+(H944-1600)*(100/800))))))))</f>
        <v>14.75</v>
      </c>
      <c r="P944">
        <f t="shared" ref="P944:P1007" si="155">IF(I944&lt;=4.4,(50-0)/(4.4-0)*(I944-0)+0,
IF(I944&lt;=9.4,(100-51)/(9.4-4.5)*(I944-4.5)+51,
IF(I944&lt;=12.4,(150-101)/(12.4-9.5)*(I944-9.5)+101,
IF(I944&lt;=15.4,(200-151)/(15.4-12.5)*(I944-12.5)+151,
IF(I944&lt;=30.4,(300-201)/(30.4-15.5)*(I944-15.5)+201,
(500-301)/(50.4-30.5)*(I944-30.5)+301)))))</f>
        <v>4.4318181818181817</v>
      </c>
      <c r="Q944">
        <f t="shared" ref="Q944:Q1007" si="156">IF(J944&lt;=54,(50-0)/(54-0)*(J944-0)+0,
IF(J944&lt;=70,(100-51)/(70-55)*(J944-55)+51,
IF(J944&lt;=85,(150-101)/(85-71)*(J944-71)+101,
IF(J944&lt;=105,(200-151)/(105-86)*(J944-86)+151,
IF(J944&lt;=200,(300-201)/(200-106)*(J944-106)+201,
(500-301)/(300-201)*(J944-201)+301)))))</f>
        <v>6.1018518518518521</v>
      </c>
      <c r="R944">
        <f t="shared" ref="R944:R1007" si="157">MAX(K944:Q944)</f>
        <v>44.416666666666664</v>
      </c>
      <c r="S944" t="str">
        <f t="shared" ref="S944:S1007" si="158">IF(R944&lt;=50,"Good",
IF(R944&lt;=100,"Satisfactory",
IF(R944&lt;=200,"Moderate",
IF(R944&lt;=300,"Poor",
IF(R944&lt;=400,"Very Poor",
"Severe")))))</f>
        <v>Good</v>
      </c>
      <c r="T944" t="str">
        <f t="shared" ref="T944:T1007" si="159">IF(MAX(K944:Q944)=K944,"PM2.5",
IF(MAX(K944:Q944)=L944,"PM10",
IF(MAX(K944:Q944)=M944,"NO2",
IF(MAX(K944:Q944)=N944,"NH3",
IF(MAX(K944:Q944)=O944,"SO2",
IF(MAX(K944:Q944)=P944,"CO",
IF(MAX(K944:Q944)=Q944,"OZONE","")))))))</f>
        <v>PM2.5</v>
      </c>
      <c r="U944">
        <v>23.31</v>
      </c>
      <c r="V944">
        <v>85.17</v>
      </c>
    </row>
    <row r="945" spans="1:22" x14ac:dyDescent="0.3">
      <c r="A945" s="2" t="s">
        <v>15</v>
      </c>
      <c r="B945">
        <v>560026</v>
      </c>
      <c r="C945" s="3">
        <v>44428</v>
      </c>
      <c r="D945">
        <v>38.15</v>
      </c>
      <c r="E945">
        <v>62.22</v>
      </c>
      <c r="F945">
        <v>13.28</v>
      </c>
      <c r="G945">
        <v>38.58</v>
      </c>
      <c r="H945">
        <v>11.2</v>
      </c>
      <c r="I945">
        <v>0.53</v>
      </c>
      <c r="J945">
        <v>14.58</v>
      </c>
      <c r="K945">
        <f t="shared" si="150"/>
        <v>63.583333333333329</v>
      </c>
      <c r="L945">
        <f t="shared" si="151"/>
        <v>62.22</v>
      </c>
      <c r="M945">
        <f t="shared" si="152"/>
        <v>16.600000000000001</v>
      </c>
      <c r="N945">
        <f t="shared" si="153"/>
        <v>9.6449999999999996</v>
      </c>
      <c r="O945">
        <f t="shared" si="154"/>
        <v>14</v>
      </c>
      <c r="P945">
        <f t="shared" si="155"/>
        <v>6.0227272727272725</v>
      </c>
      <c r="Q945">
        <f t="shared" si="156"/>
        <v>13.5</v>
      </c>
      <c r="R945">
        <f t="shared" si="157"/>
        <v>63.583333333333329</v>
      </c>
      <c r="S945" t="str">
        <f t="shared" si="158"/>
        <v>Satisfactory</v>
      </c>
      <c r="T945" t="str">
        <f t="shared" si="159"/>
        <v>PM2.5</v>
      </c>
      <c r="U945">
        <v>23.98</v>
      </c>
      <c r="V945">
        <v>80.69</v>
      </c>
    </row>
    <row r="946" spans="1:22" x14ac:dyDescent="0.3">
      <c r="A946" s="2" t="s">
        <v>15</v>
      </c>
      <c r="B946">
        <v>560026</v>
      </c>
      <c r="C946" s="3">
        <v>44429</v>
      </c>
      <c r="D946">
        <v>37.76</v>
      </c>
      <c r="E946">
        <v>62.18</v>
      </c>
      <c r="F946">
        <v>12.16</v>
      </c>
      <c r="G946">
        <v>47.74</v>
      </c>
      <c r="H946">
        <v>14.06</v>
      </c>
      <c r="I946">
        <v>0.54</v>
      </c>
      <c r="J946">
        <v>14.18</v>
      </c>
      <c r="K946">
        <f t="shared" si="150"/>
        <v>62.93333333333333</v>
      </c>
      <c r="L946">
        <f t="shared" si="151"/>
        <v>62.18</v>
      </c>
      <c r="M946">
        <f t="shared" si="152"/>
        <v>15.2</v>
      </c>
      <c r="N946">
        <f t="shared" si="153"/>
        <v>11.935</v>
      </c>
      <c r="O946">
        <f t="shared" si="154"/>
        <v>17.574999999999999</v>
      </c>
      <c r="P946">
        <f t="shared" si="155"/>
        <v>6.1363636363636367</v>
      </c>
      <c r="Q946">
        <f t="shared" si="156"/>
        <v>13.12962962962963</v>
      </c>
      <c r="R946">
        <f t="shared" si="157"/>
        <v>62.93333333333333</v>
      </c>
      <c r="S946" t="str">
        <f t="shared" si="158"/>
        <v>Satisfactory</v>
      </c>
      <c r="T946" t="str">
        <f t="shared" si="159"/>
        <v>PM2.5</v>
      </c>
      <c r="U946">
        <v>23.39</v>
      </c>
      <c r="V946">
        <v>84.71</v>
      </c>
    </row>
    <row r="947" spans="1:22" x14ac:dyDescent="0.3">
      <c r="A947" s="2" t="s">
        <v>15</v>
      </c>
      <c r="B947">
        <v>560026</v>
      </c>
      <c r="C947" s="3">
        <v>44430</v>
      </c>
      <c r="D947">
        <v>14</v>
      </c>
      <c r="E947">
        <v>17.670000000000002</v>
      </c>
      <c r="F947">
        <v>5.93</v>
      </c>
      <c r="G947">
        <v>14.62</v>
      </c>
      <c r="H947">
        <v>12.71</v>
      </c>
      <c r="I947">
        <v>0.62</v>
      </c>
      <c r="J947">
        <v>18.73</v>
      </c>
      <c r="K947">
        <f t="shared" si="150"/>
        <v>23.333333333333332</v>
      </c>
      <c r="L947">
        <f t="shared" si="151"/>
        <v>17.670000000000002</v>
      </c>
      <c r="M947">
        <f t="shared" si="152"/>
        <v>7.4124999999999996</v>
      </c>
      <c r="N947">
        <f t="shared" si="153"/>
        <v>3.6549999999999998</v>
      </c>
      <c r="O947">
        <f t="shared" si="154"/>
        <v>15.887499999999999</v>
      </c>
      <c r="P947">
        <f t="shared" si="155"/>
        <v>7.045454545454545</v>
      </c>
      <c r="Q947">
        <f t="shared" si="156"/>
        <v>17.342592592592592</v>
      </c>
      <c r="R947">
        <f t="shared" si="157"/>
        <v>23.333333333333332</v>
      </c>
      <c r="S947" t="str">
        <f t="shared" si="158"/>
        <v>Good</v>
      </c>
      <c r="T947" t="str">
        <f t="shared" si="159"/>
        <v>PM2.5</v>
      </c>
      <c r="U947">
        <v>19.54</v>
      </c>
      <c r="V947">
        <v>95.58</v>
      </c>
    </row>
    <row r="948" spans="1:22" x14ac:dyDescent="0.3">
      <c r="A948" s="2" t="s">
        <v>15</v>
      </c>
      <c r="B948">
        <v>560026</v>
      </c>
      <c r="C948" s="3">
        <v>44431</v>
      </c>
      <c r="D948">
        <v>35.65</v>
      </c>
      <c r="E948">
        <v>53.27</v>
      </c>
      <c r="F948">
        <v>8.7799999999999994</v>
      </c>
      <c r="G948">
        <v>41.53</v>
      </c>
      <c r="H948">
        <v>10.53</v>
      </c>
      <c r="I948">
        <v>0.6</v>
      </c>
      <c r="J948">
        <v>17.739999999999998</v>
      </c>
      <c r="K948">
        <f t="shared" si="150"/>
        <v>59.416666666666664</v>
      </c>
      <c r="L948">
        <f t="shared" si="151"/>
        <v>53.27</v>
      </c>
      <c r="M948">
        <f t="shared" si="152"/>
        <v>10.974999999999998</v>
      </c>
      <c r="N948">
        <f t="shared" si="153"/>
        <v>10.3825</v>
      </c>
      <c r="O948">
        <f t="shared" si="154"/>
        <v>13.1625</v>
      </c>
      <c r="P948">
        <f t="shared" si="155"/>
        <v>6.8181818181818175</v>
      </c>
      <c r="Q948">
        <f t="shared" si="156"/>
        <v>16.425925925925924</v>
      </c>
      <c r="R948">
        <f t="shared" si="157"/>
        <v>59.416666666666664</v>
      </c>
      <c r="S948" t="str">
        <f t="shared" si="158"/>
        <v>Satisfactory</v>
      </c>
      <c r="T948" t="str">
        <f t="shared" si="159"/>
        <v>PM2.5</v>
      </c>
      <c r="U948">
        <v>25.43</v>
      </c>
      <c r="V948">
        <v>77.349999999999994</v>
      </c>
    </row>
    <row r="949" spans="1:22" x14ac:dyDescent="0.3">
      <c r="A949" s="2" t="s">
        <v>15</v>
      </c>
      <c r="B949">
        <v>560026</v>
      </c>
      <c r="C949" s="3">
        <v>44432</v>
      </c>
      <c r="D949">
        <v>32.81</v>
      </c>
      <c r="E949">
        <v>57.09</v>
      </c>
      <c r="F949">
        <v>10.81</v>
      </c>
      <c r="G949">
        <v>40.32</v>
      </c>
      <c r="H949">
        <v>10.51</v>
      </c>
      <c r="I949">
        <v>0.59</v>
      </c>
      <c r="J949">
        <v>17.329999999999998</v>
      </c>
      <c r="K949">
        <f t="shared" si="150"/>
        <v>54.683333333333337</v>
      </c>
      <c r="L949">
        <f t="shared" si="151"/>
        <v>57.09</v>
      </c>
      <c r="M949">
        <f t="shared" si="152"/>
        <v>13.512499999999999</v>
      </c>
      <c r="N949">
        <f t="shared" si="153"/>
        <v>10.08</v>
      </c>
      <c r="O949">
        <f t="shared" si="154"/>
        <v>13.137499999999999</v>
      </c>
      <c r="P949">
        <f t="shared" si="155"/>
        <v>6.7045454545454541</v>
      </c>
      <c r="Q949">
        <f t="shared" si="156"/>
        <v>16.046296296296294</v>
      </c>
      <c r="R949">
        <f t="shared" si="157"/>
        <v>57.09</v>
      </c>
      <c r="S949" t="str">
        <f t="shared" si="158"/>
        <v>Satisfactory</v>
      </c>
      <c r="T949" t="str">
        <f t="shared" si="159"/>
        <v>PM10</v>
      </c>
      <c r="U949">
        <v>24.71</v>
      </c>
      <c r="V949">
        <v>79.7</v>
      </c>
    </row>
    <row r="950" spans="1:22" x14ac:dyDescent="0.3">
      <c r="A950" s="2" t="s">
        <v>15</v>
      </c>
      <c r="B950">
        <v>560026</v>
      </c>
      <c r="C950" s="3">
        <v>44433</v>
      </c>
      <c r="D950">
        <v>27</v>
      </c>
      <c r="E950">
        <v>47.23</v>
      </c>
      <c r="F950">
        <v>8.23</v>
      </c>
      <c r="G950">
        <v>44.59</v>
      </c>
      <c r="H950">
        <v>12.65</v>
      </c>
      <c r="I950">
        <v>0.59</v>
      </c>
      <c r="J950">
        <v>17.149999999999999</v>
      </c>
      <c r="K950">
        <f t="shared" si="150"/>
        <v>45</v>
      </c>
      <c r="L950">
        <f t="shared" si="151"/>
        <v>47.23</v>
      </c>
      <c r="M950">
        <f t="shared" si="152"/>
        <v>10.2875</v>
      </c>
      <c r="N950">
        <f t="shared" si="153"/>
        <v>11.147500000000001</v>
      </c>
      <c r="O950">
        <f t="shared" si="154"/>
        <v>15.8125</v>
      </c>
      <c r="P950">
        <f t="shared" si="155"/>
        <v>6.7045454545454541</v>
      </c>
      <c r="Q950">
        <f t="shared" si="156"/>
        <v>15.879629629629628</v>
      </c>
      <c r="R950">
        <f t="shared" si="157"/>
        <v>47.23</v>
      </c>
      <c r="S950" t="str">
        <f t="shared" si="158"/>
        <v>Good</v>
      </c>
      <c r="T950" t="str">
        <f t="shared" si="159"/>
        <v>PM10</v>
      </c>
      <c r="U950">
        <v>24.56</v>
      </c>
      <c r="V950">
        <v>80.849999999999994</v>
      </c>
    </row>
    <row r="951" spans="1:22" x14ac:dyDescent="0.3">
      <c r="A951" s="2" t="s">
        <v>15</v>
      </c>
      <c r="B951">
        <v>560026</v>
      </c>
      <c r="C951" s="3">
        <v>44434</v>
      </c>
      <c r="D951">
        <v>26.14</v>
      </c>
      <c r="E951">
        <v>42.28</v>
      </c>
      <c r="F951">
        <v>8.6</v>
      </c>
      <c r="G951">
        <v>42.46</v>
      </c>
      <c r="H951">
        <v>9.5500000000000007</v>
      </c>
      <c r="I951">
        <v>0.59</v>
      </c>
      <c r="J951">
        <v>17.12</v>
      </c>
      <c r="K951">
        <f t="shared" si="150"/>
        <v>43.56666666666667</v>
      </c>
      <c r="L951">
        <f t="shared" si="151"/>
        <v>42.28</v>
      </c>
      <c r="M951">
        <f t="shared" si="152"/>
        <v>10.75</v>
      </c>
      <c r="N951">
        <f t="shared" si="153"/>
        <v>10.615</v>
      </c>
      <c r="O951">
        <f t="shared" si="154"/>
        <v>11.937500000000002</v>
      </c>
      <c r="P951">
        <f t="shared" si="155"/>
        <v>6.7045454545454541</v>
      </c>
      <c r="Q951">
        <f t="shared" si="156"/>
        <v>15.851851851851853</v>
      </c>
      <c r="R951">
        <f t="shared" si="157"/>
        <v>43.56666666666667</v>
      </c>
      <c r="S951" t="str">
        <f t="shared" si="158"/>
        <v>Good</v>
      </c>
      <c r="T951" t="str">
        <f t="shared" si="159"/>
        <v>PM2.5</v>
      </c>
      <c r="U951">
        <v>24.08</v>
      </c>
      <c r="V951">
        <v>82.26</v>
      </c>
    </row>
    <row r="952" spans="1:22" x14ac:dyDescent="0.3">
      <c r="A952" s="2" t="s">
        <v>15</v>
      </c>
      <c r="B952">
        <v>560026</v>
      </c>
      <c r="C952" s="3">
        <v>44435</v>
      </c>
      <c r="D952">
        <v>21.44</v>
      </c>
      <c r="E952">
        <v>35.950000000000003</v>
      </c>
      <c r="F952">
        <v>9</v>
      </c>
      <c r="G952">
        <v>41.95</v>
      </c>
      <c r="H952">
        <v>7.57</v>
      </c>
      <c r="I952">
        <v>0.53</v>
      </c>
      <c r="J952">
        <v>14.01</v>
      </c>
      <c r="K952">
        <f t="shared" si="150"/>
        <v>35.733333333333334</v>
      </c>
      <c r="L952">
        <f t="shared" si="151"/>
        <v>35.950000000000003</v>
      </c>
      <c r="M952">
        <f t="shared" si="152"/>
        <v>11.25</v>
      </c>
      <c r="N952">
        <f t="shared" si="153"/>
        <v>10.487500000000001</v>
      </c>
      <c r="O952">
        <f t="shared" si="154"/>
        <v>9.4625000000000004</v>
      </c>
      <c r="P952">
        <f t="shared" si="155"/>
        <v>6.0227272727272725</v>
      </c>
      <c r="Q952">
        <f t="shared" si="156"/>
        <v>12.972222222222221</v>
      </c>
      <c r="R952">
        <f t="shared" si="157"/>
        <v>35.950000000000003</v>
      </c>
      <c r="S952" t="str">
        <f t="shared" si="158"/>
        <v>Good</v>
      </c>
      <c r="T952" t="str">
        <f t="shared" si="159"/>
        <v>PM10</v>
      </c>
      <c r="U952">
        <v>23.23</v>
      </c>
      <c r="V952">
        <v>84.61</v>
      </c>
    </row>
    <row r="953" spans="1:22" x14ac:dyDescent="0.3">
      <c r="A953" s="2" t="s">
        <v>15</v>
      </c>
      <c r="B953">
        <v>560026</v>
      </c>
      <c r="C953" s="3">
        <v>44436</v>
      </c>
      <c r="D953">
        <v>15.92</v>
      </c>
      <c r="E953">
        <v>31.72</v>
      </c>
      <c r="F953">
        <v>7.26</v>
      </c>
      <c r="G953">
        <v>34.619999999999997</v>
      </c>
      <c r="H953">
        <v>8.06</v>
      </c>
      <c r="I953">
        <v>0.54</v>
      </c>
      <c r="J953">
        <v>14.72</v>
      </c>
      <c r="K953">
        <f t="shared" si="150"/>
        <v>26.533333333333335</v>
      </c>
      <c r="L953">
        <f t="shared" si="151"/>
        <v>31.72</v>
      </c>
      <c r="M953">
        <f t="shared" si="152"/>
        <v>9.0749999999999993</v>
      </c>
      <c r="N953">
        <f t="shared" si="153"/>
        <v>8.6549999999999994</v>
      </c>
      <c r="O953">
        <f t="shared" si="154"/>
        <v>10.074999999999999</v>
      </c>
      <c r="P953">
        <f t="shared" si="155"/>
        <v>6.1363636363636367</v>
      </c>
      <c r="Q953">
        <f t="shared" si="156"/>
        <v>13.62962962962963</v>
      </c>
      <c r="R953">
        <f t="shared" si="157"/>
        <v>31.72</v>
      </c>
      <c r="S953" t="str">
        <f t="shared" si="158"/>
        <v>Good</v>
      </c>
      <c r="T953" t="str">
        <f t="shared" si="159"/>
        <v>PM10</v>
      </c>
      <c r="U953">
        <v>22.76</v>
      </c>
      <c r="V953">
        <v>86.18</v>
      </c>
    </row>
    <row r="954" spans="1:22" x14ac:dyDescent="0.3">
      <c r="A954" s="2" t="s">
        <v>15</v>
      </c>
      <c r="B954">
        <v>560026</v>
      </c>
      <c r="C954" s="3">
        <v>44437</v>
      </c>
      <c r="D954">
        <v>16.27</v>
      </c>
      <c r="E954">
        <v>32.1</v>
      </c>
      <c r="F954">
        <v>7.78</v>
      </c>
      <c r="G954">
        <v>33.01</v>
      </c>
      <c r="H954">
        <v>6.31</v>
      </c>
      <c r="I954">
        <v>0.61</v>
      </c>
      <c r="J954">
        <v>18.670000000000002</v>
      </c>
      <c r="K954">
        <f t="shared" si="150"/>
        <v>27.116666666666667</v>
      </c>
      <c r="L954">
        <f t="shared" si="151"/>
        <v>32.1</v>
      </c>
      <c r="M954">
        <f t="shared" si="152"/>
        <v>9.7249999999999996</v>
      </c>
      <c r="N954">
        <f t="shared" si="153"/>
        <v>8.2524999999999995</v>
      </c>
      <c r="O954">
        <f t="shared" si="154"/>
        <v>7.8875000000000002</v>
      </c>
      <c r="P954">
        <f t="shared" si="155"/>
        <v>6.9318181818181817</v>
      </c>
      <c r="Q954">
        <f t="shared" si="156"/>
        <v>17.287037037037038</v>
      </c>
      <c r="R954">
        <f t="shared" si="157"/>
        <v>32.1</v>
      </c>
      <c r="S954" t="str">
        <f t="shared" si="158"/>
        <v>Good</v>
      </c>
      <c r="T954" t="str">
        <f t="shared" si="159"/>
        <v>PM10</v>
      </c>
      <c r="U954">
        <v>22.01</v>
      </c>
      <c r="V954">
        <v>86.41</v>
      </c>
    </row>
    <row r="955" spans="1:22" x14ac:dyDescent="0.3">
      <c r="A955" s="2" t="s">
        <v>15</v>
      </c>
      <c r="B955">
        <v>560026</v>
      </c>
      <c r="C955" s="3">
        <v>44438</v>
      </c>
      <c r="D955">
        <v>20.72</v>
      </c>
      <c r="E955">
        <v>45.4</v>
      </c>
      <c r="F955">
        <v>11.6</v>
      </c>
      <c r="G955">
        <v>41.76</v>
      </c>
      <c r="H955">
        <v>5.44</v>
      </c>
      <c r="I955">
        <v>0.65</v>
      </c>
      <c r="J955">
        <v>20.79</v>
      </c>
      <c r="K955">
        <f t="shared" si="150"/>
        <v>34.533333333333331</v>
      </c>
      <c r="L955">
        <f t="shared" si="151"/>
        <v>45.4</v>
      </c>
      <c r="M955">
        <f t="shared" si="152"/>
        <v>14.5</v>
      </c>
      <c r="N955">
        <f t="shared" si="153"/>
        <v>10.44</v>
      </c>
      <c r="O955">
        <f t="shared" si="154"/>
        <v>6.8</v>
      </c>
      <c r="P955">
        <f t="shared" si="155"/>
        <v>7.3863636363636367</v>
      </c>
      <c r="Q955">
        <f t="shared" si="156"/>
        <v>19.25</v>
      </c>
      <c r="R955">
        <f t="shared" si="157"/>
        <v>45.4</v>
      </c>
      <c r="S955" t="str">
        <f t="shared" si="158"/>
        <v>Good</v>
      </c>
      <c r="T955" t="str">
        <f t="shared" si="159"/>
        <v>PM10</v>
      </c>
      <c r="U955">
        <v>22.78</v>
      </c>
      <c r="V955">
        <v>86.07</v>
      </c>
    </row>
    <row r="956" spans="1:22" x14ac:dyDescent="0.3">
      <c r="A956" s="2" t="s">
        <v>15</v>
      </c>
      <c r="B956">
        <v>560026</v>
      </c>
      <c r="C956" s="3">
        <v>44439</v>
      </c>
      <c r="D956">
        <v>47.95</v>
      </c>
      <c r="E956">
        <v>81.540000000000006</v>
      </c>
      <c r="F956">
        <v>12.92</v>
      </c>
      <c r="G956">
        <v>37.53</v>
      </c>
      <c r="H956">
        <v>5.51</v>
      </c>
      <c r="I956">
        <v>0.63</v>
      </c>
      <c r="J956">
        <v>19.7</v>
      </c>
      <c r="K956">
        <f t="shared" si="150"/>
        <v>79.916666666666671</v>
      </c>
      <c r="L956">
        <f t="shared" si="151"/>
        <v>81.540000000000006</v>
      </c>
      <c r="M956">
        <f t="shared" si="152"/>
        <v>16.149999999999999</v>
      </c>
      <c r="N956">
        <f t="shared" si="153"/>
        <v>9.3825000000000003</v>
      </c>
      <c r="O956">
        <f t="shared" si="154"/>
        <v>6.8875000000000002</v>
      </c>
      <c r="P956">
        <f t="shared" si="155"/>
        <v>7.1590909090909092</v>
      </c>
      <c r="Q956">
        <f t="shared" si="156"/>
        <v>18.24074074074074</v>
      </c>
      <c r="R956">
        <f t="shared" si="157"/>
        <v>81.540000000000006</v>
      </c>
      <c r="S956" t="str">
        <f t="shared" si="158"/>
        <v>Satisfactory</v>
      </c>
      <c r="T956" t="str">
        <f t="shared" si="159"/>
        <v>PM10</v>
      </c>
      <c r="U956">
        <v>23.52</v>
      </c>
      <c r="V956">
        <v>76.75</v>
      </c>
    </row>
    <row r="957" spans="1:22" x14ac:dyDescent="0.3">
      <c r="A957" s="2" t="s">
        <v>15</v>
      </c>
      <c r="B957">
        <v>560026</v>
      </c>
      <c r="C957" s="3">
        <v>44440</v>
      </c>
      <c r="D957">
        <v>40.799999999999997</v>
      </c>
      <c r="E957">
        <v>70.12</v>
      </c>
      <c r="F957">
        <v>10.18</v>
      </c>
      <c r="G957">
        <v>37.130000000000003</v>
      </c>
      <c r="H957">
        <v>6.95</v>
      </c>
      <c r="I957">
        <v>0.65</v>
      </c>
      <c r="J957">
        <v>20.92</v>
      </c>
      <c r="K957">
        <f t="shared" si="150"/>
        <v>68</v>
      </c>
      <c r="L957">
        <f t="shared" si="151"/>
        <v>70.12</v>
      </c>
      <c r="M957">
        <f t="shared" si="152"/>
        <v>12.725</v>
      </c>
      <c r="N957">
        <f t="shared" si="153"/>
        <v>9.2825000000000006</v>
      </c>
      <c r="O957">
        <f t="shared" si="154"/>
        <v>8.6875</v>
      </c>
      <c r="P957">
        <f t="shared" si="155"/>
        <v>7.3863636363636367</v>
      </c>
      <c r="Q957">
        <f t="shared" si="156"/>
        <v>19.370370370370374</v>
      </c>
      <c r="R957">
        <f t="shared" si="157"/>
        <v>70.12</v>
      </c>
      <c r="S957" t="str">
        <f t="shared" si="158"/>
        <v>Satisfactory</v>
      </c>
      <c r="T957" t="str">
        <f t="shared" si="159"/>
        <v>PM10</v>
      </c>
      <c r="U957">
        <v>24.23</v>
      </c>
      <c r="V957">
        <v>78.91</v>
      </c>
    </row>
    <row r="958" spans="1:22" x14ac:dyDescent="0.3">
      <c r="A958" s="2" t="s">
        <v>15</v>
      </c>
      <c r="B958">
        <v>560026</v>
      </c>
      <c r="C958" s="3">
        <v>44441</v>
      </c>
      <c r="D958">
        <v>21.64</v>
      </c>
      <c r="E958">
        <v>47.11</v>
      </c>
      <c r="F958">
        <v>8.18</v>
      </c>
      <c r="G958">
        <v>42.81</v>
      </c>
      <c r="H958">
        <v>7.59</v>
      </c>
      <c r="I958">
        <v>0.6</v>
      </c>
      <c r="J958">
        <v>18.04</v>
      </c>
      <c r="K958">
        <f t="shared" si="150"/>
        <v>36.06666666666667</v>
      </c>
      <c r="L958">
        <f t="shared" si="151"/>
        <v>47.11</v>
      </c>
      <c r="M958">
        <f t="shared" si="152"/>
        <v>10.225</v>
      </c>
      <c r="N958">
        <f t="shared" si="153"/>
        <v>10.702500000000001</v>
      </c>
      <c r="O958">
        <f t="shared" si="154"/>
        <v>9.4875000000000007</v>
      </c>
      <c r="P958">
        <f t="shared" si="155"/>
        <v>6.8181818181818175</v>
      </c>
      <c r="Q958">
        <f t="shared" si="156"/>
        <v>16.703703703703702</v>
      </c>
      <c r="R958">
        <f t="shared" si="157"/>
        <v>47.11</v>
      </c>
      <c r="S958" t="str">
        <f t="shared" si="158"/>
        <v>Good</v>
      </c>
      <c r="T958" t="str">
        <f t="shared" si="159"/>
        <v>PM10</v>
      </c>
      <c r="U958">
        <v>22.92</v>
      </c>
      <c r="V958">
        <v>88.33</v>
      </c>
    </row>
    <row r="959" spans="1:22" x14ac:dyDescent="0.3">
      <c r="A959" s="2" t="s">
        <v>15</v>
      </c>
      <c r="B959">
        <v>560026</v>
      </c>
      <c r="C959" s="3">
        <v>44442</v>
      </c>
      <c r="D959">
        <v>47.24</v>
      </c>
      <c r="E959">
        <v>86.76</v>
      </c>
      <c r="F959">
        <v>12.4</v>
      </c>
      <c r="G959">
        <v>38.92</v>
      </c>
      <c r="H959">
        <v>12.91</v>
      </c>
      <c r="I959">
        <v>0.59</v>
      </c>
      <c r="J959">
        <v>17.239999999999998</v>
      </c>
      <c r="K959">
        <f t="shared" si="150"/>
        <v>78.733333333333334</v>
      </c>
      <c r="L959">
        <f t="shared" si="151"/>
        <v>86.76</v>
      </c>
      <c r="M959">
        <f t="shared" si="152"/>
        <v>15.5</v>
      </c>
      <c r="N959">
        <f t="shared" si="153"/>
        <v>9.73</v>
      </c>
      <c r="O959">
        <f t="shared" si="154"/>
        <v>16.137499999999999</v>
      </c>
      <c r="P959">
        <f t="shared" si="155"/>
        <v>6.7045454545454541</v>
      </c>
      <c r="Q959">
        <f t="shared" si="156"/>
        <v>15.962962962962962</v>
      </c>
      <c r="R959">
        <f t="shared" si="157"/>
        <v>86.76</v>
      </c>
      <c r="S959" t="str">
        <f t="shared" si="158"/>
        <v>Satisfactory</v>
      </c>
      <c r="T959" t="str">
        <f t="shared" si="159"/>
        <v>PM10</v>
      </c>
      <c r="U959">
        <v>23.7</v>
      </c>
      <c r="V959">
        <v>88.29</v>
      </c>
    </row>
    <row r="960" spans="1:22" x14ac:dyDescent="0.3">
      <c r="A960" s="2" t="s">
        <v>15</v>
      </c>
      <c r="B960">
        <v>560026</v>
      </c>
      <c r="C960" s="3">
        <v>44443</v>
      </c>
      <c r="D960">
        <v>28.07</v>
      </c>
      <c r="E960">
        <v>55.68</v>
      </c>
      <c r="F960">
        <v>10.02</v>
      </c>
      <c r="G960">
        <v>40.76</v>
      </c>
      <c r="H960">
        <v>8.26</v>
      </c>
      <c r="I960">
        <v>0.53</v>
      </c>
      <c r="J960">
        <v>13.8</v>
      </c>
      <c r="K960">
        <f t="shared" si="150"/>
        <v>46.783333333333331</v>
      </c>
      <c r="L960">
        <f t="shared" si="151"/>
        <v>55.68</v>
      </c>
      <c r="M960">
        <f t="shared" si="152"/>
        <v>12.525</v>
      </c>
      <c r="N960">
        <f t="shared" si="153"/>
        <v>10.19</v>
      </c>
      <c r="O960">
        <f t="shared" si="154"/>
        <v>10.324999999999999</v>
      </c>
      <c r="P960">
        <f t="shared" si="155"/>
        <v>6.0227272727272725</v>
      </c>
      <c r="Q960">
        <f t="shared" si="156"/>
        <v>12.777777777777779</v>
      </c>
      <c r="R960">
        <f t="shared" si="157"/>
        <v>55.68</v>
      </c>
      <c r="S960" t="str">
        <f t="shared" si="158"/>
        <v>Satisfactory</v>
      </c>
      <c r="T960" t="str">
        <f t="shared" si="159"/>
        <v>PM10</v>
      </c>
      <c r="U960">
        <v>22.16</v>
      </c>
      <c r="V960">
        <v>90.28</v>
      </c>
    </row>
    <row r="961" spans="1:22" x14ac:dyDescent="0.3">
      <c r="A961" s="2" t="s">
        <v>15</v>
      </c>
      <c r="B961">
        <v>560026</v>
      </c>
      <c r="C961" s="3">
        <v>44444</v>
      </c>
      <c r="D961">
        <v>20.04</v>
      </c>
      <c r="E961">
        <v>36.97</v>
      </c>
      <c r="F961">
        <v>9.43</v>
      </c>
      <c r="G961">
        <v>33.69</v>
      </c>
      <c r="H961">
        <v>7.35</v>
      </c>
      <c r="I961">
        <v>0.53</v>
      </c>
      <c r="J961">
        <v>13.76</v>
      </c>
      <c r="K961">
        <f t="shared" si="150"/>
        <v>33.4</v>
      </c>
      <c r="L961">
        <f t="shared" si="151"/>
        <v>36.97</v>
      </c>
      <c r="M961">
        <f t="shared" si="152"/>
        <v>11.7875</v>
      </c>
      <c r="N961">
        <f t="shared" si="153"/>
        <v>8.4224999999999994</v>
      </c>
      <c r="O961">
        <f t="shared" si="154"/>
        <v>9.1875</v>
      </c>
      <c r="P961">
        <f t="shared" si="155"/>
        <v>6.0227272727272725</v>
      </c>
      <c r="Q961">
        <f t="shared" si="156"/>
        <v>12.74074074074074</v>
      </c>
      <c r="R961">
        <f t="shared" si="157"/>
        <v>36.97</v>
      </c>
      <c r="S961" t="str">
        <f t="shared" si="158"/>
        <v>Good</v>
      </c>
      <c r="T961" t="str">
        <f t="shared" si="159"/>
        <v>PM10</v>
      </c>
      <c r="U961">
        <v>21.94</v>
      </c>
      <c r="V961">
        <v>90.12</v>
      </c>
    </row>
    <row r="962" spans="1:22" x14ac:dyDescent="0.3">
      <c r="A962" s="2" t="s">
        <v>15</v>
      </c>
      <c r="B962">
        <v>560026</v>
      </c>
      <c r="C962" s="3">
        <v>44445</v>
      </c>
      <c r="D962">
        <v>18.670000000000002</v>
      </c>
      <c r="E962">
        <v>34.78</v>
      </c>
      <c r="F962">
        <v>10.17</v>
      </c>
      <c r="G962">
        <v>34.11</v>
      </c>
      <c r="H962">
        <v>6.01</v>
      </c>
      <c r="I962">
        <v>0.57999999999999996</v>
      </c>
      <c r="J962">
        <v>16.8</v>
      </c>
      <c r="K962">
        <f t="shared" si="150"/>
        <v>31.116666666666671</v>
      </c>
      <c r="L962">
        <f t="shared" si="151"/>
        <v>34.78</v>
      </c>
      <c r="M962">
        <f t="shared" si="152"/>
        <v>12.7125</v>
      </c>
      <c r="N962">
        <f t="shared" si="153"/>
        <v>8.5274999999999999</v>
      </c>
      <c r="O962">
        <f t="shared" si="154"/>
        <v>7.5125000000000002</v>
      </c>
      <c r="P962">
        <f t="shared" si="155"/>
        <v>6.5909090909090899</v>
      </c>
      <c r="Q962">
        <f t="shared" si="156"/>
        <v>15.555555555555557</v>
      </c>
      <c r="R962">
        <f t="shared" si="157"/>
        <v>34.78</v>
      </c>
      <c r="S962" t="str">
        <f t="shared" si="158"/>
        <v>Good</v>
      </c>
      <c r="T962" t="str">
        <f t="shared" si="159"/>
        <v>PM10</v>
      </c>
      <c r="U962">
        <v>22.71</v>
      </c>
      <c r="V962">
        <v>81.28</v>
      </c>
    </row>
    <row r="963" spans="1:22" x14ac:dyDescent="0.3">
      <c r="A963" s="2" t="s">
        <v>15</v>
      </c>
      <c r="B963">
        <v>560026</v>
      </c>
      <c r="C963" s="3">
        <v>44446</v>
      </c>
      <c r="D963">
        <v>18.010000000000002</v>
      </c>
      <c r="E963">
        <v>35.78</v>
      </c>
      <c r="F963">
        <v>9.07</v>
      </c>
      <c r="G963">
        <v>36.619999999999997</v>
      </c>
      <c r="H963">
        <v>9.9600000000000009</v>
      </c>
      <c r="I963">
        <v>0.6</v>
      </c>
      <c r="J963">
        <v>17.88</v>
      </c>
      <c r="K963">
        <f t="shared" si="150"/>
        <v>30.016666666666669</v>
      </c>
      <c r="L963">
        <f t="shared" si="151"/>
        <v>35.78</v>
      </c>
      <c r="M963">
        <f t="shared" si="152"/>
        <v>11.3375</v>
      </c>
      <c r="N963">
        <f t="shared" si="153"/>
        <v>9.1549999999999994</v>
      </c>
      <c r="O963">
        <f t="shared" si="154"/>
        <v>12.450000000000001</v>
      </c>
      <c r="P963">
        <f t="shared" si="155"/>
        <v>6.8181818181818175</v>
      </c>
      <c r="Q963">
        <f t="shared" si="156"/>
        <v>16.555555555555554</v>
      </c>
      <c r="R963">
        <f t="shared" si="157"/>
        <v>35.78</v>
      </c>
      <c r="S963" t="str">
        <f t="shared" si="158"/>
        <v>Good</v>
      </c>
      <c r="T963" t="str">
        <f t="shared" si="159"/>
        <v>PM10</v>
      </c>
      <c r="U963">
        <v>21.97</v>
      </c>
      <c r="V963">
        <v>88.59</v>
      </c>
    </row>
    <row r="964" spans="1:22" x14ac:dyDescent="0.3">
      <c r="A964" s="2" t="s">
        <v>15</v>
      </c>
      <c r="B964">
        <v>560026</v>
      </c>
      <c r="C964" s="3">
        <v>44447</v>
      </c>
      <c r="D964">
        <v>41.8</v>
      </c>
      <c r="E964">
        <v>68.3</v>
      </c>
      <c r="F964">
        <v>8.82</v>
      </c>
      <c r="G964">
        <v>42.88</v>
      </c>
      <c r="H964">
        <v>8.98</v>
      </c>
      <c r="I964">
        <v>0.55000000000000004</v>
      </c>
      <c r="J964">
        <v>15.1</v>
      </c>
      <c r="K964">
        <f t="shared" si="150"/>
        <v>69.666666666666657</v>
      </c>
      <c r="L964">
        <f t="shared" si="151"/>
        <v>68.3</v>
      </c>
      <c r="M964">
        <f t="shared" si="152"/>
        <v>11.025</v>
      </c>
      <c r="N964">
        <f t="shared" si="153"/>
        <v>10.72</v>
      </c>
      <c r="O964">
        <f t="shared" si="154"/>
        <v>11.225</v>
      </c>
      <c r="P964">
        <f t="shared" si="155"/>
        <v>6.25</v>
      </c>
      <c r="Q964">
        <f t="shared" si="156"/>
        <v>13.981481481481481</v>
      </c>
      <c r="R964">
        <f t="shared" si="157"/>
        <v>69.666666666666657</v>
      </c>
      <c r="S964" t="str">
        <f t="shared" si="158"/>
        <v>Satisfactory</v>
      </c>
      <c r="T964" t="str">
        <f t="shared" si="159"/>
        <v>PM2.5</v>
      </c>
      <c r="U964">
        <v>22.92</v>
      </c>
      <c r="V964">
        <v>85.88</v>
      </c>
    </row>
    <row r="965" spans="1:22" x14ac:dyDescent="0.3">
      <c r="A965" s="2" t="s">
        <v>15</v>
      </c>
      <c r="B965">
        <v>560026</v>
      </c>
      <c r="C965" s="3">
        <v>44448</v>
      </c>
      <c r="D965">
        <v>28.75</v>
      </c>
      <c r="E965">
        <v>61.04</v>
      </c>
      <c r="F965">
        <v>9.64</v>
      </c>
      <c r="G965">
        <v>30.08</v>
      </c>
      <c r="H965">
        <v>9.1999999999999993</v>
      </c>
      <c r="I965">
        <v>0.56000000000000005</v>
      </c>
      <c r="J965">
        <v>15.31</v>
      </c>
      <c r="K965">
        <f t="shared" si="150"/>
        <v>47.916666666666664</v>
      </c>
      <c r="L965">
        <f t="shared" si="151"/>
        <v>61.04</v>
      </c>
      <c r="M965">
        <f t="shared" si="152"/>
        <v>12.05</v>
      </c>
      <c r="N965">
        <f t="shared" si="153"/>
        <v>7.52</v>
      </c>
      <c r="O965">
        <f t="shared" si="154"/>
        <v>11.499999999999998</v>
      </c>
      <c r="P965">
        <f t="shared" si="155"/>
        <v>6.3636363636363642</v>
      </c>
      <c r="Q965">
        <f t="shared" si="156"/>
        <v>14.175925925925926</v>
      </c>
      <c r="R965">
        <f t="shared" si="157"/>
        <v>61.04</v>
      </c>
      <c r="S965" t="str">
        <f t="shared" si="158"/>
        <v>Satisfactory</v>
      </c>
      <c r="T965" t="str">
        <f t="shared" si="159"/>
        <v>PM10</v>
      </c>
      <c r="U965">
        <v>23.69</v>
      </c>
      <c r="V965">
        <v>81.81</v>
      </c>
    </row>
    <row r="966" spans="1:22" x14ac:dyDescent="0.3">
      <c r="A966" s="2" t="s">
        <v>15</v>
      </c>
      <c r="B966">
        <v>560026</v>
      </c>
      <c r="C966" s="3">
        <v>44449</v>
      </c>
      <c r="D966">
        <v>23.3</v>
      </c>
      <c r="E966">
        <v>46.72</v>
      </c>
      <c r="F966">
        <v>7.24</v>
      </c>
      <c r="G966">
        <v>37.619999999999997</v>
      </c>
      <c r="H966">
        <v>4.32</v>
      </c>
      <c r="I966">
        <v>0.56999999999999995</v>
      </c>
      <c r="J966">
        <v>16.29</v>
      </c>
      <c r="K966">
        <f t="shared" si="150"/>
        <v>38.833333333333336</v>
      </c>
      <c r="L966">
        <f t="shared" si="151"/>
        <v>46.72</v>
      </c>
      <c r="M966">
        <f t="shared" si="152"/>
        <v>9.0500000000000007</v>
      </c>
      <c r="N966">
        <f t="shared" si="153"/>
        <v>9.4049999999999994</v>
      </c>
      <c r="O966">
        <f t="shared" si="154"/>
        <v>5.4</v>
      </c>
      <c r="P966">
        <f t="shared" si="155"/>
        <v>6.4772727272727266</v>
      </c>
      <c r="Q966">
        <f t="shared" si="156"/>
        <v>15.083333333333332</v>
      </c>
      <c r="R966">
        <f t="shared" si="157"/>
        <v>46.72</v>
      </c>
      <c r="S966" t="str">
        <f t="shared" si="158"/>
        <v>Good</v>
      </c>
      <c r="T966" t="str">
        <f t="shared" si="159"/>
        <v>PM10</v>
      </c>
      <c r="U966">
        <v>23.97</v>
      </c>
      <c r="V966">
        <v>82.19</v>
      </c>
    </row>
    <row r="967" spans="1:22" x14ac:dyDescent="0.3">
      <c r="A967" s="2" t="s">
        <v>15</v>
      </c>
      <c r="B967">
        <v>560026</v>
      </c>
      <c r="C967" s="3">
        <v>44450</v>
      </c>
      <c r="D967">
        <v>21.78</v>
      </c>
      <c r="E967">
        <v>43.98</v>
      </c>
      <c r="F967">
        <v>7.56</v>
      </c>
      <c r="G967">
        <v>34.450000000000003</v>
      </c>
      <c r="H967">
        <v>8.61</v>
      </c>
      <c r="I967">
        <v>0.56999999999999995</v>
      </c>
      <c r="J967">
        <v>15.91</v>
      </c>
      <c r="K967">
        <f t="shared" si="150"/>
        <v>36.299999999999997</v>
      </c>
      <c r="L967">
        <f t="shared" si="151"/>
        <v>43.98</v>
      </c>
      <c r="M967">
        <f t="shared" si="152"/>
        <v>9.4499999999999993</v>
      </c>
      <c r="N967">
        <f t="shared" si="153"/>
        <v>8.6125000000000007</v>
      </c>
      <c r="O967">
        <f t="shared" si="154"/>
        <v>10.762499999999999</v>
      </c>
      <c r="P967">
        <f t="shared" si="155"/>
        <v>6.4772727272727266</v>
      </c>
      <c r="Q967">
        <f t="shared" si="156"/>
        <v>14.731481481481481</v>
      </c>
      <c r="R967">
        <f t="shared" si="157"/>
        <v>43.98</v>
      </c>
      <c r="S967" t="str">
        <f t="shared" si="158"/>
        <v>Good</v>
      </c>
      <c r="T967" t="str">
        <f t="shared" si="159"/>
        <v>PM10</v>
      </c>
      <c r="U967">
        <v>23.3</v>
      </c>
      <c r="V967">
        <v>84.23</v>
      </c>
    </row>
    <row r="968" spans="1:22" x14ac:dyDescent="0.3">
      <c r="A968" s="2" t="s">
        <v>15</v>
      </c>
      <c r="B968">
        <v>560026</v>
      </c>
      <c r="C968" s="3">
        <v>44451</v>
      </c>
      <c r="D968">
        <v>17.07</v>
      </c>
      <c r="E968">
        <v>33.36</v>
      </c>
      <c r="F968">
        <v>6.15</v>
      </c>
      <c r="G968">
        <v>32.29</v>
      </c>
      <c r="H968">
        <v>10.62</v>
      </c>
      <c r="I968">
        <v>0.56000000000000005</v>
      </c>
      <c r="J968">
        <v>15.35</v>
      </c>
      <c r="K968">
        <f t="shared" si="150"/>
        <v>28.45</v>
      </c>
      <c r="L968">
        <f t="shared" si="151"/>
        <v>33.36</v>
      </c>
      <c r="M968">
        <f t="shared" si="152"/>
        <v>7.6875</v>
      </c>
      <c r="N968">
        <f t="shared" si="153"/>
        <v>8.0724999999999998</v>
      </c>
      <c r="O968">
        <f t="shared" si="154"/>
        <v>13.275</v>
      </c>
      <c r="P968">
        <f t="shared" si="155"/>
        <v>6.3636363636363642</v>
      </c>
      <c r="Q968">
        <f t="shared" si="156"/>
        <v>14.212962962962962</v>
      </c>
      <c r="R968">
        <f t="shared" si="157"/>
        <v>33.36</v>
      </c>
      <c r="S968" t="str">
        <f t="shared" si="158"/>
        <v>Good</v>
      </c>
      <c r="T968" t="str">
        <f t="shared" si="159"/>
        <v>PM10</v>
      </c>
      <c r="U968">
        <v>23.46</v>
      </c>
      <c r="V968">
        <v>85.12</v>
      </c>
    </row>
    <row r="969" spans="1:22" x14ac:dyDescent="0.3">
      <c r="A969" s="2" t="s">
        <v>15</v>
      </c>
      <c r="B969">
        <v>560026</v>
      </c>
      <c r="C969" s="3">
        <v>44452</v>
      </c>
      <c r="D969">
        <v>18.63</v>
      </c>
      <c r="E969">
        <v>38.97</v>
      </c>
      <c r="F969">
        <v>6.57</v>
      </c>
      <c r="G969">
        <v>32.69</v>
      </c>
      <c r="H969">
        <v>6.6751724140000004</v>
      </c>
      <c r="I969">
        <v>0.56999999999999995</v>
      </c>
      <c r="J969">
        <v>16.09</v>
      </c>
      <c r="K969">
        <f t="shared" si="150"/>
        <v>31.05</v>
      </c>
      <c r="L969">
        <f t="shared" si="151"/>
        <v>38.97</v>
      </c>
      <c r="M969">
        <f t="shared" si="152"/>
        <v>8.2125000000000004</v>
      </c>
      <c r="N969">
        <f t="shared" si="153"/>
        <v>8.1724999999999994</v>
      </c>
      <c r="O969">
        <f t="shared" si="154"/>
        <v>8.3439655174999992</v>
      </c>
      <c r="P969">
        <f t="shared" si="155"/>
        <v>6.4772727272727266</v>
      </c>
      <c r="Q969">
        <f t="shared" si="156"/>
        <v>14.898148148148149</v>
      </c>
      <c r="R969">
        <f t="shared" si="157"/>
        <v>38.97</v>
      </c>
      <c r="S969" t="str">
        <f t="shared" si="158"/>
        <v>Good</v>
      </c>
      <c r="T969" t="str">
        <f t="shared" si="159"/>
        <v>PM10</v>
      </c>
      <c r="U969">
        <v>23.51</v>
      </c>
      <c r="V969">
        <v>84.43</v>
      </c>
    </row>
    <row r="970" spans="1:22" x14ac:dyDescent="0.3">
      <c r="A970" s="2" t="s">
        <v>15</v>
      </c>
      <c r="B970">
        <v>560026</v>
      </c>
      <c r="C970" s="3">
        <v>44453</v>
      </c>
      <c r="D970">
        <v>28.71</v>
      </c>
      <c r="E970">
        <v>55.78</v>
      </c>
      <c r="F970">
        <v>8.35</v>
      </c>
      <c r="G970">
        <v>34.28</v>
      </c>
      <c r="H970">
        <v>6.84</v>
      </c>
      <c r="I970">
        <v>0.54</v>
      </c>
      <c r="J970">
        <v>14.61</v>
      </c>
      <c r="K970">
        <f t="shared" si="150"/>
        <v>47.85</v>
      </c>
      <c r="L970">
        <f t="shared" si="151"/>
        <v>55.78</v>
      </c>
      <c r="M970">
        <f t="shared" si="152"/>
        <v>10.4375</v>
      </c>
      <c r="N970">
        <f t="shared" si="153"/>
        <v>8.57</v>
      </c>
      <c r="O970">
        <f t="shared" si="154"/>
        <v>8.5500000000000007</v>
      </c>
      <c r="P970">
        <f t="shared" si="155"/>
        <v>6.1363636363636367</v>
      </c>
      <c r="Q970">
        <f t="shared" si="156"/>
        <v>13.527777777777777</v>
      </c>
      <c r="R970">
        <f t="shared" si="157"/>
        <v>55.78</v>
      </c>
      <c r="S970" t="str">
        <f t="shared" si="158"/>
        <v>Satisfactory</v>
      </c>
      <c r="T970" t="str">
        <f t="shared" si="159"/>
        <v>PM10</v>
      </c>
      <c r="U970">
        <v>24.06</v>
      </c>
      <c r="V970">
        <v>82.81</v>
      </c>
    </row>
    <row r="971" spans="1:22" x14ac:dyDescent="0.3">
      <c r="A971" s="2" t="s">
        <v>15</v>
      </c>
      <c r="B971">
        <v>560026</v>
      </c>
      <c r="C971" s="3">
        <v>44454</v>
      </c>
      <c r="D971">
        <v>37.81</v>
      </c>
      <c r="E971">
        <v>71.19</v>
      </c>
      <c r="F971">
        <v>7.04</v>
      </c>
      <c r="G971">
        <v>37.54</v>
      </c>
      <c r="H971">
        <v>6.46</v>
      </c>
      <c r="I971">
        <v>0.54</v>
      </c>
      <c r="J971">
        <v>14.39</v>
      </c>
      <c r="K971">
        <f t="shared" si="150"/>
        <v>63.016666666666673</v>
      </c>
      <c r="L971">
        <f t="shared" si="151"/>
        <v>71.19</v>
      </c>
      <c r="M971">
        <f t="shared" si="152"/>
        <v>8.8000000000000007</v>
      </c>
      <c r="N971">
        <f t="shared" si="153"/>
        <v>9.3849999999999998</v>
      </c>
      <c r="O971">
        <f t="shared" si="154"/>
        <v>8.0749999999999993</v>
      </c>
      <c r="P971">
        <f t="shared" si="155"/>
        <v>6.1363636363636367</v>
      </c>
      <c r="Q971">
        <f t="shared" si="156"/>
        <v>13.324074074074074</v>
      </c>
      <c r="R971">
        <f t="shared" si="157"/>
        <v>71.19</v>
      </c>
      <c r="S971" t="str">
        <f t="shared" si="158"/>
        <v>Satisfactory</v>
      </c>
      <c r="T971" t="str">
        <f t="shared" si="159"/>
        <v>PM10</v>
      </c>
      <c r="U971">
        <v>24</v>
      </c>
      <c r="V971">
        <v>81.739999999999995</v>
      </c>
    </row>
    <row r="972" spans="1:22" x14ac:dyDescent="0.3">
      <c r="A972" s="2" t="s">
        <v>15</v>
      </c>
      <c r="B972">
        <v>560026</v>
      </c>
      <c r="C972" s="3">
        <v>44455</v>
      </c>
      <c r="D972">
        <v>38.32</v>
      </c>
      <c r="E972">
        <v>79.260000000000005</v>
      </c>
      <c r="F972">
        <v>8.01</v>
      </c>
      <c r="G972">
        <v>38.090000000000003</v>
      </c>
      <c r="H972">
        <v>5.39</v>
      </c>
      <c r="I972">
        <v>0.48</v>
      </c>
      <c r="J972">
        <v>11.15</v>
      </c>
      <c r="K972">
        <f t="shared" si="150"/>
        <v>63.866666666666667</v>
      </c>
      <c r="L972">
        <f t="shared" si="151"/>
        <v>79.260000000000005</v>
      </c>
      <c r="M972">
        <f t="shared" si="152"/>
        <v>10.012499999999999</v>
      </c>
      <c r="N972">
        <f t="shared" si="153"/>
        <v>9.5225000000000009</v>
      </c>
      <c r="O972">
        <f t="shared" si="154"/>
        <v>6.7374999999999998</v>
      </c>
      <c r="P972">
        <f t="shared" si="155"/>
        <v>5.4545454545454541</v>
      </c>
      <c r="Q972">
        <f t="shared" si="156"/>
        <v>10.324074074074074</v>
      </c>
      <c r="R972">
        <f t="shared" si="157"/>
        <v>79.260000000000005</v>
      </c>
      <c r="S972" t="str">
        <f t="shared" si="158"/>
        <v>Satisfactory</v>
      </c>
      <c r="T972" t="str">
        <f t="shared" si="159"/>
        <v>PM10</v>
      </c>
      <c r="U972">
        <v>24.63</v>
      </c>
      <c r="V972">
        <v>78.88</v>
      </c>
    </row>
    <row r="973" spans="1:22" x14ac:dyDescent="0.3">
      <c r="A973" s="2" t="s">
        <v>15</v>
      </c>
      <c r="B973">
        <v>560026</v>
      </c>
      <c r="C973" s="3">
        <v>44456</v>
      </c>
      <c r="D973">
        <v>39.479999999999997</v>
      </c>
      <c r="E973">
        <v>75.290000000000006</v>
      </c>
      <c r="F973">
        <v>8.32</v>
      </c>
      <c r="G973">
        <v>41.63</v>
      </c>
      <c r="H973">
        <v>5.24</v>
      </c>
      <c r="I973">
        <v>0.47</v>
      </c>
      <c r="J973">
        <v>10</v>
      </c>
      <c r="K973">
        <f t="shared" si="150"/>
        <v>65.8</v>
      </c>
      <c r="L973">
        <f t="shared" si="151"/>
        <v>75.290000000000006</v>
      </c>
      <c r="M973">
        <f t="shared" si="152"/>
        <v>10.4</v>
      </c>
      <c r="N973">
        <f t="shared" si="153"/>
        <v>10.407500000000001</v>
      </c>
      <c r="O973">
        <f t="shared" si="154"/>
        <v>6.55</v>
      </c>
      <c r="P973">
        <f t="shared" si="155"/>
        <v>5.3409090909090908</v>
      </c>
      <c r="Q973">
        <f t="shared" si="156"/>
        <v>9.2592592592592595</v>
      </c>
      <c r="R973">
        <f t="shared" si="157"/>
        <v>75.290000000000006</v>
      </c>
      <c r="S973" t="str">
        <f t="shared" si="158"/>
        <v>Satisfactory</v>
      </c>
      <c r="T973" t="str">
        <f t="shared" si="159"/>
        <v>PM10</v>
      </c>
      <c r="U973">
        <v>25.28</v>
      </c>
      <c r="V973">
        <v>75.23</v>
      </c>
    </row>
    <row r="974" spans="1:22" x14ac:dyDescent="0.3">
      <c r="A974" s="2" t="s">
        <v>15</v>
      </c>
      <c r="B974">
        <v>560026</v>
      </c>
      <c r="C974" s="3">
        <v>44457</v>
      </c>
      <c r="D974">
        <v>38.770000000000003</v>
      </c>
      <c r="E974">
        <v>75.81</v>
      </c>
      <c r="F974">
        <v>10.72</v>
      </c>
      <c r="G974">
        <v>39.85</v>
      </c>
      <c r="H974">
        <v>5.24</v>
      </c>
      <c r="I974">
        <v>0.88</v>
      </c>
      <c r="J974">
        <v>7.31</v>
      </c>
      <c r="K974">
        <f t="shared" si="150"/>
        <v>64.616666666666674</v>
      </c>
      <c r="L974">
        <f t="shared" si="151"/>
        <v>75.81</v>
      </c>
      <c r="M974">
        <f t="shared" si="152"/>
        <v>13.4</v>
      </c>
      <c r="N974">
        <f t="shared" si="153"/>
        <v>9.9625000000000004</v>
      </c>
      <c r="O974">
        <f t="shared" si="154"/>
        <v>6.55</v>
      </c>
      <c r="P974">
        <f t="shared" si="155"/>
        <v>10</v>
      </c>
      <c r="Q974">
        <f t="shared" si="156"/>
        <v>6.7685185185185182</v>
      </c>
      <c r="R974">
        <f t="shared" si="157"/>
        <v>75.81</v>
      </c>
      <c r="S974" t="str">
        <f t="shared" si="158"/>
        <v>Satisfactory</v>
      </c>
      <c r="T974" t="str">
        <f t="shared" si="159"/>
        <v>PM10</v>
      </c>
      <c r="U974">
        <v>25.98</v>
      </c>
      <c r="V974">
        <v>69.459999999999994</v>
      </c>
    </row>
    <row r="975" spans="1:22" x14ac:dyDescent="0.3">
      <c r="A975" s="2" t="s">
        <v>15</v>
      </c>
      <c r="B975">
        <v>560026</v>
      </c>
      <c r="C975" s="3">
        <v>44458</v>
      </c>
      <c r="D975">
        <v>37.880000000000003</v>
      </c>
      <c r="E975">
        <v>71.209999999999994</v>
      </c>
      <c r="F975">
        <v>12.1</v>
      </c>
      <c r="G975">
        <v>42.89</v>
      </c>
      <c r="H975">
        <v>5.37</v>
      </c>
      <c r="I975">
        <v>0.82</v>
      </c>
      <c r="J975">
        <v>5.72</v>
      </c>
      <c r="K975">
        <f t="shared" si="150"/>
        <v>63.13333333333334</v>
      </c>
      <c r="L975">
        <f t="shared" si="151"/>
        <v>71.209999999999994</v>
      </c>
      <c r="M975">
        <f t="shared" si="152"/>
        <v>15.125</v>
      </c>
      <c r="N975">
        <f t="shared" si="153"/>
        <v>10.7225</v>
      </c>
      <c r="O975">
        <f t="shared" si="154"/>
        <v>6.7125000000000004</v>
      </c>
      <c r="P975">
        <f t="shared" si="155"/>
        <v>9.3181818181818166</v>
      </c>
      <c r="Q975">
        <f t="shared" si="156"/>
        <v>5.2962962962962958</v>
      </c>
      <c r="R975">
        <f t="shared" si="157"/>
        <v>71.209999999999994</v>
      </c>
      <c r="S975" t="str">
        <f t="shared" si="158"/>
        <v>Satisfactory</v>
      </c>
      <c r="T975" t="str">
        <f t="shared" si="159"/>
        <v>PM10</v>
      </c>
      <c r="U975">
        <v>27.24</v>
      </c>
      <c r="V975">
        <v>69.150000000000006</v>
      </c>
    </row>
    <row r="976" spans="1:22" x14ac:dyDescent="0.3">
      <c r="A976" s="2" t="s">
        <v>15</v>
      </c>
      <c r="B976">
        <v>560026</v>
      </c>
      <c r="C976" s="3">
        <v>44459</v>
      </c>
      <c r="D976">
        <v>35.82</v>
      </c>
      <c r="E976">
        <v>61.88</v>
      </c>
      <c r="F976">
        <v>12.68</v>
      </c>
      <c r="G976">
        <v>50.89</v>
      </c>
      <c r="H976">
        <v>5.6</v>
      </c>
      <c r="I976">
        <v>1.1399999999999999</v>
      </c>
      <c r="J976">
        <v>16.96</v>
      </c>
      <c r="K976">
        <f t="shared" si="150"/>
        <v>59.7</v>
      </c>
      <c r="L976">
        <f t="shared" si="151"/>
        <v>61.88</v>
      </c>
      <c r="M976">
        <f t="shared" si="152"/>
        <v>15.85</v>
      </c>
      <c r="N976">
        <f t="shared" si="153"/>
        <v>12.7225</v>
      </c>
      <c r="O976">
        <f t="shared" si="154"/>
        <v>7</v>
      </c>
      <c r="P976">
        <f t="shared" si="155"/>
        <v>12.954545454545453</v>
      </c>
      <c r="Q976">
        <f t="shared" si="156"/>
        <v>15.703703703703704</v>
      </c>
      <c r="R976">
        <f t="shared" si="157"/>
        <v>61.88</v>
      </c>
      <c r="S976" t="str">
        <f t="shared" si="158"/>
        <v>Satisfactory</v>
      </c>
      <c r="T976" t="str">
        <f t="shared" si="159"/>
        <v>PM10</v>
      </c>
      <c r="U976">
        <v>24.44</v>
      </c>
      <c r="V976">
        <v>83.86</v>
      </c>
    </row>
    <row r="977" spans="1:22" x14ac:dyDescent="0.3">
      <c r="A977" s="2" t="s">
        <v>15</v>
      </c>
      <c r="B977">
        <v>560026</v>
      </c>
      <c r="C977" s="3">
        <v>44460</v>
      </c>
      <c r="D977">
        <v>26.17</v>
      </c>
      <c r="E977">
        <v>45.13</v>
      </c>
      <c r="F977">
        <v>8.5299999999999994</v>
      </c>
      <c r="G977">
        <v>44.49</v>
      </c>
      <c r="H977">
        <v>5.64</v>
      </c>
      <c r="I977">
        <v>1.07</v>
      </c>
      <c r="J977">
        <v>17.04</v>
      </c>
      <c r="K977">
        <f t="shared" si="150"/>
        <v>43.616666666666667</v>
      </c>
      <c r="L977">
        <f t="shared" si="151"/>
        <v>45.13</v>
      </c>
      <c r="M977">
        <f t="shared" si="152"/>
        <v>10.662499999999998</v>
      </c>
      <c r="N977">
        <f t="shared" si="153"/>
        <v>11.1225</v>
      </c>
      <c r="O977">
        <f t="shared" si="154"/>
        <v>7.05</v>
      </c>
      <c r="P977">
        <f t="shared" si="155"/>
        <v>12.15909090909091</v>
      </c>
      <c r="Q977">
        <f t="shared" si="156"/>
        <v>15.777777777777777</v>
      </c>
      <c r="R977">
        <f t="shared" si="157"/>
        <v>45.13</v>
      </c>
      <c r="S977" t="str">
        <f t="shared" si="158"/>
        <v>Good</v>
      </c>
      <c r="T977" t="str">
        <f t="shared" si="159"/>
        <v>PM10</v>
      </c>
      <c r="U977">
        <v>23.93</v>
      </c>
      <c r="V977">
        <v>84.03</v>
      </c>
    </row>
    <row r="978" spans="1:22" x14ac:dyDescent="0.3">
      <c r="A978" s="2" t="s">
        <v>15</v>
      </c>
      <c r="B978">
        <v>560026</v>
      </c>
      <c r="C978" s="3">
        <v>44461</v>
      </c>
      <c r="D978">
        <v>29.49</v>
      </c>
      <c r="E978">
        <v>54.83</v>
      </c>
      <c r="F978">
        <v>7.17</v>
      </c>
      <c r="G978">
        <v>41.5</v>
      </c>
      <c r="H978">
        <v>5.33</v>
      </c>
      <c r="I978">
        <v>0.99</v>
      </c>
      <c r="J978">
        <v>17.18</v>
      </c>
      <c r="K978">
        <f t="shared" si="150"/>
        <v>49.15</v>
      </c>
      <c r="L978">
        <f t="shared" si="151"/>
        <v>54.83</v>
      </c>
      <c r="M978">
        <f t="shared" si="152"/>
        <v>8.9625000000000004</v>
      </c>
      <c r="N978">
        <f t="shared" si="153"/>
        <v>10.375</v>
      </c>
      <c r="O978">
        <f t="shared" si="154"/>
        <v>6.6624999999999996</v>
      </c>
      <c r="P978">
        <f t="shared" si="155"/>
        <v>11.25</v>
      </c>
      <c r="Q978">
        <f t="shared" si="156"/>
        <v>15.907407407407407</v>
      </c>
      <c r="R978">
        <f t="shared" si="157"/>
        <v>54.83</v>
      </c>
      <c r="S978" t="str">
        <f t="shared" si="158"/>
        <v>Satisfactory</v>
      </c>
      <c r="T978" t="str">
        <f t="shared" si="159"/>
        <v>PM10</v>
      </c>
      <c r="U978">
        <v>24.08</v>
      </c>
      <c r="V978">
        <v>83.42</v>
      </c>
    </row>
    <row r="979" spans="1:22" x14ac:dyDescent="0.3">
      <c r="A979" s="2" t="s">
        <v>15</v>
      </c>
      <c r="B979">
        <v>560026</v>
      </c>
      <c r="C979" s="3">
        <v>44462</v>
      </c>
      <c r="D979">
        <v>24.77</v>
      </c>
      <c r="E979">
        <v>50.2</v>
      </c>
      <c r="F979">
        <v>7.38</v>
      </c>
      <c r="G979">
        <v>38.22</v>
      </c>
      <c r="H979">
        <v>5.41</v>
      </c>
      <c r="I979">
        <v>0.82</v>
      </c>
      <c r="J979">
        <v>17.02</v>
      </c>
      <c r="K979">
        <f t="shared" si="150"/>
        <v>41.283333333333331</v>
      </c>
      <c r="L979">
        <f t="shared" si="151"/>
        <v>50.2</v>
      </c>
      <c r="M979">
        <f t="shared" si="152"/>
        <v>9.2249999999999996</v>
      </c>
      <c r="N979">
        <f t="shared" si="153"/>
        <v>9.5549999999999997</v>
      </c>
      <c r="O979">
        <f t="shared" si="154"/>
        <v>6.7625000000000002</v>
      </c>
      <c r="P979">
        <f t="shared" si="155"/>
        <v>9.3181818181818166</v>
      </c>
      <c r="Q979">
        <f t="shared" si="156"/>
        <v>15.75925925925926</v>
      </c>
      <c r="R979">
        <f t="shared" si="157"/>
        <v>50.2</v>
      </c>
      <c r="S979" t="str">
        <f t="shared" si="158"/>
        <v>Satisfactory</v>
      </c>
      <c r="T979" t="str">
        <f t="shared" si="159"/>
        <v>PM10</v>
      </c>
      <c r="U979">
        <v>23.98</v>
      </c>
      <c r="V979">
        <v>81.709999999999994</v>
      </c>
    </row>
    <row r="980" spans="1:22" x14ac:dyDescent="0.3">
      <c r="A980" s="2" t="s">
        <v>15</v>
      </c>
      <c r="B980">
        <v>560026</v>
      </c>
      <c r="C980" s="3">
        <v>44463</v>
      </c>
      <c r="D980">
        <v>30.29</v>
      </c>
      <c r="E980">
        <v>62.72</v>
      </c>
      <c r="F980">
        <v>8</v>
      </c>
      <c r="G980">
        <v>46.13</v>
      </c>
      <c r="H980">
        <v>5.63</v>
      </c>
      <c r="I980">
        <v>1.22</v>
      </c>
      <c r="J980">
        <v>18.93</v>
      </c>
      <c r="K980">
        <f t="shared" si="150"/>
        <v>50.483333333333334</v>
      </c>
      <c r="L980">
        <f t="shared" si="151"/>
        <v>62.72</v>
      </c>
      <c r="M980">
        <f t="shared" si="152"/>
        <v>10</v>
      </c>
      <c r="N980">
        <f t="shared" si="153"/>
        <v>11.532500000000001</v>
      </c>
      <c r="O980">
        <f t="shared" si="154"/>
        <v>7.0374999999999996</v>
      </c>
      <c r="P980">
        <f t="shared" si="155"/>
        <v>13.863636363636363</v>
      </c>
      <c r="Q980">
        <f t="shared" si="156"/>
        <v>17.527777777777779</v>
      </c>
      <c r="R980">
        <f t="shared" si="157"/>
        <v>62.72</v>
      </c>
      <c r="S980" t="str">
        <f t="shared" si="158"/>
        <v>Satisfactory</v>
      </c>
      <c r="T980" t="str">
        <f t="shared" si="159"/>
        <v>PM10</v>
      </c>
      <c r="U980">
        <v>24.64</v>
      </c>
      <c r="V980">
        <v>78.150000000000006</v>
      </c>
    </row>
    <row r="981" spans="1:22" x14ac:dyDescent="0.3">
      <c r="A981" s="2" t="s">
        <v>15</v>
      </c>
      <c r="B981">
        <v>560026</v>
      </c>
      <c r="C981" s="3">
        <v>44464</v>
      </c>
      <c r="D981">
        <v>25.05</v>
      </c>
      <c r="E981">
        <v>45.58</v>
      </c>
      <c r="F981">
        <v>7.91</v>
      </c>
      <c r="G981">
        <v>38.78</v>
      </c>
      <c r="H981">
        <v>5.69</v>
      </c>
      <c r="I981">
        <v>0.64</v>
      </c>
      <c r="J981">
        <v>17.46</v>
      </c>
      <c r="K981">
        <f t="shared" si="150"/>
        <v>41.75</v>
      </c>
      <c r="L981">
        <f t="shared" si="151"/>
        <v>45.58</v>
      </c>
      <c r="M981">
        <f t="shared" si="152"/>
        <v>9.8874999999999993</v>
      </c>
      <c r="N981">
        <f t="shared" si="153"/>
        <v>9.6950000000000003</v>
      </c>
      <c r="O981">
        <f t="shared" si="154"/>
        <v>7.1124999999999998</v>
      </c>
      <c r="P981">
        <f t="shared" si="155"/>
        <v>7.2727272727272725</v>
      </c>
      <c r="Q981">
        <f t="shared" si="156"/>
        <v>16.166666666666668</v>
      </c>
      <c r="R981">
        <f t="shared" si="157"/>
        <v>45.58</v>
      </c>
      <c r="S981" t="str">
        <f t="shared" si="158"/>
        <v>Good</v>
      </c>
      <c r="T981" t="str">
        <f t="shared" si="159"/>
        <v>PM10</v>
      </c>
      <c r="U981">
        <v>24.61</v>
      </c>
      <c r="V981">
        <v>82.21</v>
      </c>
    </row>
    <row r="982" spans="1:22" x14ac:dyDescent="0.3">
      <c r="A982" s="2" t="s">
        <v>15</v>
      </c>
      <c r="B982">
        <v>560026</v>
      </c>
      <c r="C982" s="3">
        <v>44465</v>
      </c>
      <c r="D982">
        <v>19.149999999999999</v>
      </c>
      <c r="E982">
        <v>37.93</v>
      </c>
      <c r="F982">
        <v>6.88</v>
      </c>
      <c r="G982">
        <v>38.21</v>
      </c>
      <c r="H982">
        <v>5.41</v>
      </c>
      <c r="I982">
        <v>0.68</v>
      </c>
      <c r="J982">
        <v>16.36</v>
      </c>
      <c r="K982">
        <f t="shared" si="150"/>
        <v>31.916666666666664</v>
      </c>
      <c r="L982">
        <f t="shared" si="151"/>
        <v>37.93</v>
      </c>
      <c r="M982">
        <f t="shared" si="152"/>
        <v>8.6</v>
      </c>
      <c r="N982">
        <f t="shared" si="153"/>
        <v>9.5525000000000002</v>
      </c>
      <c r="O982">
        <f t="shared" si="154"/>
        <v>6.7625000000000002</v>
      </c>
      <c r="P982">
        <f t="shared" si="155"/>
        <v>7.7272727272727275</v>
      </c>
      <c r="Q982">
        <f t="shared" si="156"/>
        <v>15.148148148148147</v>
      </c>
      <c r="R982">
        <f t="shared" si="157"/>
        <v>37.93</v>
      </c>
      <c r="S982" t="str">
        <f t="shared" si="158"/>
        <v>Good</v>
      </c>
      <c r="T982" t="str">
        <f t="shared" si="159"/>
        <v>PM10</v>
      </c>
      <c r="U982">
        <v>23.51</v>
      </c>
      <c r="V982">
        <v>82.82</v>
      </c>
    </row>
    <row r="983" spans="1:22" x14ac:dyDescent="0.3">
      <c r="A983" s="2" t="s">
        <v>15</v>
      </c>
      <c r="B983">
        <v>560026</v>
      </c>
      <c r="C983" s="3">
        <v>44466</v>
      </c>
      <c r="D983">
        <v>18.3</v>
      </c>
      <c r="E983">
        <v>33.5</v>
      </c>
      <c r="F983">
        <v>6.56</v>
      </c>
      <c r="G983">
        <v>35.020000000000003</v>
      </c>
      <c r="H983">
        <v>5.49</v>
      </c>
      <c r="I983">
        <v>0.64</v>
      </c>
      <c r="J983">
        <v>16.37</v>
      </c>
      <c r="K983">
        <f t="shared" si="150"/>
        <v>30.5</v>
      </c>
      <c r="L983">
        <f t="shared" si="151"/>
        <v>33.5</v>
      </c>
      <c r="M983">
        <f t="shared" si="152"/>
        <v>8.1999999999999993</v>
      </c>
      <c r="N983">
        <f t="shared" si="153"/>
        <v>8.7550000000000008</v>
      </c>
      <c r="O983">
        <f t="shared" si="154"/>
        <v>6.8624999999999998</v>
      </c>
      <c r="P983">
        <f t="shared" si="155"/>
        <v>7.2727272727272725</v>
      </c>
      <c r="Q983">
        <f t="shared" si="156"/>
        <v>15.157407407407408</v>
      </c>
      <c r="R983">
        <f t="shared" si="157"/>
        <v>33.5</v>
      </c>
      <c r="S983" t="str">
        <f t="shared" si="158"/>
        <v>Good</v>
      </c>
      <c r="T983" t="str">
        <f t="shared" si="159"/>
        <v>PM10</v>
      </c>
      <c r="U983">
        <v>23.11</v>
      </c>
      <c r="V983">
        <v>83.09</v>
      </c>
    </row>
    <row r="984" spans="1:22" x14ac:dyDescent="0.3">
      <c r="A984" s="2" t="s">
        <v>15</v>
      </c>
      <c r="B984">
        <v>560026</v>
      </c>
      <c r="C984" s="3">
        <v>44467</v>
      </c>
      <c r="D984">
        <v>65.33</v>
      </c>
      <c r="E984">
        <v>97.48</v>
      </c>
      <c r="F984">
        <v>8.6</v>
      </c>
      <c r="G984">
        <v>41.65</v>
      </c>
      <c r="H984">
        <v>5.45</v>
      </c>
      <c r="I984">
        <v>0.68</v>
      </c>
      <c r="J984">
        <v>17.7</v>
      </c>
      <c r="K984">
        <f t="shared" si="150"/>
        <v>117.76666666666665</v>
      </c>
      <c r="L984">
        <f t="shared" si="151"/>
        <v>97.48</v>
      </c>
      <c r="M984">
        <f t="shared" si="152"/>
        <v>10.75</v>
      </c>
      <c r="N984">
        <f t="shared" si="153"/>
        <v>10.4125</v>
      </c>
      <c r="O984">
        <f t="shared" si="154"/>
        <v>6.8125</v>
      </c>
      <c r="P984">
        <f t="shared" si="155"/>
        <v>7.7272727272727275</v>
      </c>
      <c r="Q984">
        <f t="shared" si="156"/>
        <v>16.388888888888889</v>
      </c>
      <c r="R984">
        <f t="shared" si="157"/>
        <v>117.76666666666665</v>
      </c>
      <c r="S984" t="str">
        <f t="shared" si="158"/>
        <v>Moderate</v>
      </c>
      <c r="T984" t="str">
        <f t="shared" si="159"/>
        <v>PM2.5</v>
      </c>
      <c r="U984">
        <v>22.65</v>
      </c>
      <c r="V984">
        <v>83.94</v>
      </c>
    </row>
    <row r="985" spans="1:22" x14ac:dyDescent="0.3">
      <c r="A985" s="2" t="s">
        <v>15</v>
      </c>
      <c r="B985">
        <v>560026</v>
      </c>
      <c r="C985" s="3">
        <v>44468</v>
      </c>
      <c r="D985">
        <v>65.7</v>
      </c>
      <c r="E985">
        <v>116.77</v>
      </c>
      <c r="F985">
        <v>8.52</v>
      </c>
      <c r="G985">
        <v>42.17</v>
      </c>
      <c r="H985">
        <v>3.76</v>
      </c>
      <c r="I985">
        <v>0.66</v>
      </c>
      <c r="J985">
        <v>16.440000000000001</v>
      </c>
      <c r="K985">
        <f t="shared" si="150"/>
        <v>119</v>
      </c>
      <c r="L985">
        <f t="shared" si="151"/>
        <v>111.17999999999999</v>
      </c>
      <c r="M985">
        <f t="shared" si="152"/>
        <v>10.65</v>
      </c>
      <c r="N985">
        <f t="shared" si="153"/>
        <v>10.5425</v>
      </c>
      <c r="O985">
        <f t="shared" si="154"/>
        <v>4.7</v>
      </c>
      <c r="P985">
        <f t="shared" si="155"/>
        <v>7.5</v>
      </c>
      <c r="Q985">
        <f t="shared" si="156"/>
        <v>15.222222222222223</v>
      </c>
      <c r="R985">
        <f t="shared" si="157"/>
        <v>119</v>
      </c>
      <c r="S985" t="str">
        <f t="shared" si="158"/>
        <v>Moderate</v>
      </c>
      <c r="T985" t="str">
        <f t="shared" si="159"/>
        <v>PM2.5</v>
      </c>
      <c r="U985">
        <v>23.46</v>
      </c>
      <c r="V985">
        <v>78.77</v>
      </c>
    </row>
    <row r="986" spans="1:22" x14ac:dyDescent="0.3">
      <c r="A986" s="2" t="s">
        <v>15</v>
      </c>
      <c r="B986">
        <v>560026</v>
      </c>
      <c r="C986" s="3">
        <v>44469</v>
      </c>
      <c r="D986">
        <v>33.43</v>
      </c>
      <c r="E986">
        <v>65.69</v>
      </c>
      <c r="F986">
        <v>10.69</v>
      </c>
      <c r="G986">
        <v>49.74</v>
      </c>
      <c r="H986">
        <v>4.87</v>
      </c>
      <c r="I986">
        <v>0.9</v>
      </c>
      <c r="J986">
        <v>17.8</v>
      </c>
      <c r="K986">
        <f t="shared" si="150"/>
        <v>55.716666666666669</v>
      </c>
      <c r="L986">
        <f t="shared" si="151"/>
        <v>65.69</v>
      </c>
      <c r="M986">
        <f t="shared" si="152"/>
        <v>13.362500000000001</v>
      </c>
      <c r="N986">
        <f t="shared" si="153"/>
        <v>12.435</v>
      </c>
      <c r="O986">
        <f t="shared" si="154"/>
        <v>6.0875000000000004</v>
      </c>
      <c r="P986">
        <f t="shared" si="155"/>
        <v>10.227272727272727</v>
      </c>
      <c r="Q986">
        <f t="shared" si="156"/>
        <v>16.481481481481481</v>
      </c>
      <c r="R986">
        <f t="shared" si="157"/>
        <v>65.69</v>
      </c>
      <c r="S986" t="str">
        <f t="shared" si="158"/>
        <v>Satisfactory</v>
      </c>
      <c r="T986" t="str">
        <f t="shared" si="159"/>
        <v>PM10</v>
      </c>
      <c r="U986">
        <v>24.51</v>
      </c>
      <c r="V986">
        <v>78.930000000000007</v>
      </c>
    </row>
    <row r="987" spans="1:22" x14ac:dyDescent="0.3">
      <c r="A987" s="2" t="s">
        <v>15</v>
      </c>
      <c r="B987">
        <v>560026</v>
      </c>
      <c r="C987" s="3">
        <v>44470</v>
      </c>
      <c r="D987">
        <v>34.880000000000003</v>
      </c>
      <c r="E987">
        <v>63.73</v>
      </c>
      <c r="F987">
        <v>12.08</v>
      </c>
      <c r="G987">
        <v>52.01</v>
      </c>
      <c r="H987">
        <v>5.2</v>
      </c>
      <c r="I987">
        <v>1.1100000000000001</v>
      </c>
      <c r="J987">
        <v>19.64</v>
      </c>
      <c r="K987">
        <f t="shared" si="150"/>
        <v>58.13333333333334</v>
      </c>
      <c r="L987">
        <f t="shared" si="151"/>
        <v>63.73</v>
      </c>
      <c r="M987">
        <f t="shared" si="152"/>
        <v>15.1</v>
      </c>
      <c r="N987">
        <f t="shared" si="153"/>
        <v>13.0025</v>
      </c>
      <c r="O987">
        <f t="shared" si="154"/>
        <v>6.5</v>
      </c>
      <c r="P987">
        <f t="shared" si="155"/>
        <v>12.613636363636365</v>
      </c>
      <c r="Q987">
        <f t="shared" si="156"/>
        <v>18.185185185185187</v>
      </c>
      <c r="R987">
        <f t="shared" si="157"/>
        <v>63.73</v>
      </c>
      <c r="S987" t="str">
        <f t="shared" si="158"/>
        <v>Satisfactory</v>
      </c>
      <c r="T987" t="str">
        <f t="shared" si="159"/>
        <v>PM10</v>
      </c>
      <c r="U987">
        <v>24.82</v>
      </c>
      <c r="V987">
        <v>81.900000000000006</v>
      </c>
    </row>
    <row r="988" spans="1:22" x14ac:dyDescent="0.3">
      <c r="A988" s="2" t="s">
        <v>15</v>
      </c>
      <c r="B988">
        <v>560026</v>
      </c>
      <c r="C988" s="3">
        <v>44471</v>
      </c>
      <c r="D988">
        <v>39.1</v>
      </c>
      <c r="E988">
        <v>75.61</v>
      </c>
      <c r="F988">
        <v>10.88</v>
      </c>
      <c r="G988">
        <v>64.34</v>
      </c>
      <c r="H988">
        <v>4.4800000000000004</v>
      </c>
      <c r="I988">
        <v>0.98</v>
      </c>
      <c r="J988">
        <v>15.15</v>
      </c>
      <c r="K988">
        <f t="shared" si="150"/>
        <v>65.166666666666671</v>
      </c>
      <c r="L988">
        <f t="shared" si="151"/>
        <v>75.61</v>
      </c>
      <c r="M988">
        <f t="shared" si="152"/>
        <v>13.6</v>
      </c>
      <c r="N988">
        <f t="shared" si="153"/>
        <v>16.085000000000001</v>
      </c>
      <c r="O988">
        <f t="shared" si="154"/>
        <v>5.6000000000000005</v>
      </c>
      <c r="P988">
        <f t="shared" si="155"/>
        <v>11.136363636363637</v>
      </c>
      <c r="Q988">
        <f t="shared" si="156"/>
        <v>14.027777777777779</v>
      </c>
      <c r="R988">
        <f t="shared" si="157"/>
        <v>75.61</v>
      </c>
      <c r="S988" t="str">
        <f t="shared" si="158"/>
        <v>Satisfactory</v>
      </c>
      <c r="T988" t="str">
        <f t="shared" si="159"/>
        <v>PM10</v>
      </c>
      <c r="U988">
        <v>24.59</v>
      </c>
      <c r="V988">
        <v>82.6</v>
      </c>
    </row>
    <row r="989" spans="1:22" x14ac:dyDescent="0.3">
      <c r="A989" s="2" t="s">
        <v>15</v>
      </c>
      <c r="B989">
        <v>560026</v>
      </c>
      <c r="C989" s="3">
        <v>44472</v>
      </c>
      <c r="D989">
        <v>24.13</v>
      </c>
      <c r="E989">
        <v>43.07</v>
      </c>
      <c r="F989">
        <v>5.74</v>
      </c>
      <c r="G989">
        <v>46.79</v>
      </c>
      <c r="H989">
        <v>4.76</v>
      </c>
      <c r="I989">
        <v>0.67</v>
      </c>
      <c r="J989">
        <v>15.25</v>
      </c>
      <c r="K989">
        <f t="shared" si="150"/>
        <v>40.216666666666669</v>
      </c>
      <c r="L989">
        <f t="shared" si="151"/>
        <v>43.07</v>
      </c>
      <c r="M989">
        <f t="shared" si="152"/>
        <v>7.1749999999999998</v>
      </c>
      <c r="N989">
        <f t="shared" si="153"/>
        <v>11.6975</v>
      </c>
      <c r="O989">
        <f t="shared" si="154"/>
        <v>5.95</v>
      </c>
      <c r="P989">
        <f t="shared" si="155"/>
        <v>7.6136363636363642</v>
      </c>
      <c r="Q989">
        <f t="shared" si="156"/>
        <v>14.12037037037037</v>
      </c>
      <c r="R989">
        <f t="shared" si="157"/>
        <v>43.07</v>
      </c>
      <c r="S989" t="str">
        <f t="shared" si="158"/>
        <v>Good</v>
      </c>
      <c r="T989" t="str">
        <f t="shared" si="159"/>
        <v>PM10</v>
      </c>
      <c r="U989">
        <v>24.83</v>
      </c>
      <c r="V989">
        <v>82.65</v>
      </c>
    </row>
    <row r="990" spans="1:22" x14ac:dyDescent="0.3">
      <c r="A990" s="2" t="s">
        <v>15</v>
      </c>
      <c r="B990">
        <v>560026</v>
      </c>
      <c r="C990" s="3">
        <v>44473</v>
      </c>
      <c r="D990">
        <v>37.82</v>
      </c>
      <c r="E990">
        <v>70.22</v>
      </c>
      <c r="F990">
        <v>12.6</v>
      </c>
      <c r="G990">
        <v>60.16</v>
      </c>
      <c r="H990">
        <v>5.04</v>
      </c>
      <c r="I990">
        <v>0.73</v>
      </c>
      <c r="J990">
        <v>15.76</v>
      </c>
      <c r="K990">
        <f t="shared" si="150"/>
        <v>63.033333333333331</v>
      </c>
      <c r="L990">
        <f t="shared" si="151"/>
        <v>70.22</v>
      </c>
      <c r="M990">
        <f t="shared" si="152"/>
        <v>15.75</v>
      </c>
      <c r="N990">
        <f t="shared" si="153"/>
        <v>15.04</v>
      </c>
      <c r="O990">
        <f t="shared" si="154"/>
        <v>6.3</v>
      </c>
      <c r="P990">
        <f t="shared" si="155"/>
        <v>8.295454545454545</v>
      </c>
      <c r="Q990">
        <f t="shared" si="156"/>
        <v>14.592592592592592</v>
      </c>
      <c r="R990">
        <f t="shared" si="157"/>
        <v>70.22</v>
      </c>
      <c r="S990" t="str">
        <f t="shared" si="158"/>
        <v>Satisfactory</v>
      </c>
      <c r="T990" t="str">
        <f t="shared" si="159"/>
        <v>PM10</v>
      </c>
      <c r="U990">
        <v>25.33</v>
      </c>
      <c r="V990">
        <v>71.75</v>
      </c>
    </row>
    <row r="991" spans="1:22" x14ac:dyDescent="0.3">
      <c r="A991" s="2" t="s">
        <v>15</v>
      </c>
      <c r="B991">
        <v>560026</v>
      </c>
      <c r="C991" s="3">
        <v>44474</v>
      </c>
      <c r="D991">
        <v>39.340000000000003</v>
      </c>
      <c r="E991">
        <v>81.59</v>
      </c>
      <c r="F991">
        <v>10.39</v>
      </c>
      <c r="G991">
        <v>63.82</v>
      </c>
      <c r="H991">
        <v>4.84</v>
      </c>
      <c r="I991">
        <v>1.27</v>
      </c>
      <c r="J991">
        <v>12.54</v>
      </c>
      <c r="K991">
        <f t="shared" si="150"/>
        <v>65.566666666666677</v>
      </c>
      <c r="L991">
        <f t="shared" si="151"/>
        <v>81.59</v>
      </c>
      <c r="M991">
        <f t="shared" si="152"/>
        <v>12.987500000000001</v>
      </c>
      <c r="N991">
        <f t="shared" si="153"/>
        <v>15.955</v>
      </c>
      <c r="O991">
        <f t="shared" si="154"/>
        <v>6.05</v>
      </c>
      <c r="P991">
        <f t="shared" si="155"/>
        <v>14.431818181818182</v>
      </c>
      <c r="Q991">
        <f t="shared" si="156"/>
        <v>11.611111111111111</v>
      </c>
      <c r="R991">
        <f t="shared" si="157"/>
        <v>81.59</v>
      </c>
      <c r="S991" t="str">
        <f t="shared" si="158"/>
        <v>Satisfactory</v>
      </c>
      <c r="T991" t="str">
        <f t="shared" si="159"/>
        <v>PM10</v>
      </c>
      <c r="U991">
        <v>24.37</v>
      </c>
      <c r="V991">
        <v>81.290000000000006</v>
      </c>
    </row>
    <row r="992" spans="1:22" x14ac:dyDescent="0.3">
      <c r="A992" s="2" t="s">
        <v>15</v>
      </c>
      <c r="B992">
        <v>560026</v>
      </c>
      <c r="C992" s="3">
        <v>44475</v>
      </c>
      <c r="D992">
        <v>21.75</v>
      </c>
      <c r="E992">
        <v>36.479999999999997</v>
      </c>
      <c r="F992">
        <v>9.5299999999999994</v>
      </c>
      <c r="G992">
        <v>44.26</v>
      </c>
      <c r="H992">
        <v>4.6900000000000004</v>
      </c>
      <c r="I992">
        <v>0.6</v>
      </c>
      <c r="J992">
        <v>13.96</v>
      </c>
      <c r="K992">
        <f t="shared" si="150"/>
        <v>36.25</v>
      </c>
      <c r="L992">
        <f t="shared" si="151"/>
        <v>36.479999999999997</v>
      </c>
      <c r="M992">
        <f t="shared" si="152"/>
        <v>11.912499999999998</v>
      </c>
      <c r="N992">
        <f t="shared" si="153"/>
        <v>11.065</v>
      </c>
      <c r="O992">
        <f t="shared" si="154"/>
        <v>5.8625000000000007</v>
      </c>
      <c r="P992">
        <f t="shared" si="155"/>
        <v>6.8181818181818175</v>
      </c>
      <c r="Q992">
        <f t="shared" si="156"/>
        <v>12.925925925925927</v>
      </c>
      <c r="R992">
        <f t="shared" si="157"/>
        <v>36.479999999999997</v>
      </c>
      <c r="S992" t="str">
        <f t="shared" si="158"/>
        <v>Good</v>
      </c>
      <c r="T992" t="str">
        <f t="shared" si="159"/>
        <v>PM10</v>
      </c>
      <c r="U992">
        <v>22.55</v>
      </c>
      <c r="V992">
        <v>88.51</v>
      </c>
    </row>
    <row r="993" spans="1:22" x14ac:dyDescent="0.3">
      <c r="A993" s="2" t="s">
        <v>15</v>
      </c>
      <c r="B993">
        <v>560026</v>
      </c>
      <c r="C993" s="3">
        <v>44476</v>
      </c>
      <c r="D993">
        <v>25.13</v>
      </c>
      <c r="E993">
        <v>43.25</v>
      </c>
      <c r="F993">
        <v>10.24</v>
      </c>
      <c r="G993">
        <v>37.39</v>
      </c>
      <c r="H993">
        <v>4.49</v>
      </c>
      <c r="I993">
        <v>0.73</v>
      </c>
      <c r="J993">
        <v>20.52</v>
      </c>
      <c r="K993">
        <f t="shared" si="150"/>
        <v>41.883333333333333</v>
      </c>
      <c r="L993">
        <f t="shared" si="151"/>
        <v>43.25</v>
      </c>
      <c r="M993">
        <f t="shared" si="152"/>
        <v>12.8</v>
      </c>
      <c r="N993">
        <f t="shared" si="153"/>
        <v>9.3475000000000001</v>
      </c>
      <c r="O993">
        <f t="shared" si="154"/>
        <v>5.6124999999999998</v>
      </c>
      <c r="P993">
        <f t="shared" si="155"/>
        <v>8.295454545454545</v>
      </c>
      <c r="Q993">
        <f t="shared" si="156"/>
        <v>19</v>
      </c>
      <c r="R993">
        <f t="shared" si="157"/>
        <v>43.25</v>
      </c>
      <c r="S993" t="str">
        <f t="shared" si="158"/>
        <v>Good</v>
      </c>
      <c r="T993" t="str">
        <f t="shared" si="159"/>
        <v>PM10</v>
      </c>
      <c r="U993">
        <v>25.06</v>
      </c>
      <c r="V993">
        <v>79.66</v>
      </c>
    </row>
    <row r="994" spans="1:22" x14ac:dyDescent="0.3">
      <c r="A994" s="2" t="s">
        <v>15</v>
      </c>
      <c r="B994">
        <v>560026</v>
      </c>
      <c r="C994" s="3">
        <v>44477</v>
      </c>
      <c r="D994">
        <v>26.04</v>
      </c>
      <c r="E994">
        <v>53.84</v>
      </c>
      <c r="F994">
        <v>10.02</v>
      </c>
      <c r="G994">
        <v>46.4</v>
      </c>
      <c r="H994">
        <v>5.16</v>
      </c>
      <c r="I994">
        <v>0.72</v>
      </c>
      <c r="J994">
        <v>15.48</v>
      </c>
      <c r="K994">
        <f t="shared" si="150"/>
        <v>43.4</v>
      </c>
      <c r="L994">
        <f t="shared" si="151"/>
        <v>53.84</v>
      </c>
      <c r="M994">
        <f t="shared" si="152"/>
        <v>12.525</v>
      </c>
      <c r="N994">
        <f t="shared" si="153"/>
        <v>11.6</v>
      </c>
      <c r="O994">
        <f t="shared" si="154"/>
        <v>6.45</v>
      </c>
      <c r="P994">
        <f t="shared" si="155"/>
        <v>8.1818181818181817</v>
      </c>
      <c r="Q994">
        <f t="shared" si="156"/>
        <v>14.333333333333334</v>
      </c>
      <c r="R994">
        <f t="shared" si="157"/>
        <v>53.84</v>
      </c>
      <c r="S994" t="str">
        <f t="shared" si="158"/>
        <v>Satisfactory</v>
      </c>
      <c r="T994" t="str">
        <f t="shared" si="159"/>
        <v>PM10</v>
      </c>
      <c r="U994">
        <v>23.49</v>
      </c>
      <c r="V994">
        <v>87.43</v>
      </c>
    </row>
    <row r="995" spans="1:22" x14ac:dyDescent="0.3">
      <c r="A995" s="2" t="s">
        <v>15</v>
      </c>
      <c r="B995">
        <v>560026</v>
      </c>
      <c r="C995" s="3">
        <v>44478</v>
      </c>
      <c r="D995">
        <v>24.03</v>
      </c>
      <c r="E995">
        <v>37.520000000000003</v>
      </c>
      <c r="F995">
        <v>7.65</v>
      </c>
      <c r="G995">
        <v>53.28</v>
      </c>
      <c r="H995">
        <v>4.22</v>
      </c>
      <c r="I995">
        <v>1.1000000000000001</v>
      </c>
      <c r="J995">
        <v>11.6</v>
      </c>
      <c r="K995">
        <f t="shared" si="150"/>
        <v>40.049999999999997</v>
      </c>
      <c r="L995">
        <f t="shared" si="151"/>
        <v>37.520000000000003</v>
      </c>
      <c r="M995">
        <f t="shared" si="152"/>
        <v>9.5625</v>
      </c>
      <c r="N995">
        <f t="shared" si="153"/>
        <v>13.32</v>
      </c>
      <c r="O995">
        <f t="shared" si="154"/>
        <v>5.2750000000000004</v>
      </c>
      <c r="P995">
        <f t="shared" si="155"/>
        <v>12.5</v>
      </c>
      <c r="Q995">
        <f t="shared" si="156"/>
        <v>10.74074074074074</v>
      </c>
      <c r="R995">
        <f t="shared" si="157"/>
        <v>40.049999999999997</v>
      </c>
      <c r="S995" t="str">
        <f t="shared" si="158"/>
        <v>Good</v>
      </c>
      <c r="T995" t="str">
        <f t="shared" si="159"/>
        <v>PM2.5</v>
      </c>
      <c r="U995">
        <v>22.14</v>
      </c>
      <c r="V995">
        <v>93.82</v>
      </c>
    </row>
    <row r="996" spans="1:22" x14ac:dyDescent="0.3">
      <c r="A996" s="2" t="s">
        <v>15</v>
      </c>
      <c r="B996">
        <v>560026</v>
      </c>
      <c r="C996" s="3">
        <v>44479</v>
      </c>
      <c r="D996">
        <v>21.25</v>
      </c>
      <c r="E996">
        <v>37.44</v>
      </c>
      <c r="F996">
        <v>9.49</v>
      </c>
      <c r="G996">
        <v>41.54</v>
      </c>
      <c r="H996">
        <v>4.62</v>
      </c>
      <c r="I996">
        <v>0.64</v>
      </c>
      <c r="J996">
        <v>12.38</v>
      </c>
      <c r="K996">
        <f t="shared" si="150"/>
        <v>35.416666666666664</v>
      </c>
      <c r="L996">
        <f t="shared" si="151"/>
        <v>37.44</v>
      </c>
      <c r="M996">
        <f t="shared" si="152"/>
        <v>11.862500000000001</v>
      </c>
      <c r="N996">
        <f t="shared" si="153"/>
        <v>10.385</v>
      </c>
      <c r="O996">
        <f t="shared" si="154"/>
        <v>5.7750000000000004</v>
      </c>
      <c r="P996">
        <f t="shared" si="155"/>
        <v>7.2727272727272725</v>
      </c>
      <c r="Q996">
        <f t="shared" si="156"/>
        <v>11.462962962962964</v>
      </c>
      <c r="R996">
        <f t="shared" si="157"/>
        <v>37.44</v>
      </c>
      <c r="S996" t="str">
        <f t="shared" si="158"/>
        <v>Good</v>
      </c>
      <c r="T996" t="str">
        <f t="shared" si="159"/>
        <v>PM10</v>
      </c>
      <c r="U996">
        <v>23.08</v>
      </c>
      <c r="V996">
        <v>91.56</v>
      </c>
    </row>
    <row r="997" spans="1:22" x14ac:dyDescent="0.3">
      <c r="A997" s="2" t="s">
        <v>15</v>
      </c>
      <c r="B997">
        <v>560026</v>
      </c>
      <c r="C997" s="3">
        <v>44480</v>
      </c>
      <c r="D997">
        <v>25.84</v>
      </c>
      <c r="E997">
        <v>45.25</v>
      </c>
      <c r="F997">
        <v>11.21</v>
      </c>
      <c r="G997">
        <v>42.62</v>
      </c>
      <c r="H997">
        <v>4.25</v>
      </c>
      <c r="I997">
        <v>0.57999999999999996</v>
      </c>
      <c r="J997">
        <v>13.2</v>
      </c>
      <c r="K997">
        <f t="shared" si="150"/>
        <v>43.06666666666667</v>
      </c>
      <c r="L997">
        <f t="shared" si="151"/>
        <v>45.25</v>
      </c>
      <c r="M997">
        <f t="shared" si="152"/>
        <v>14.012499999999999</v>
      </c>
      <c r="N997">
        <f t="shared" si="153"/>
        <v>10.654999999999999</v>
      </c>
      <c r="O997">
        <f t="shared" si="154"/>
        <v>5.3125</v>
      </c>
      <c r="P997">
        <f t="shared" si="155"/>
        <v>6.5909090909090899</v>
      </c>
      <c r="Q997">
        <f t="shared" si="156"/>
        <v>12.222222222222221</v>
      </c>
      <c r="R997">
        <f t="shared" si="157"/>
        <v>45.25</v>
      </c>
      <c r="S997" t="str">
        <f t="shared" si="158"/>
        <v>Good</v>
      </c>
      <c r="T997" t="str">
        <f t="shared" si="159"/>
        <v>PM10</v>
      </c>
      <c r="U997">
        <v>22.92</v>
      </c>
      <c r="V997">
        <v>88.28</v>
      </c>
    </row>
    <row r="998" spans="1:22" x14ac:dyDescent="0.3">
      <c r="A998" s="2" t="s">
        <v>15</v>
      </c>
      <c r="B998">
        <v>560026</v>
      </c>
      <c r="C998" s="3">
        <v>44481</v>
      </c>
      <c r="D998">
        <v>19.57</v>
      </c>
      <c r="E998">
        <v>30.02</v>
      </c>
      <c r="F998">
        <v>8.77</v>
      </c>
      <c r="G998">
        <v>39.32</v>
      </c>
      <c r="H998">
        <v>4.54</v>
      </c>
      <c r="I998">
        <v>0.57999999999999996</v>
      </c>
      <c r="J998">
        <v>12.64</v>
      </c>
      <c r="K998">
        <f t="shared" si="150"/>
        <v>32.616666666666667</v>
      </c>
      <c r="L998">
        <f t="shared" si="151"/>
        <v>30.02</v>
      </c>
      <c r="M998">
        <f t="shared" si="152"/>
        <v>10.9625</v>
      </c>
      <c r="N998">
        <f t="shared" si="153"/>
        <v>9.83</v>
      </c>
      <c r="O998">
        <f t="shared" si="154"/>
        <v>5.6749999999999998</v>
      </c>
      <c r="P998">
        <f t="shared" si="155"/>
        <v>6.5909090909090899</v>
      </c>
      <c r="Q998">
        <f t="shared" si="156"/>
        <v>11.703703703703704</v>
      </c>
      <c r="R998">
        <f t="shared" si="157"/>
        <v>32.616666666666667</v>
      </c>
      <c r="S998" t="str">
        <f t="shared" si="158"/>
        <v>Good</v>
      </c>
      <c r="T998" t="str">
        <f t="shared" si="159"/>
        <v>PM2.5</v>
      </c>
      <c r="U998">
        <v>22.35</v>
      </c>
      <c r="V998">
        <v>87.51</v>
      </c>
    </row>
    <row r="999" spans="1:22" x14ac:dyDescent="0.3">
      <c r="A999" s="2" t="s">
        <v>15</v>
      </c>
      <c r="B999">
        <v>560026</v>
      </c>
      <c r="C999" s="3">
        <v>44482</v>
      </c>
      <c r="D999">
        <v>19.54</v>
      </c>
      <c r="E999">
        <v>43.53</v>
      </c>
      <c r="F999">
        <v>8.4</v>
      </c>
      <c r="G999">
        <v>39.049999999999997</v>
      </c>
      <c r="H999">
        <v>4.32</v>
      </c>
      <c r="I999">
        <v>0.78</v>
      </c>
      <c r="J999">
        <v>12.89</v>
      </c>
      <c r="K999">
        <f t="shared" si="150"/>
        <v>32.56666666666667</v>
      </c>
      <c r="L999">
        <f t="shared" si="151"/>
        <v>43.53</v>
      </c>
      <c r="M999">
        <f t="shared" si="152"/>
        <v>10.5</v>
      </c>
      <c r="N999">
        <f t="shared" si="153"/>
        <v>9.7624999999999993</v>
      </c>
      <c r="O999">
        <f t="shared" si="154"/>
        <v>5.4</v>
      </c>
      <c r="P999">
        <f t="shared" si="155"/>
        <v>8.8636363636363633</v>
      </c>
      <c r="Q999">
        <f t="shared" si="156"/>
        <v>11.935185185185185</v>
      </c>
      <c r="R999">
        <f t="shared" si="157"/>
        <v>43.53</v>
      </c>
      <c r="S999" t="str">
        <f t="shared" si="158"/>
        <v>Good</v>
      </c>
      <c r="T999" t="str">
        <f t="shared" si="159"/>
        <v>PM10</v>
      </c>
      <c r="U999">
        <v>22.58</v>
      </c>
      <c r="V999">
        <v>85.03</v>
      </c>
    </row>
    <row r="1000" spans="1:22" x14ac:dyDescent="0.3">
      <c r="A1000" s="2" t="s">
        <v>15</v>
      </c>
      <c r="B1000">
        <v>560026</v>
      </c>
      <c r="C1000" s="3">
        <v>44483</v>
      </c>
      <c r="D1000">
        <v>27.78</v>
      </c>
      <c r="E1000">
        <v>55.5</v>
      </c>
      <c r="F1000">
        <v>9.82</v>
      </c>
      <c r="G1000">
        <v>43.04</v>
      </c>
      <c r="H1000">
        <v>4.0199999999999996</v>
      </c>
      <c r="I1000">
        <v>0.84</v>
      </c>
      <c r="J1000">
        <v>12.35</v>
      </c>
      <c r="K1000">
        <f t="shared" si="150"/>
        <v>46.3</v>
      </c>
      <c r="L1000">
        <f t="shared" si="151"/>
        <v>55.5</v>
      </c>
      <c r="M1000">
        <f t="shared" si="152"/>
        <v>12.275</v>
      </c>
      <c r="N1000">
        <f t="shared" si="153"/>
        <v>10.76</v>
      </c>
      <c r="O1000">
        <f t="shared" si="154"/>
        <v>5.0249999999999995</v>
      </c>
      <c r="P1000">
        <f t="shared" si="155"/>
        <v>9.545454545454545</v>
      </c>
      <c r="Q1000">
        <f t="shared" si="156"/>
        <v>11.435185185185185</v>
      </c>
      <c r="R1000">
        <f t="shared" si="157"/>
        <v>55.5</v>
      </c>
      <c r="S1000" t="str">
        <f t="shared" si="158"/>
        <v>Satisfactory</v>
      </c>
      <c r="T1000" t="str">
        <f t="shared" si="159"/>
        <v>PM10</v>
      </c>
      <c r="U1000">
        <v>24.39</v>
      </c>
      <c r="V1000">
        <v>77.8</v>
      </c>
    </row>
    <row r="1001" spans="1:22" x14ac:dyDescent="0.3">
      <c r="A1001" s="2" t="s">
        <v>15</v>
      </c>
      <c r="B1001">
        <v>560026</v>
      </c>
      <c r="C1001" s="3">
        <v>44484</v>
      </c>
      <c r="D1001">
        <v>39.47</v>
      </c>
      <c r="E1001">
        <v>52.84</v>
      </c>
      <c r="F1001">
        <v>14.83</v>
      </c>
      <c r="G1001">
        <v>41.47</v>
      </c>
      <c r="H1001">
        <v>4.7300000000000004</v>
      </c>
      <c r="I1001">
        <v>0.63</v>
      </c>
      <c r="J1001">
        <v>22.31</v>
      </c>
      <c r="K1001">
        <f t="shared" si="150"/>
        <v>65.783333333333331</v>
      </c>
      <c r="L1001">
        <f t="shared" si="151"/>
        <v>52.84</v>
      </c>
      <c r="M1001">
        <f t="shared" si="152"/>
        <v>18.537500000000001</v>
      </c>
      <c r="N1001">
        <f t="shared" si="153"/>
        <v>10.3675</v>
      </c>
      <c r="O1001">
        <f t="shared" si="154"/>
        <v>5.9125000000000005</v>
      </c>
      <c r="P1001">
        <f t="shared" si="155"/>
        <v>7.1590909090909092</v>
      </c>
      <c r="Q1001">
        <f t="shared" si="156"/>
        <v>20.657407407407405</v>
      </c>
      <c r="R1001">
        <f t="shared" si="157"/>
        <v>65.783333333333331</v>
      </c>
      <c r="S1001" t="str">
        <f t="shared" si="158"/>
        <v>Satisfactory</v>
      </c>
      <c r="T1001" t="str">
        <f t="shared" si="159"/>
        <v>PM2.5</v>
      </c>
      <c r="U1001">
        <v>23.84</v>
      </c>
      <c r="V1001">
        <v>85.54</v>
      </c>
    </row>
    <row r="1002" spans="1:22" x14ac:dyDescent="0.3">
      <c r="A1002" s="2" t="s">
        <v>15</v>
      </c>
      <c r="B1002">
        <v>560026</v>
      </c>
      <c r="C1002" s="3">
        <v>44485</v>
      </c>
      <c r="D1002">
        <v>53.71</v>
      </c>
      <c r="E1002">
        <v>82.11</v>
      </c>
      <c r="F1002">
        <v>20</v>
      </c>
      <c r="G1002">
        <v>52.73</v>
      </c>
      <c r="H1002">
        <v>4.26</v>
      </c>
      <c r="I1002">
        <v>0.91</v>
      </c>
      <c r="J1002">
        <v>25.45</v>
      </c>
      <c r="K1002">
        <f t="shared" si="150"/>
        <v>89.516666666666666</v>
      </c>
      <c r="L1002">
        <f t="shared" si="151"/>
        <v>82.11</v>
      </c>
      <c r="M1002">
        <f t="shared" si="152"/>
        <v>25</v>
      </c>
      <c r="N1002">
        <f t="shared" si="153"/>
        <v>13.182499999999999</v>
      </c>
      <c r="O1002">
        <f t="shared" si="154"/>
        <v>5.3250000000000002</v>
      </c>
      <c r="P1002">
        <f t="shared" si="155"/>
        <v>10.340909090909092</v>
      </c>
      <c r="Q1002">
        <f t="shared" si="156"/>
        <v>23.564814814814813</v>
      </c>
      <c r="R1002">
        <f t="shared" si="157"/>
        <v>89.516666666666666</v>
      </c>
      <c r="S1002" t="str">
        <f t="shared" si="158"/>
        <v>Satisfactory</v>
      </c>
      <c r="T1002" t="str">
        <f t="shared" si="159"/>
        <v>PM2.5</v>
      </c>
      <c r="U1002">
        <v>24.49</v>
      </c>
      <c r="V1002">
        <v>89.28</v>
      </c>
    </row>
    <row r="1003" spans="1:22" x14ac:dyDescent="0.3">
      <c r="A1003" s="2" t="s">
        <v>15</v>
      </c>
      <c r="B1003">
        <v>560026</v>
      </c>
      <c r="C1003" s="3">
        <v>44486</v>
      </c>
      <c r="D1003">
        <v>31.18</v>
      </c>
      <c r="E1003">
        <v>57.38</v>
      </c>
      <c r="F1003">
        <v>14.1</v>
      </c>
      <c r="G1003">
        <v>38.5</v>
      </c>
      <c r="H1003">
        <v>4.43</v>
      </c>
      <c r="I1003">
        <v>0.66</v>
      </c>
      <c r="J1003">
        <v>17.96</v>
      </c>
      <c r="K1003">
        <f t="shared" si="150"/>
        <v>51.966666666666669</v>
      </c>
      <c r="L1003">
        <f t="shared" si="151"/>
        <v>57.38</v>
      </c>
      <c r="M1003">
        <f t="shared" si="152"/>
        <v>17.625</v>
      </c>
      <c r="N1003">
        <f t="shared" si="153"/>
        <v>9.625</v>
      </c>
      <c r="O1003">
        <f t="shared" si="154"/>
        <v>5.5374999999999996</v>
      </c>
      <c r="P1003">
        <f t="shared" si="155"/>
        <v>7.5</v>
      </c>
      <c r="Q1003">
        <f t="shared" si="156"/>
        <v>16.62962962962963</v>
      </c>
      <c r="R1003">
        <f t="shared" si="157"/>
        <v>57.38</v>
      </c>
      <c r="S1003" t="str">
        <f t="shared" si="158"/>
        <v>Satisfactory</v>
      </c>
      <c r="T1003" t="str">
        <f t="shared" si="159"/>
        <v>PM10</v>
      </c>
      <c r="U1003">
        <v>22.85</v>
      </c>
      <c r="V1003">
        <v>88.81</v>
      </c>
    </row>
    <row r="1004" spans="1:22" x14ac:dyDescent="0.3">
      <c r="A1004" s="2" t="s">
        <v>15</v>
      </c>
      <c r="B1004">
        <v>560026</v>
      </c>
      <c r="C1004" s="3">
        <v>44487</v>
      </c>
      <c r="D1004">
        <v>38.01</v>
      </c>
      <c r="E1004">
        <v>64.31</v>
      </c>
      <c r="F1004">
        <v>14.56</v>
      </c>
      <c r="G1004">
        <v>39.56</v>
      </c>
      <c r="H1004">
        <v>4.41</v>
      </c>
      <c r="I1004">
        <v>0.62</v>
      </c>
      <c r="J1004">
        <v>19.88</v>
      </c>
      <c r="K1004">
        <f t="shared" si="150"/>
        <v>63.349999999999994</v>
      </c>
      <c r="L1004">
        <f t="shared" si="151"/>
        <v>64.31</v>
      </c>
      <c r="M1004">
        <f t="shared" si="152"/>
        <v>18.2</v>
      </c>
      <c r="N1004">
        <f t="shared" si="153"/>
        <v>9.89</v>
      </c>
      <c r="O1004">
        <f t="shared" si="154"/>
        <v>5.5125000000000002</v>
      </c>
      <c r="P1004">
        <f t="shared" si="155"/>
        <v>7.045454545454545</v>
      </c>
      <c r="Q1004">
        <f t="shared" si="156"/>
        <v>18.407407407407408</v>
      </c>
      <c r="R1004">
        <f t="shared" si="157"/>
        <v>64.31</v>
      </c>
      <c r="S1004" t="str">
        <f t="shared" si="158"/>
        <v>Satisfactory</v>
      </c>
      <c r="T1004" t="str">
        <f t="shared" si="159"/>
        <v>PM10</v>
      </c>
      <c r="U1004">
        <v>22.87</v>
      </c>
      <c r="V1004">
        <v>89.52</v>
      </c>
    </row>
    <row r="1005" spans="1:22" x14ac:dyDescent="0.3">
      <c r="A1005" s="2" t="s">
        <v>15</v>
      </c>
      <c r="B1005">
        <v>560026</v>
      </c>
      <c r="C1005" s="3">
        <v>44488</v>
      </c>
      <c r="D1005">
        <v>47.27</v>
      </c>
      <c r="E1005">
        <v>111.24</v>
      </c>
      <c r="F1005">
        <v>17.77</v>
      </c>
      <c r="G1005">
        <v>48.88</v>
      </c>
      <c r="H1005">
        <v>4.2699999999999996</v>
      </c>
      <c r="I1005">
        <v>1.22</v>
      </c>
      <c r="J1005">
        <v>16.899999999999999</v>
      </c>
      <c r="K1005">
        <f t="shared" si="150"/>
        <v>78.783333333333331</v>
      </c>
      <c r="L1005">
        <f t="shared" si="151"/>
        <v>107.49333333333333</v>
      </c>
      <c r="M1005">
        <f t="shared" si="152"/>
        <v>22.212499999999999</v>
      </c>
      <c r="N1005">
        <f t="shared" si="153"/>
        <v>12.22</v>
      </c>
      <c r="O1005">
        <f t="shared" si="154"/>
        <v>5.3374999999999995</v>
      </c>
      <c r="P1005">
        <f t="shared" si="155"/>
        <v>13.863636363636363</v>
      </c>
      <c r="Q1005">
        <f t="shared" si="156"/>
        <v>15.648148148148147</v>
      </c>
      <c r="R1005">
        <f t="shared" si="157"/>
        <v>107.49333333333333</v>
      </c>
      <c r="S1005" t="str">
        <f t="shared" si="158"/>
        <v>Moderate</v>
      </c>
      <c r="T1005" t="str">
        <f t="shared" si="159"/>
        <v>PM10</v>
      </c>
      <c r="U1005">
        <v>24.22</v>
      </c>
      <c r="V1005">
        <v>78.81</v>
      </c>
    </row>
    <row r="1006" spans="1:22" x14ac:dyDescent="0.3">
      <c r="A1006" s="2" t="s">
        <v>15</v>
      </c>
      <c r="B1006">
        <v>560026</v>
      </c>
      <c r="C1006" s="3">
        <v>44489</v>
      </c>
      <c r="D1006">
        <v>74.64</v>
      </c>
      <c r="E1006">
        <v>150.94999999999999</v>
      </c>
      <c r="F1006">
        <v>22.44</v>
      </c>
      <c r="G1006">
        <v>69.319999999999993</v>
      </c>
      <c r="H1006">
        <v>4.66</v>
      </c>
      <c r="I1006">
        <v>1.59</v>
      </c>
      <c r="J1006">
        <v>6.8</v>
      </c>
      <c r="K1006">
        <f t="shared" si="150"/>
        <v>148.80000000000001</v>
      </c>
      <c r="L1006">
        <f t="shared" si="151"/>
        <v>133.96666666666667</v>
      </c>
      <c r="M1006">
        <f t="shared" si="152"/>
        <v>28.05</v>
      </c>
      <c r="N1006">
        <f t="shared" si="153"/>
        <v>17.329999999999998</v>
      </c>
      <c r="O1006">
        <f t="shared" si="154"/>
        <v>5.8250000000000002</v>
      </c>
      <c r="P1006">
        <f t="shared" si="155"/>
        <v>18.06818181818182</v>
      </c>
      <c r="Q1006">
        <f t="shared" si="156"/>
        <v>6.2962962962962958</v>
      </c>
      <c r="R1006">
        <f t="shared" si="157"/>
        <v>148.80000000000001</v>
      </c>
      <c r="S1006" t="str">
        <f t="shared" si="158"/>
        <v>Moderate</v>
      </c>
      <c r="T1006" t="str">
        <f t="shared" si="159"/>
        <v>PM2.5</v>
      </c>
      <c r="U1006">
        <v>25.86</v>
      </c>
      <c r="V1006">
        <v>74.010000000000005</v>
      </c>
    </row>
    <row r="1007" spans="1:22" x14ac:dyDescent="0.3">
      <c r="A1007" s="2" t="s">
        <v>15</v>
      </c>
      <c r="B1007">
        <v>560026</v>
      </c>
      <c r="C1007" s="3">
        <v>44490</v>
      </c>
      <c r="D1007">
        <v>59.36</v>
      </c>
      <c r="E1007">
        <v>103.47</v>
      </c>
      <c r="F1007">
        <v>19.73</v>
      </c>
      <c r="G1007">
        <v>53.8</v>
      </c>
      <c r="H1007">
        <v>3.75</v>
      </c>
      <c r="I1007">
        <v>1.02</v>
      </c>
      <c r="J1007">
        <v>8.19</v>
      </c>
      <c r="K1007">
        <f t="shared" si="150"/>
        <v>98.933333333333337</v>
      </c>
      <c r="L1007">
        <f t="shared" si="151"/>
        <v>102.31333333333333</v>
      </c>
      <c r="M1007">
        <f t="shared" si="152"/>
        <v>24.662500000000001</v>
      </c>
      <c r="N1007">
        <f t="shared" si="153"/>
        <v>13.45</v>
      </c>
      <c r="O1007">
        <f t="shared" si="154"/>
        <v>4.6875</v>
      </c>
      <c r="P1007">
        <f t="shared" si="155"/>
        <v>11.59090909090909</v>
      </c>
      <c r="Q1007">
        <f t="shared" si="156"/>
        <v>7.583333333333333</v>
      </c>
      <c r="R1007">
        <f t="shared" si="157"/>
        <v>102.31333333333333</v>
      </c>
      <c r="S1007" t="str">
        <f t="shared" si="158"/>
        <v>Moderate</v>
      </c>
      <c r="T1007" t="str">
        <f t="shared" si="159"/>
        <v>PM10</v>
      </c>
      <c r="U1007">
        <v>25.86</v>
      </c>
      <c r="V1007">
        <v>73.7</v>
      </c>
    </row>
    <row r="1008" spans="1:22" x14ac:dyDescent="0.3">
      <c r="A1008" s="2" t="s">
        <v>15</v>
      </c>
      <c r="B1008">
        <v>560026</v>
      </c>
      <c r="C1008" s="3">
        <v>44491</v>
      </c>
      <c r="D1008">
        <v>52.49</v>
      </c>
      <c r="E1008">
        <v>87.21</v>
      </c>
      <c r="F1008">
        <v>13.48</v>
      </c>
      <c r="G1008">
        <v>51.53</v>
      </c>
      <c r="H1008">
        <v>4.76</v>
      </c>
      <c r="I1008">
        <v>0.85</v>
      </c>
      <c r="J1008">
        <v>10.02</v>
      </c>
      <c r="K1008">
        <f t="shared" ref="K1008:K1061" si="160">IF(ISTEXT(D1008),0,IF(D1008&lt;=30,D1008*50/30,IF(AND(D1008&gt;30,D1008&lt;=60),50+(D1008-30)*50/30,IF(AND(D1008&gt;60,D1008&lt;=90),100+(D1008-60)*100/30,IF(AND(D1008&gt;90,D1008&lt;=120),200+(D1008-90)*(100/30),IF(AND(D1008&gt;120,D1008&lt;=250),300+(D1008-120)*(100/130),IF(D1008&gt;250,400+(D1008-250)*(100/130))))))))</f>
        <v>87.483333333333334</v>
      </c>
      <c r="L1008">
        <f t="shared" ref="L1008:L1061" si="161">IF(ISTEXT(E1008),0,IF(E1008&lt;=50,E1008,IF(AND(E1008&gt;50,E1008&lt;=100),E1008,IF(AND(E1008&gt;100,E1008&lt;=250),100+(E1008-100)*100/150,IF(AND(E1008&gt;250,E1008&lt;=350),200+(E1008-250),IF(AND(E1008&gt;350,E1008&lt;=430),300+(E1008-350)*(100/80),IF(E1008&gt;430,400+(E1008-430)*(100/80))))))))</f>
        <v>87.21</v>
      </c>
      <c r="M1008">
        <f t="shared" ref="M1008:M1061" si="162">IF(ISTEXT(F1008),0,IF(F1008&lt;=40,F1008*50/40,IF(AND(F1008&gt;40,F1008&lt;=80),50+(F1008-40)*50/40,IF(AND(F1008&gt;80,F1008&lt;=180),100+(F1008-80)*100/100,IF(AND(F1008&gt;180,F1008&lt;=280),200+(F1008-180)*(100/100),IF(AND(F1008&gt;280,F1008&lt;=400),300+(F1008-280)*(100/120),IF(F1008&gt;400,400+(F1008-400)*(100/120))))))))</f>
        <v>16.850000000000001</v>
      </c>
      <c r="N1008">
        <f t="shared" ref="N1008:N1061" si="163">IF(ISTEXT(G1008),0,IF(G1008&lt;=200,G1008*50/200,IF(AND(G1008&gt;200,G1008&lt;=400),50+(G1008-200)*50/200,IF(AND(G1008&gt;400,G1008&lt;=800),100+(G1008-400)*100/400,IF(AND(G1008&gt;800,G1008&lt;=1200),200+(G1008-800)*(100/400),IF(AND(G1008&gt;1200,G1008&lt;=1800),300+(G1008-1200)*(100/600),IF(G1008&gt;1800,400+(G1008-1800)*(100/600))))))))</f>
        <v>12.8825</v>
      </c>
      <c r="O1008">
        <f t="shared" ref="O1008:O1061" si="164">IF(ISTEXT(H1008),0,IF(H1008&lt;=40,H1008*50/40,IF(AND(H1008&gt;40,H1008&lt;=80),50+(H1008-40)*50/40,IF(AND(H1008&gt;80,H1008&lt;=380),100+(H1008-80)*100/300,IF(AND(H1008&gt;380,H1008&lt;=800),200+(H1008-380)*(100/420),IF(AND(H1008&gt;800,H1008&lt;=1600),300+(H1008-800)*(100/800),IF(H1008&gt;1600,400+(H1008-1600)*(100/800))))))))</f>
        <v>5.95</v>
      </c>
      <c r="P1008">
        <f t="shared" ref="P1008:P1061" si="165">IF(I1008&lt;=4.4,(50-0)/(4.4-0)*(I1008-0)+0,
IF(I1008&lt;=9.4,(100-51)/(9.4-4.5)*(I1008-4.5)+51,
IF(I1008&lt;=12.4,(150-101)/(12.4-9.5)*(I1008-9.5)+101,
IF(I1008&lt;=15.4,(200-151)/(15.4-12.5)*(I1008-12.5)+151,
IF(I1008&lt;=30.4,(300-201)/(30.4-15.5)*(I1008-15.5)+201,
(500-301)/(50.4-30.5)*(I1008-30.5)+301)))))</f>
        <v>9.6590909090909083</v>
      </c>
      <c r="Q1008">
        <f t="shared" ref="Q1008:Q1061" si="166">IF(J1008&lt;=54,(50-0)/(54-0)*(J1008-0)+0,
IF(J1008&lt;=70,(100-51)/(70-55)*(J1008-55)+51,
IF(J1008&lt;=85,(150-101)/(85-71)*(J1008-71)+101,
IF(J1008&lt;=105,(200-151)/(105-86)*(J1008-86)+151,
IF(J1008&lt;=200,(300-201)/(200-106)*(J1008-106)+201,
(500-301)/(300-201)*(J1008-201)+301)))))</f>
        <v>9.2777777777777768</v>
      </c>
      <c r="R1008">
        <f t="shared" ref="R1008:R1061" si="167">MAX(K1008:Q1008)</f>
        <v>87.483333333333334</v>
      </c>
      <c r="S1008" t="str">
        <f t="shared" ref="S1008:S1061" si="168">IF(R1008&lt;=50,"Good",
IF(R1008&lt;=100,"Satisfactory",
IF(R1008&lt;=200,"Moderate",
IF(R1008&lt;=300,"Poor",
IF(R1008&lt;=400,"Very Poor",
"Severe")))))</f>
        <v>Satisfactory</v>
      </c>
      <c r="T1008" t="str">
        <f t="shared" ref="T1008:T1061" si="169">IF(MAX(K1008:Q1008)=K1008,"PM2.5",
IF(MAX(K1008:Q1008)=L1008,"PM10",
IF(MAX(K1008:Q1008)=M1008,"NO2",
IF(MAX(K1008:Q1008)=N1008,"NH3",
IF(MAX(K1008:Q1008)=O1008,"SO2",
IF(MAX(K1008:Q1008)=P1008,"CO",
IF(MAX(K1008:Q1008)=Q1008,"OZONE","")))))))</f>
        <v>PM2.5</v>
      </c>
      <c r="U1008">
        <v>26.21</v>
      </c>
      <c r="V1008">
        <v>73.17</v>
      </c>
    </row>
    <row r="1009" spans="1:22" x14ac:dyDescent="0.3">
      <c r="A1009" s="2" t="s">
        <v>15</v>
      </c>
      <c r="B1009">
        <v>560026</v>
      </c>
      <c r="C1009" s="3">
        <v>44492</v>
      </c>
      <c r="D1009">
        <v>42.1</v>
      </c>
      <c r="E1009">
        <v>73.38</v>
      </c>
      <c r="F1009">
        <v>13.04</v>
      </c>
      <c r="G1009">
        <v>51.84</v>
      </c>
      <c r="H1009">
        <v>4.3600000000000003</v>
      </c>
      <c r="I1009">
        <v>0.9</v>
      </c>
      <c r="J1009">
        <v>27.48</v>
      </c>
      <c r="K1009">
        <f t="shared" si="160"/>
        <v>70.166666666666671</v>
      </c>
      <c r="L1009">
        <f t="shared" si="161"/>
        <v>73.38</v>
      </c>
      <c r="M1009">
        <f t="shared" si="162"/>
        <v>16.3</v>
      </c>
      <c r="N1009">
        <f t="shared" si="163"/>
        <v>12.96</v>
      </c>
      <c r="O1009">
        <f t="shared" si="164"/>
        <v>5.4500000000000011</v>
      </c>
      <c r="P1009">
        <f t="shared" si="165"/>
        <v>10.227272727272727</v>
      </c>
      <c r="Q1009">
        <f t="shared" si="166"/>
        <v>25.444444444444446</v>
      </c>
      <c r="R1009">
        <f t="shared" si="167"/>
        <v>73.38</v>
      </c>
      <c r="S1009" t="str">
        <f t="shared" si="168"/>
        <v>Satisfactory</v>
      </c>
      <c r="T1009" t="str">
        <f t="shared" si="169"/>
        <v>PM10</v>
      </c>
      <c r="U1009">
        <v>24.87</v>
      </c>
      <c r="V1009">
        <v>77.59</v>
      </c>
    </row>
    <row r="1010" spans="1:22" x14ac:dyDescent="0.3">
      <c r="A1010" s="2" t="s">
        <v>15</v>
      </c>
      <c r="B1010">
        <v>560026</v>
      </c>
      <c r="C1010" s="3">
        <v>44493</v>
      </c>
      <c r="D1010">
        <v>41.798333329999998</v>
      </c>
      <c r="E1010">
        <v>43.2</v>
      </c>
      <c r="F1010">
        <v>12.49</v>
      </c>
      <c r="G1010">
        <v>43.6</v>
      </c>
      <c r="H1010">
        <v>4.45</v>
      </c>
      <c r="I1010">
        <v>0.72</v>
      </c>
      <c r="J1010">
        <v>35.909999999999997</v>
      </c>
      <c r="K1010">
        <f t="shared" si="160"/>
        <v>69.663888883333328</v>
      </c>
      <c r="L1010">
        <f t="shared" si="161"/>
        <v>43.2</v>
      </c>
      <c r="M1010">
        <f t="shared" si="162"/>
        <v>15.612500000000001</v>
      </c>
      <c r="N1010">
        <f t="shared" si="163"/>
        <v>10.9</v>
      </c>
      <c r="O1010">
        <f t="shared" si="164"/>
        <v>5.5625</v>
      </c>
      <c r="P1010">
        <f t="shared" si="165"/>
        <v>8.1818181818181817</v>
      </c>
      <c r="Q1010">
        <f t="shared" si="166"/>
        <v>33.25</v>
      </c>
      <c r="R1010">
        <f t="shared" si="167"/>
        <v>69.663888883333328</v>
      </c>
      <c r="S1010" t="str">
        <f t="shared" si="168"/>
        <v>Satisfactory</v>
      </c>
      <c r="T1010" t="str">
        <f t="shared" si="169"/>
        <v>PM2.5</v>
      </c>
      <c r="U1010">
        <v>24.2</v>
      </c>
      <c r="V1010">
        <v>73.48</v>
      </c>
    </row>
    <row r="1011" spans="1:22" x14ac:dyDescent="0.3">
      <c r="A1011" s="2" t="s">
        <v>15</v>
      </c>
      <c r="B1011">
        <v>560026</v>
      </c>
      <c r="C1011" s="3">
        <v>44494</v>
      </c>
      <c r="D1011">
        <v>71.92</v>
      </c>
      <c r="E1011">
        <v>106.1</v>
      </c>
      <c r="F1011">
        <v>22.96</v>
      </c>
      <c r="G1011">
        <v>73.37</v>
      </c>
      <c r="H1011">
        <v>4.3099999999999996</v>
      </c>
      <c r="I1011">
        <v>1.22</v>
      </c>
      <c r="J1011">
        <v>32.729999999999997</v>
      </c>
      <c r="K1011">
        <f t="shared" si="160"/>
        <v>139.73333333333335</v>
      </c>
      <c r="L1011">
        <f t="shared" si="161"/>
        <v>104.06666666666666</v>
      </c>
      <c r="M1011">
        <f t="shared" si="162"/>
        <v>28.7</v>
      </c>
      <c r="N1011">
        <f t="shared" si="163"/>
        <v>18.342500000000001</v>
      </c>
      <c r="O1011">
        <f t="shared" si="164"/>
        <v>5.3874999999999993</v>
      </c>
      <c r="P1011">
        <f t="shared" si="165"/>
        <v>13.863636363636363</v>
      </c>
      <c r="Q1011">
        <f t="shared" si="166"/>
        <v>30.305555555555554</v>
      </c>
      <c r="R1011">
        <f t="shared" si="167"/>
        <v>139.73333333333335</v>
      </c>
      <c r="S1011" t="str">
        <f t="shared" si="168"/>
        <v>Moderate</v>
      </c>
      <c r="T1011" t="str">
        <f t="shared" si="169"/>
        <v>PM2.5</v>
      </c>
      <c r="U1011">
        <v>24.8</v>
      </c>
      <c r="V1011">
        <v>80.12</v>
      </c>
    </row>
    <row r="1012" spans="1:22" x14ac:dyDescent="0.3">
      <c r="A1012" s="2" t="s">
        <v>15</v>
      </c>
      <c r="B1012">
        <v>560026</v>
      </c>
      <c r="C1012" s="3">
        <v>44495</v>
      </c>
      <c r="D1012">
        <v>66</v>
      </c>
      <c r="E1012">
        <v>124.61</v>
      </c>
      <c r="F1012">
        <v>24.79</v>
      </c>
      <c r="G1012">
        <v>76.599999999999994</v>
      </c>
      <c r="H1012">
        <v>4.68</v>
      </c>
      <c r="I1012">
        <v>1.19</v>
      </c>
      <c r="J1012">
        <v>32.32</v>
      </c>
      <c r="K1012">
        <f t="shared" si="160"/>
        <v>120</v>
      </c>
      <c r="L1012">
        <f t="shared" si="161"/>
        <v>116.40666666666667</v>
      </c>
      <c r="M1012">
        <f t="shared" si="162"/>
        <v>30.987500000000001</v>
      </c>
      <c r="N1012">
        <f t="shared" si="163"/>
        <v>19.149999999999999</v>
      </c>
      <c r="O1012">
        <f t="shared" si="164"/>
        <v>5.85</v>
      </c>
      <c r="P1012">
        <f t="shared" si="165"/>
        <v>13.522727272727272</v>
      </c>
      <c r="Q1012">
        <f t="shared" si="166"/>
        <v>29.925925925925927</v>
      </c>
      <c r="R1012">
        <f t="shared" si="167"/>
        <v>120</v>
      </c>
      <c r="S1012" t="str">
        <f t="shared" si="168"/>
        <v>Moderate</v>
      </c>
      <c r="T1012" t="str">
        <f t="shared" si="169"/>
        <v>PM2.5</v>
      </c>
      <c r="U1012">
        <v>24.61</v>
      </c>
      <c r="V1012">
        <v>63.5</v>
      </c>
    </row>
    <row r="1013" spans="1:22" x14ac:dyDescent="0.3">
      <c r="A1013" s="2" t="s">
        <v>15</v>
      </c>
      <c r="B1013">
        <v>560026</v>
      </c>
      <c r="C1013" s="3">
        <v>44496</v>
      </c>
      <c r="D1013">
        <v>79.849999999999994</v>
      </c>
      <c r="E1013">
        <v>149.36000000000001</v>
      </c>
      <c r="F1013">
        <v>25.77</v>
      </c>
      <c r="G1013">
        <v>83.82</v>
      </c>
      <c r="H1013">
        <v>4.78</v>
      </c>
      <c r="I1013">
        <v>1.3</v>
      </c>
      <c r="J1013">
        <v>20.03</v>
      </c>
      <c r="K1013">
        <f t="shared" si="160"/>
        <v>166.16666666666666</v>
      </c>
      <c r="L1013">
        <f t="shared" si="161"/>
        <v>132.90666666666669</v>
      </c>
      <c r="M1013">
        <f t="shared" si="162"/>
        <v>32.212499999999999</v>
      </c>
      <c r="N1013">
        <f t="shared" si="163"/>
        <v>20.954999999999998</v>
      </c>
      <c r="O1013">
        <f t="shared" si="164"/>
        <v>5.9749999999999996</v>
      </c>
      <c r="P1013">
        <f t="shared" si="165"/>
        <v>14.772727272727273</v>
      </c>
      <c r="Q1013">
        <f t="shared" si="166"/>
        <v>18.546296296296298</v>
      </c>
      <c r="R1013">
        <f t="shared" si="167"/>
        <v>166.16666666666666</v>
      </c>
      <c r="S1013" t="str">
        <f t="shared" si="168"/>
        <v>Moderate</v>
      </c>
      <c r="T1013" t="str">
        <f t="shared" si="169"/>
        <v>PM2.5</v>
      </c>
      <c r="U1013">
        <v>24.1</v>
      </c>
      <c r="V1013">
        <v>62.79</v>
      </c>
    </row>
    <row r="1014" spans="1:22" x14ac:dyDescent="0.3">
      <c r="A1014" s="2" t="s">
        <v>15</v>
      </c>
      <c r="B1014">
        <v>560026</v>
      </c>
      <c r="C1014" s="3">
        <v>44498</v>
      </c>
      <c r="D1014">
        <v>57.74</v>
      </c>
      <c r="E1014">
        <v>109.33</v>
      </c>
      <c r="F1014">
        <v>15.61</v>
      </c>
      <c r="G1014">
        <v>75.61</v>
      </c>
      <c r="H1014">
        <v>4.6500000000000004</v>
      </c>
      <c r="I1014">
        <v>1.22</v>
      </c>
      <c r="J1014">
        <v>9.4499999999999993</v>
      </c>
      <c r="K1014">
        <f t="shared" si="160"/>
        <v>96.233333333333334</v>
      </c>
      <c r="L1014">
        <f t="shared" si="161"/>
        <v>106.22</v>
      </c>
      <c r="M1014">
        <f t="shared" si="162"/>
        <v>19.512499999999999</v>
      </c>
      <c r="N1014">
        <f t="shared" si="163"/>
        <v>18.9025</v>
      </c>
      <c r="O1014">
        <f t="shared" si="164"/>
        <v>5.8125000000000009</v>
      </c>
      <c r="P1014">
        <f t="shared" si="165"/>
        <v>13.863636363636363</v>
      </c>
      <c r="Q1014">
        <f t="shared" si="166"/>
        <v>8.75</v>
      </c>
      <c r="R1014">
        <f t="shared" si="167"/>
        <v>106.22</v>
      </c>
      <c r="S1014" t="str">
        <f t="shared" si="168"/>
        <v>Moderate</v>
      </c>
      <c r="T1014" t="str">
        <f t="shared" si="169"/>
        <v>PM10</v>
      </c>
      <c r="U1014">
        <v>23.42</v>
      </c>
      <c r="V1014">
        <v>76.34</v>
      </c>
    </row>
    <row r="1015" spans="1:22" x14ac:dyDescent="0.3">
      <c r="A1015" s="2" t="s">
        <v>15</v>
      </c>
      <c r="B1015">
        <v>560026</v>
      </c>
      <c r="C1015" s="3">
        <v>44499</v>
      </c>
      <c r="D1015">
        <v>33.380000000000003</v>
      </c>
      <c r="E1015">
        <v>69.69</v>
      </c>
      <c r="F1015">
        <v>8.99</v>
      </c>
      <c r="G1015">
        <v>72.040000000000006</v>
      </c>
      <c r="H1015">
        <v>4.01</v>
      </c>
      <c r="I1015">
        <v>1.02</v>
      </c>
      <c r="J1015">
        <v>14.05</v>
      </c>
      <c r="K1015">
        <f t="shared" si="160"/>
        <v>55.63333333333334</v>
      </c>
      <c r="L1015">
        <f t="shared" si="161"/>
        <v>69.69</v>
      </c>
      <c r="M1015">
        <f t="shared" si="162"/>
        <v>11.237500000000001</v>
      </c>
      <c r="N1015">
        <f t="shared" si="163"/>
        <v>18.010000000000002</v>
      </c>
      <c r="O1015">
        <f t="shared" si="164"/>
        <v>5.0125000000000002</v>
      </c>
      <c r="P1015">
        <f t="shared" si="165"/>
        <v>11.59090909090909</v>
      </c>
      <c r="Q1015">
        <f t="shared" si="166"/>
        <v>13.00925925925926</v>
      </c>
      <c r="R1015">
        <f t="shared" si="167"/>
        <v>69.69</v>
      </c>
      <c r="S1015" t="str">
        <f t="shared" si="168"/>
        <v>Satisfactory</v>
      </c>
      <c r="T1015" t="str">
        <f t="shared" si="169"/>
        <v>PM10</v>
      </c>
      <c r="U1015">
        <v>24.02</v>
      </c>
      <c r="V1015">
        <v>76.81</v>
      </c>
    </row>
    <row r="1016" spans="1:22" x14ac:dyDescent="0.3">
      <c r="A1016" s="2" t="s">
        <v>15</v>
      </c>
      <c r="B1016">
        <v>560026</v>
      </c>
      <c r="C1016" s="3">
        <v>44500</v>
      </c>
      <c r="D1016">
        <v>32.200000000000003</v>
      </c>
      <c r="E1016">
        <v>70.739999999999995</v>
      </c>
      <c r="F1016">
        <v>8.5399999999999991</v>
      </c>
      <c r="G1016">
        <v>70.47</v>
      </c>
      <c r="H1016">
        <v>4.17</v>
      </c>
      <c r="I1016">
        <v>0.93</v>
      </c>
      <c r="J1016">
        <v>14.32</v>
      </c>
      <c r="K1016">
        <f t="shared" si="160"/>
        <v>53.666666666666671</v>
      </c>
      <c r="L1016">
        <f t="shared" si="161"/>
        <v>70.739999999999995</v>
      </c>
      <c r="M1016">
        <f t="shared" si="162"/>
        <v>10.674999999999999</v>
      </c>
      <c r="N1016">
        <f t="shared" si="163"/>
        <v>17.6175</v>
      </c>
      <c r="O1016">
        <f t="shared" si="164"/>
        <v>5.2125000000000004</v>
      </c>
      <c r="P1016">
        <f t="shared" si="165"/>
        <v>10.568181818181818</v>
      </c>
      <c r="Q1016">
        <f t="shared" si="166"/>
        <v>13.25925925925926</v>
      </c>
      <c r="R1016">
        <f t="shared" si="167"/>
        <v>70.739999999999995</v>
      </c>
      <c r="S1016" t="str">
        <f t="shared" si="168"/>
        <v>Satisfactory</v>
      </c>
      <c r="T1016" t="str">
        <f t="shared" si="169"/>
        <v>PM10</v>
      </c>
      <c r="U1016">
        <v>23.76</v>
      </c>
      <c r="V1016">
        <v>75.66</v>
      </c>
    </row>
    <row r="1017" spans="1:22" x14ac:dyDescent="0.3">
      <c r="A1017" s="2" t="s">
        <v>15</v>
      </c>
      <c r="B1017">
        <v>560026</v>
      </c>
      <c r="C1017" s="3">
        <v>44501</v>
      </c>
      <c r="D1017">
        <v>29.11</v>
      </c>
      <c r="E1017">
        <v>59.48</v>
      </c>
      <c r="F1017">
        <v>7.07</v>
      </c>
      <c r="G1017">
        <v>64.569999999999993</v>
      </c>
      <c r="H1017">
        <v>4.3099999999999996</v>
      </c>
      <c r="I1017">
        <v>0.92</v>
      </c>
      <c r="J1017">
        <v>13.62</v>
      </c>
      <c r="K1017">
        <f t="shared" si="160"/>
        <v>48.516666666666666</v>
      </c>
      <c r="L1017">
        <f t="shared" si="161"/>
        <v>59.48</v>
      </c>
      <c r="M1017">
        <f t="shared" si="162"/>
        <v>8.8375000000000004</v>
      </c>
      <c r="N1017">
        <f t="shared" si="163"/>
        <v>16.142499999999998</v>
      </c>
      <c r="O1017">
        <f t="shared" si="164"/>
        <v>5.3874999999999993</v>
      </c>
      <c r="P1017">
        <f t="shared" si="165"/>
        <v>10.454545454545455</v>
      </c>
      <c r="Q1017">
        <f t="shared" si="166"/>
        <v>12.611111111111111</v>
      </c>
      <c r="R1017">
        <f t="shared" si="167"/>
        <v>59.48</v>
      </c>
      <c r="S1017" t="str">
        <f t="shared" si="168"/>
        <v>Satisfactory</v>
      </c>
      <c r="T1017" t="str">
        <f t="shared" si="169"/>
        <v>PM10</v>
      </c>
      <c r="U1017">
        <v>23.56</v>
      </c>
      <c r="V1017">
        <v>80.040000000000006</v>
      </c>
    </row>
    <row r="1018" spans="1:22" x14ac:dyDescent="0.3">
      <c r="A1018" s="2" t="s">
        <v>15</v>
      </c>
      <c r="B1018">
        <v>560026</v>
      </c>
      <c r="C1018" s="3">
        <v>44502</v>
      </c>
      <c r="D1018">
        <v>28.91</v>
      </c>
      <c r="E1018">
        <v>60.05</v>
      </c>
      <c r="F1018">
        <v>5.65</v>
      </c>
      <c r="G1018">
        <v>59.63</v>
      </c>
      <c r="H1018">
        <v>5.26</v>
      </c>
      <c r="I1018">
        <v>1.05</v>
      </c>
      <c r="J1018">
        <v>15.98</v>
      </c>
      <c r="K1018">
        <f t="shared" si="160"/>
        <v>48.18333333333333</v>
      </c>
      <c r="L1018">
        <f t="shared" si="161"/>
        <v>60.05</v>
      </c>
      <c r="M1018">
        <f t="shared" si="162"/>
        <v>7.0625</v>
      </c>
      <c r="N1018">
        <f t="shared" si="163"/>
        <v>14.907500000000001</v>
      </c>
      <c r="O1018">
        <f t="shared" si="164"/>
        <v>6.5750000000000002</v>
      </c>
      <c r="P1018">
        <f t="shared" si="165"/>
        <v>11.931818181818182</v>
      </c>
      <c r="Q1018">
        <f t="shared" si="166"/>
        <v>14.796296296296298</v>
      </c>
      <c r="R1018">
        <f t="shared" si="167"/>
        <v>60.05</v>
      </c>
      <c r="S1018" t="str">
        <f t="shared" si="168"/>
        <v>Satisfactory</v>
      </c>
      <c r="T1018" t="str">
        <f t="shared" si="169"/>
        <v>PM10</v>
      </c>
      <c r="U1018">
        <v>22.92</v>
      </c>
      <c r="V1018">
        <v>83.92</v>
      </c>
    </row>
    <row r="1019" spans="1:22" x14ac:dyDescent="0.3">
      <c r="A1019" s="2" t="s">
        <v>15</v>
      </c>
      <c r="B1019">
        <v>560026</v>
      </c>
      <c r="C1019" s="3">
        <v>44503</v>
      </c>
      <c r="D1019">
        <v>34.479999999999997</v>
      </c>
      <c r="E1019">
        <v>63.03</v>
      </c>
      <c r="F1019">
        <v>4.9000000000000004</v>
      </c>
      <c r="G1019">
        <v>55.4</v>
      </c>
      <c r="H1019">
        <v>5.1100000000000003</v>
      </c>
      <c r="I1019">
        <v>0.94</v>
      </c>
      <c r="J1019">
        <v>18.579999999999998</v>
      </c>
      <c r="K1019">
        <f t="shared" si="160"/>
        <v>57.466666666666661</v>
      </c>
      <c r="L1019">
        <f t="shared" si="161"/>
        <v>63.03</v>
      </c>
      <c r="M1019">
        <f t="shared" si="162"/>
        <v>6.1250000000000009</v>
      </c>
      <c r="N1019">
        <f t="shared" si="163"/>
        <v>13.85</v>
      </c>
      <c r="O1019">
        <f t="shared" si="164"/>
        <v>6.3875000000000011</v>
      </c>
      <c r="P1019">
        <f t="shared" si="165"/>
        <v>10.681818181818182</v>
      </c>
      <c r="Q1019">
        <f t="shared" si="166"/>
        <v>17.203703703703702</v>
      </c>
      <c r="R1019">
        <f t="shared" si="167"/>
        <v>63.03</v>
      </c>
      <c r="S1019" t="str">
        <f t="shared" si="168"/>
        <v>Satisfactory</v>
      </c>
      <c r="T1019" t="str">
        <f t="shared" si="169"/>
        <v>PM10</v>
      </c>
      <c r="U1019">
        <v>23.06</v>
      </c>
      <c r="V1019">
        <v>58.6</v>
      </c>
    </row>
    <row r="1020" spans="1:22" x14ac:dyDescent="0.3">
      <c r="A1020" s="2" t="s">
        <v>15</v>
      </c>
      <c r="B1020">
        <v>560026</v>
      </c>
      <c r="C1020" s="3">
        <v>44504</v>
      </c>
      <c r="D1020">
        <v>40.89</v>
      </c>
      <c r="E1020">
        <v>65.91</v>
      </c>
      <c r="F1020">
        <v>7.47</v>
      </c>
      <c r="G1020">
        <v>51.07</v>
      </c>
      <c r="H1020">
        <v>5.43</v>
      </c>
      <c r="I1020">
        <v>0.99</v>
      </c>
      <c r="J1020">
        <v>19.64</v>
      </c>
      <c r="K1020">
        <f t="shared" si="160"/>
        <v>68.150000000000006</v>
      </c>
      <c r="L1020">
        <f t="shared" si="161"/>
        <v>65.91</v>
      </c>
      <c r="M1020">
        <f t="shared" si="162"/>
        <v>9.3375000000000004</v>
      </c>
      <c r="N1020">
        <f t="shared" si="163"/>
        <v>12.7675</v>
      </c>
      <c r="O1020">
        <f t="shared" si="164"/>
        <v>6.7874999999999996</v>
      </c>
      <c r="P1020">
        <f t="shared" si="165"/>
        <v>11.25</v>
      </c>
      <c r="Q1020">
        <f t="shared" si="166"/>
        <v>18.185185185185187</v>
      </c>
      <c r="R1020">
        <f t="shared" si="167"/>
        <v>68.150000000000006</v>
      </c>
      <c r="S1020" t="str">
        <f t="shared" si="168"/>
        <v>Satisfactory</v>
      </c>
      <c r="T1020" t="str">
        <f t="shared" si="169"/>
        <v>PM2.5</v>
      </c>
      <c r="U1020">
        <v>23.53</v>
      </c>
      <c r="V1020">
        <v>64.73</v>
      </c>
    </row>
    <row r="1021" spans="1:22" x14ac:dyDescent="0.3">
      <c r="A1021" s="2" t="s">
        <v>15</v>
      </c>
      <c r="B1021">
        <v>560026</v>
      </c>
      <c r="C1021" s="3">
        <v>44505</v>
      </c>
      <c r="D1021">
        <v>66.88</v>
      </c>
      <c r="E1021">
        <v>80.67</v>
      </c>
      <c r="F1021">
        <v>9.6999999999999993</v>
      </c>
      <c r="G1021">
        <v>49.76</v>
      </c>
      <c r="H1021">
        <v>5.36</v>
      </c>
      <c r="I1021">
        <v>0.98</v>
      </c>
      <c r="J1021">
        <v>19.920000000000002</v>
      </c>
      <c r="K1021">
        <f t="shared" si="160"/>
        <v>122.93333333333332</v>
      </c>
      <c r="L1021">
        <f t="shared" si="161"/>
        <v>80.67</v>
      </c>
      <c r="M1021">
        <f t="shared" si="162"/>
        <v>12.124999999999998</v>
      </c>
      <c r="N1021">
        <f t="shared" si="163"/>
        <v>12.44</v>
      </c>
      <c r="O1021">
        <f t="shared" si="164"/>
        <v>6.7</v>
      </c>
      <c r="P1021">
        <f t="shared" si="165"/>
        <v>11.136363636363637</v>
      </c>
      <c r="Q1021">
        <f t="shared" si="166"/>
        <v>18.444444444444446</v>
      </c>
      <c r="R1021">
        <f t="shared" si="167"/>
        <v>122.93333333333332</v>
      </c>
      <c r="S1021" t="str">
        <f t="shared" si="168"/>
        <v>Moderate</v>
      </c>
      <c r="T1021" t="str">
        <f t="shared" si="169"/>
        <v>PM2.5</v>
      </c>
      <c r="U1021">
        <v>22.1</v>
      </c>
      <c r="V1021">
        <v>73.36</v>
      </c>
    </row>
    <row r="1022" spans="1:22" x14ac:dyDescent="0.3">
      <c r="A1022" s="2" t="s">
        <v>15</v>
      </c>
      <c r="B1022">
        <v>560026</v>
      </c>
      <c r="C1022" s="3">
        <v>44506</v>
      </c>
      <c r="D1022">
        <v>44.33</v>
      </c>
      <c r="E1022">
        <v>77.790000000000006</v>
      </c>
      <c r="F1022">
        <v>12.89</v>
      </c>
      <c r="G1022">
        <v>54.15</v>
      </c>
      <c r="H1022">
        <v>5.27</v>
      </c>
      <c r="I1022">
        <v>1.1499999999999999</v>
      </c>
      <c r="J1022">
        <v>18.100000000000001</v>
      </c>
      <c r="K1022">
        <f t="shared" si="160"/>
        <v>73.883333333333326</v>
      </c>
      <c r="L1022">
        <f t="shared" si="161"/>
        <v>77.790000000000006</v>
      </c>
      <c r="M1022">
        <f t="shared" si="162"/>
        <v>16.112500000000001</v>
      </c>
      <c r="N1022">
        <f t="shared" si="163"/>
        <v>13.5375</v>
      </c>
      <c r="O1022">
        <f t="shared" si="164"/>
        <v>6.5875000000000004</v>
      </c>
      <c r="P1022">
        <f t="shared" si="165"/>
        <v>13.068181818181817</v>
      </c>
      <c r="Q1022">
        <f t="shared" si="166"/>
        <v>16.75925925925926</v>
      </c>
      <c r="R1022">
        <f t="shared" si="167"/>
        <v>77.790000000000006</v>
      </c>
      <c r="S1022" t="str">
        <f t="shared" si="168"/>
        <v>Satisfactory</v>
      </c>
      <c r="T1022" t="str">
        <f t="shared" si="169"/>
        <v>PM10</v>
      </c>
      <c r="U1022">
        <v>23.77</v>
      </c>
      <c r="V1022">
        <v>60.89</v>
      </c>
    </row>
    <row r="1023" spans="1:22" x14ac:dyDescent="0.3">
      <c r="A1023" s="2" t="s">
        <v>15</v>
      </c>
      <c r="B1023">
        <v>560026</v>
      </c>
      <c r="C1023" s="3">
        <v>44507</v>
      </c>
      <c r="D1023">
        <v>49.39</v>
      </c>
      <c r="E1023">
        <v>85.6</v>
      </c>
      <c r="F1023">
        <v>14.42</v>
      </c>
      <c r="G1023">
        <v>49.85</v>
      </c>
      <c r="H1023">
        <v>5.5</v>
      </c>
      <c r="I1023">
        <v>1.0900000000000001</v>
      </c>
      <c r="J1023">
        <v>14.38</v>
      </c>
      <c r="K1023">
        <f t="shared" si="160"/>
        <v>82.316666666666663</v>
      </c>
      <c r="L1023">
        <f t="shared" si="161"/>
        <v>85.6</v>
      </c>
      <c r="M1023">
        <f t="shared" si="162"/>
        <v>18.024999999999999</v>
      </c>
      <c r="N1023">
        <f t="shared" si="163"/>
        <v>12.4625</v>
      </c>
      <c r="O1023">
        <f t="shared" si="164"/>
        <v>6.875</v>
      </c>
      <c r="P1023">
        <f t="shared" si="165"/>
        <v>12.386363636363637</v>
      </c>
      <c r="Q1023">
        <f t="shared" si="166"/>
        <v>13.314814814814815</v>
      </c>
      <c r="R1023">
        <f t="shared" si="167"/>
        <v>85.6</v>
      </c>
      <c r="S1023" t="str">
        <f t="shared" si="168"/>
        <v>Satisfactory</v>
      </c>
      <c r="T1023" t="str">
        <f t="shared" si="169"/>
        <v>PM10</v>
      </c>
      <c r="U1023">
        <v>22.46</v>
      </c>
      <c r="V1023">
        <v>64.94</v>
      </c>
    </row>
    <row r="1024" spans="1:22" x14ac:dyDescent="0.3">
      <c r="A1024" s="2" t="s">
        <v>15</v>
      </c>
      <c r="B1024">
        <v>560026</v>
      </c>
      <c r="C1024" s="3">
        <v>44508</v>
      </c>
      <c r="D1024">
        <v>82.8</v>
      </c>
      <c r="E1024">
        <v>117.3</v>
      </c>
      <c r="F1024">
        <v>19.600000000000001</v>
      </c>
      <c r="G1024">
        <v>71.89</v>
      </c>
      <c r="H1024">
        <v>5.31</v>
      </c>
      <c r="I1024">
        <v>1.67</v>
      </c>
      <c r="J1024">
        <v>12.32</v>
      </c>
      <c r="K1024">
        <f t="shared" si="160"/>
        <v>176</v>
      </c>
      <c r="L1024">
        <f t="shared" si="161"/>
        <v>111.53333333333333</v>
      </c>
      <c r="M1024">
        <f t="shared" si="162"/>
        <v>24.500000000000004</v>
      </c>
      <c r="N1024">
        <f t="shared" si="163"/>
        <v>17.9725</v>
      </c>
      <c r="O1024">
        <f t="shared" si="164"/>
        <v>6.6375000000000002</v>
      </c>
      <c r="P1024">
        <f t="shared" si="165"/>
        <v>18.977272727272727</v>
      </c>
      <c r="Q1024">
        <f t="shared" si="166"/>
        <v>11.407407407407408</v>
      </c>
      <c r="R1024">
        <f t="shared" si="167"/>
        <v>176</v>
      </c>
      <c r="S1024" t="str">
        <f t="shared" si="168"/>
        <v>Moderate</v>
      </c>
      <c r="T1024" t="str">
        <f t="shared" si="169"/>
        <v>PM2.5</v>
      </c>
      <c r="U1024">
        <v>21.57</v>
      </c>
      <c r="V1024">
        <v>70.7</v>
      </c>
    </row>
    <row r="1025" spans="1:22" x14ac:dyDescent="0.3">
      <c r="A1025" s="2" t="s">
        <v>15</v>
      </c>
      <c r="B1025">
        <v>560026</v>
      </c>
      <c r="C1025" s="3">
        <v>44510</v>
      </c>
      <c r="D1025">
        <v>75.14</v>
      </c>
      <c r="E1025">
        <v>131.79</v>
      </c>
      <c r="F1025">
        <v>22.51</v>
      </c>
      <c r="G1025">
        <v>64.900000000000006</v>
      </c>
      <c r="H1025">
        <v>5.34</v>
      </c>
      <c r="I1025">
        <v>1.36</v>
      </c>
      <c r="J1025">
        <v>8.57</v>
      </c>
      <c r="K1025">
        <f t="shared" si="160"/>
        <v>150.46666666666667</v>
      </c>
      <c r="L1025">
        <f t="shared" si="161"/>
        <v>121.19333333333333</v>
      </c>
      <c r="M1025">
        <f t="shared" si="162"/>
        <v>28.137499999999999</v>
      </c>
      <c r="N1025">
        <f t="shared" si="163"/>
        <v>16.225000000000001</v>
      </c>
      <c r="O1025">
        <f t="shared" si="164"/>
        <v>6.6749999999999998</v>
      </c>
      <c r="P1025">
        <f t="shared" si="165"/>
        <v>15.454545454545455</v>
      </c>
      <c r="Q1025">
        <f t="shared" si="166"/>
        <v>7.9351851851851851</v>
      </c>
      <c r="R1025">
        <f t="shared" si="167"/>
        <v>150.46666666666667</v>
      </c>
      <c r="S1025" t="str">
        <f t="shared" si="168"/>
        <v>Moderate</v>
      </c>
      <c r="T1025" t="str">
        <f t="shared" si="169"/>
        <v>PM2.5</v>
      </c>
      <c r="U1025">
        <v>21.78</v>
      </c>
      <c r="V1025">
        <v>55.37</v>
      </c>
    </row>
    <row r="1026" spans="1:22" x14ac:dyDescent="0.3">
      <c r="A1026" s="2" t="s">
        <v>15</v>
      </c>
      <c r="B1026">
        <v>560026</v>
      </c>
      <c r="C1026" s="3">
        <v>44511</v>
      </c>
      <c r="D1026">
        <v>62.25</v>
      </c>
      <c r="E1026">
        <v>79.98</v>
      </c>
      <c r="F1026">
        <v>15.33</v>
      </c>
      <c r="G1026">
        <v>61.09</v>
      </c>
      <c r="H1026">
        <v>5.32</v>
      </c>
      <c r="I1026">
        <v>1</v>
      </c>
      <c r="J1026">
        <v>9.84</v>
      </c>
      <c r="K1026">
        <f t="shared" si="160"/>
        <v>107.5</v>
      </c>
      <c r="L1026">
        <f t="shared" si="161"/>
        <v>79.98</v>
      </c>
      <c r="M1026">
        <f t="shared" si="162"/>
        <v>19.162500000000001</v>
      </c>
      <c r="N1026">
        <f t="shared" si="163"/>
        <v>15.272500000000001</v>
      </c>
      <c r="O1026">
        <f t="shared" si="164"/>
        <v>6.65</v>
      </c>
      <c r="P1026">
        <f t="shared" si="165"/>
        <v>11.363636363636363</v>
      </c>
      <c r="Q1026">
        <f t="shared" si="166"/>
        <v>9.1111111111111107</v>
      </c>
      <c r="R1026">
        <f t="shared" si="167"/>
        <v>107.5</v>
      </c>
      <c r="S1026" t="str">
        <f t="shared" si="168"/>
        <v>Moderate</v>
      </c>
      <c r="T1026" t="str">
        <f t="shared" si="169"/>
        <v>PM2.5</v>
      </c>
      <c r="U1026">
        <v>18.899999999999999</v>
      </c>
      <c r="V1026">
        <v>76.02</v>
      </c>
    </row>
    <row r="1027" spans="1:22" x14ac:dyDescent="0.3">
      <c r="A1027" s="2" t="s">
        <v>15</v>
      </c>
      <c r="B1027">
        <v>560026</v>
      </c>
      <c r="C1027" s="3">
        <v>44512</v>
      </c>
      <c r="D1027">
        <v>34.590000000000003</v>
      </c>
      <c r="E1027">
        <v>46.85</v>
      </c>
      <c r="F1027">
        <v>14.22</v>
      </c>
      <c r="G1027">
        <v>70.34</v>
      </c>
      <c r="H1027">
        <v>5.03</v>
      </c>
      <c r="I1027">
        <v>1.52</v>
      </c>
      <c r="J1027">
        <v>13.47</v>
      </c>
      <c r="K1027">
        <f t="shared" si="160"/>
        <v>57.650000000000006</v>
      </c>
      <c r="L1027">
        <f t="shared" si="161"/>
        <v>46.85</v>
      </c>
      <c r="M1027">
        <f t="shared" si="162"/>
        <v>17.774999999999999</v>
      </c>
      <c r="N1027">
        <f t="shared" si="163"/>
        <v>17.585000000000001</v>
      </c>
      <c r="O1027">
        <f t="shared" si="164"/>
        <v>6.2874999999999996</v>
      </c>
      <c r="P1027">
        <f t="shared" si="165"/>
        <v>17.272727272727273</v>
      </c>
      <c r="Q1027">
        <f t="shared" si="166"/>
        <v>12.472222222222223</v>
      </c>
      <c r="R1027">
        <f t="shared" si="167"/>
        <v>57.650000000000006</v>
      </c>
      <c r="S1027" t="str">
        <f t="shared" si="168"/>
        <v>Satisfactory</v>
      </c>
      <c r="T1027" t="str">
        <f t="shared" si="169"/>
        <v>PM2.5</v>
      </c>
      <c r="U1027">
        <v>20.14</v>
      </c>
      <c r="V1027">
        <v>77.760000000000005</v>
      </c>
    </row>
    <row r="1028" spans="1:22" x14ac:dyDescent="0.3">
      <c r="A1028" s="2" t="s">
        <v>15</v>
      </c>
      <c r="B1028">
        <v>560026</v>
      </c>
      <c r="C1028" s="3">
        <v>44513</v>
      </c>
      <c r="D1028">
        <v>41.37</v>
      </c>
      <c r="E1028">
        <v>73.010000000000005</v>
      </c>
      <c r="F1028">
        <v>15.53</v>
      </c>
      <c r="G1028">
        <v>61.98</v>
      </c>
      <c r="H1028">
        <v>4.79</v>
      </c>
      <c r="I1028">
        <v>1.56</v>
      </c>
      <c r="J1028">
        <v>15.86</v>
      </c>
      <c r="K1028">
        <f t="shared" si="160"/>
        <v>68.949999999999989</v>
      </c>
      <c r="L1028">
        <f t="shared" si="161"/>
        <v>73.010000000000005</v>
      </c>
      <c r="M1028">
        <f t="shared" si="162"/>
        <v>19.412500000000001</v>
      </c>
      <c r="N1028">
        <f t="shared" si="163"/>
        <v>15.494999999999999</v>
      </c>
      <c r="O1028">
        <f t="shared" si="164"/>
        <v>5.9874999999999998</v>
      </c>
      <c r="P1028">
        <f t="shared" si="165"/>
        <v>17.727272727272727</v>
      </c>
      <c r="Q1028">
        <f t="shared" si="166"/>
        <v>14.685185185185185</v>
      </c>
      <c r="R1028">
        <f t="shared" si="167"/>
        <v>73.010000000000005</v>
      </c>
      <c r="S1028" t="str">
        <f t="shared" si="168"/>
        <v>Satisfactory</v>
      </c>
      <c r="T1028" t="str">
        <f t="shared" si="169"/>
        <v>PM10</v>
      </c>
      <c r="U1028">
        <v>22.3</v>
      </c>
      <c r="V1028">
        <v>73.8</v>
      </c>
    </row>
    <row r="1029" spans="1:22" x14ac:dyDescent="0.3">
      <c r="A1029" s="2" t="s">
        <v>15</v>
      </c>
      <c r="B1029">
        <v>560026</v>
      </c>
      <c r="C1029" s="3">
        <v>44514</v>
      </c>
      <c r="D1029">
        <v>25.86</v>
      </c>
      <c r="E1029">
        <v>49.55</v>
      </c>
      <c r="F1029">
        <v>9.24</v>
      </c>
      <c r="G1029">
        <v>44.58</v>
      </c>
      <c r="H1029">
        <v>4.8499999999999996</v>
      </c>
      <c r="I1029">
        <v>1.05</v>
      </c>
      <c r="J1029">
        <v>15.8</v>
      </c>
      <c r="K1029">
        <f t="shared" si="160"/>
        <v>43.1</v>
      </c>
      <c r="L1029">
        <f t="shared" si="161"/>
        <v>49.55</v>
      </c>
      <c r="M1029">
        <f t="shared" si="162"/>
        <v>11.55</v>
      </c>
      <c r="N1029">
        <f t="shared" si="163"/>
        <v>11.145</v>
      </c>
      <c r="O1029">
        <f t="shared" si="164"/>
        <v>6.0624999999999991</v>
      </c>
      <c r="P1029">
        <f t="shared" si="165"/>
        <v>11.931818181818182</v>
      </c>
      <c r="Q1029">
        <f t="shared" si="166"/>
        <v>14.62962962962963</v>
      </c>
      <c r="R1029">
        <f t="shared" si="167"/>
        <v>49.55</v>
      </c>
      <c r="S1029" t="str">
        <f t="shared" si="168"/>
        <v>Good</v>
      </c>
      <c r="T1029" t="str">
        <f t="shared" si="169"/>
        <v>PM10</v>
      </c>
      <c r="U1029">
        <v>22.42</v>
      </c>
      <c r="V1029">
        <v>77.92</v>
      </c>
    </row>
    <row r="1030" spans="1:22" x14ac:dyDescent="0.3">
      <c r="A1030" s="2" t="s">
        <v>15</v>
      </c>
      <c r="B1030">
        <v>560026</v>
      </c>
      <c r="C1030" s="3">
        <v>44515</v>
      </c>
      <c r="D1030">
        <v>32.049999999999997</v>
      </c>
      <c r="E1030">
        <v>51.07</v>
      </c>
      <c r="F1030">
        <v>12.36</v>
      </c>
      <c r="G1030">
        <v>48.08</v>
      </c>
      <c r="H1030">
        <v>4.4400000000000004</v>
      </c>
      <c r="I1030">
        <v>1.1100000000000001</v>
      </c>
      <c r="J1030">
        <v>15.45</v>
      </c>
      <c r="K1030">
        <f t="shared" si="160"/>
        <v>53.416666666666664</v>
      </c>
      <c r="L1030">
        <f t="shared" si="161"/>
        <v>51.07</v>
      </c>
      <c r="M1030">
        <f t="shared" si="162"/>
        <v>15.45</v>
      </c>
      <c r="N1030">
        <f t="shared" si="163"/>
        <v>12.02</v>
      </c>
      <c r="O1030">
        <f t="shared" si="164"/>
        <v>5.5500000000000007</v>
      </c>
      <c r="P1030">
        <f t="shared" si="165"/>
        <v>12.613636363636365</v>
      </c>
      <c r="Q1030">
        <f t="shared" si="166"/>
        <v>14.305555555555555</v>
      </c>
      <c r="R1030">
        <f t="shared" si="167"/>
        <v>53.416666666666664</v>
      </c>
      <c r="S1030" t="str">
        <f t="shared" si="168"/>
        <v>Satisfactory</v>
      </c>
      <c r="T1030" t="str">
        <f t="shared" si="169"/>
        <v>PM2.5</v>
      </c>
      <c r="U1030">
        <v>23.01</v>
      </c>
      <c r="V1030">
        <v>75.540000000000006</v>
      </c>
    </row>
    <row r="1031" spans="1:22" x14ac:dyDescent="0.3">
      <c r="A1031" s="2" t="s">
        <v>15</v>
      </c>
      <c r="B1031">
        <v>560026</v>
      </c>
      <c r="C1031" s="3">
        <v>44516</v>
      </c>
      <c r="D1031">
        <v>41.5</v>
      </c>
      <c r="E1031">
        <v>64.78</v>
      </c>
      <c r="F1031">
        <v>13.88</v>
      </c>
      <c r="G1031">
        <v>52.29</v>
      </c>
      <c r="H1031">
        <v>4.58</v>
      </c>
      <c r="I1031">
        <v>1.0900000000000001</v>
      </c>
      <c r="J1031">
        <v>16.03</v>
      </c>
      <c r="K1031">
        <f t="shared" si="160"/>
        <v>69.166666666666671</v>
      </c>
      <c r="L1031">
        <f t="shared" si="161"/>
        <v>64.78</v>
      </c>
      <c r="M1031">
        <f t="shared" si="162"/>
        <v>17.350000000000001</v>
      </c>
      <c r="N1031">
        <f t="shared" si="163"/>
        <v>13.0725</v>
      </c>
      <c r="O1031">
        <f t="shared" si="164"/>
        <v>5.7249999999999996</v>
      </c>
      <c r="P1031">
        <f t="shared" si="165"/>
        <v>12.386363636363637</v>
      </c>
      <c r="Q1031">
        <f t="shared" si="166"/>
        <v>14.842592592592593</v>
      </c>
      <c r="R1031">
        <f t="shared" si="167"/>
        <v>69.166666666666671</v>
      </c>
      <c r="S1031" t="str">
        <f t="shared" si="168"/>
        <v>Satisfactory</v>
      </c>
      <c r="T1031" t="str">
        <f t="shared" si="169"/>
        <v>PM2.5</v>
      </c>
      <c r="U1031">
        <v>22.93</v>
      </c>
      <c r="V1031">
        <v>77.709999999999994</v>
      </c>
    </row>
    <row r="1032" spans="1:22" x14ac:dyDescent="0.3">
      <c r="A1032" s="2" t="s">
        <v>15</v>
      </c>
      <c r="B1032">
        <v>560026</v>
      </c>
      <c r="C1032" s="3">
        <v>44517</v>
      </c>
      <c r="D1032">
        <v>39.409999999999997</v>
      </c>
      <c r="E1032">
        <v>73.36</v>
      </c>
      <c r="F1032">
        <v>15.69</v>
      </c>
      <c r="G1032">
        <v>54.57</v>
      </c>
      <c r="H1032">
        <v>4.6100000000000003</v>
      </c>
      <c r="I1032">
        <v>1.18</v>
      </c>
      <c r="J1032">
        <v>15.8</v>
      </c>
      <c r="K1032">
        <f t="shared" si="160"/>
        <v>65.683333333333323</v>
      </c>
      <c r="L1032">
        <f t="shared" si="161"/>
        <v>73.36</v>
      </c>
      <c r="M1032">
        <f t="shared" si="162"/>
        <v>19.612500000000001</v>
      </c>
      <c r="N1032">
        <f t="shared" si="163"/>
        <v>13.6425</v>
      </c>
      <c r="O1032">
        <f t="shared" si="164"/>
        <v>5.7625000000000011</v>
      </c>
      <c r="P1032">
        <f t="shared" si="165"/>
        <v>13.409090909090908</v>
      </c>
      <c r="Q1032">
        <f t="shared" si="166"/>
        <v>14.62962962962963</v>
      </c>
      <c r="R1032">
        <f t="shared" si="167"/>
        <v>73.36</v>
      </c>
      <c r="S1032" t="str">
        <f t="shared" si="168"/>
        <v>Satisfactory</v>
      </c>
      <c r="T1032" t="str">
        <f t="shared" si="169"/>
        <v>PM10</v>
      </c>
      <c r="U1032">
        <v>23.25</v>
      </c>
      <c r="V1032">
        <v>73.599999999999994</v>
      </c>
    </row>
    <row r="1033" spans="1:22" x14ac:dyDescent="0.3">
      <c r="A1033" s="2" t="s">
        <v>15</v>
      </c>
      <c r="B1033">
        <v>560026</v>
      </c>
      <c r="C1033" s="3">
        <v>44518</v>
      </c>
      <c r="D1033">
        <v>28.56</v>
      </c>
      <c r="E1033">
        <v>42.81</v>
      </c>
      <c r="F1033">
        <v>10.67</v>
      </c>
      <c r="G1033">
        <v>62.99</v>
      </c>
      <c r="H1033">
        <v>4.6100000000000003</v>
      </c>
      <c r="I1033">
        <v>1.19</v>
      </c>
      <c r="J1033">
        <v>16.39</v>
      </c>
      <c r="K1033">
        <f t="shared" si="160"/>
        <v>47.6</v>
      </c>
      <c r="L1033">
        <f t="shared" si="161"/>
        <v>42.81</v>
      </c>
      <c r="M1033">
        <f t="shared" si="162"/>
        <v>13.3375</v>
      </c>
      <c r="N1033">
        <f t="shared" si="163"/>
        <v>15.7475</v>
      </c>
      <c r="O1033">
        <f t="shared" si="164"/>
        <v>5.7625000000000011</v>
      </c>
      <c r="P1033">
        <f t="shared" si="165"/>
        <v>13.522727272727272</v>
      </c>
      <c r="Q1033">
        <f t="shared" si="166"/>
        <v>15.175925925925927</v>
      </c>
      <c r="R1033">
        <f t="shared" si="167"/>
        <v>47.6</v>
      </c>
      <c r="S1033" t="str">
        <f t="shared" si="168"/>
        <v>Good</v>
      </c>
      <c r="T1033" t="str">
        <f t="shared" si="169"/>
        <v>PM2.5</v>
      </c>
      <c r="U1033">
        <v>20.95</v>
      </c>
      <c r="V1033">
        <v>83.81</v>
      </c>
    </row>
    <row r="1034" spans="1:22" x14ac:dyDescent="0.3">
      <c r="A1034" s="2" t="s">
        <v>15</v>
      </c>
      <c r="B1034">
        <v>560026</v>
      </c>
      <c r="C1034" s="3">
        <v>44519</v>
      </c>
      <c r="D1034">
        <v>25.05</v>
      </c>
      <c r="E1034">
        <v>52.54</v>
      </c>
      <c r="F1034">
        <v>10.78</v>
      </c>
      <c r="G1034">
        <v>54.27</v>
      </c>
      <c r="H1034">
        <v>4.82</v>
      </c>
      <c r="I1034">
        <v>1.19</v>
      </c>
      <c r="J1034">
        <v>16.39</v>
      </c>
      <c r="K1034">
        <f t="shared" si="160"/>
        <v>41.75</v>
      </c>
      <c r="L1034">
        <f t="shared" si="161"/>
        <v>52.54</v>
      </c>
      <c r="M1034">
        <f t="shared" si="162"/>
        <v>13.475</v>
      </c>
      <c r="N1034">
        <f t="shared" si="163"/>
        <v>13.567500000000001</v>
      </c>
      <c r="O1034">
        <f t="shared" si="164"/>
        <v>6.0250000000000004</v>
      </c>
      <c r="P1034">
        <f t="shared" si="165"/>
        <v>13.522727272727272</v>
      </c>
      <c r="Q1034">
        <f t="shared" si="166"/>
        <v>15.175925925925927</v>
      </c>
      <c r="R1034">
        <f t="shared" si="167"/>
        <v>52.54</v>
      </c>
      <c r="S1034" t="str">
        <f t="shared" si="168"/>
        <v>Satisfactory</v>
      </c>
      <c r="T1034" t="str">
        <f t="shared" si="169"/>
        <v>PM10</v>
      </c>
      <c r="U1034">
        <v>21.28</v>
      </c>
      <c r="V1034">
        <v>83.71</v>
      </c>
    </row>
    <row r="1035" spans="1:22" x14ac:dyDescent="0.3">
      <c r="A1035" s="2" t="s">
        <v>15</v>
      </c>
      <c r="B1035">
        <v>560026</v>
      </c>
      <c r="C1035" s="3">
        <v>44520</v>
      </c>
      <c r="D1035">
        <v>25.43</v>
      </c>
      <c r="E1035">
        <v>48.74</v>
      </c>
      <c r="F1035">
        <v>10.78</v>
      </c>
      <c r="G1035">
        <v>44.32</v>
      </c>
      <c r="H1035">
        <v>4.5599999999999996</v>
      </c>
      <c r="I1035">
        <v>0.92</v>
      </c>
      <c r="J1035">
        <v>16.29</v>
      </c>
      <c r="K1035">
        <f t="shared" si="160"/>
        <v>42.383333333333333</v>
      </c>
      <c r="L1035">
        <f t="shared" si="161"/>
        <v>48.74</v>
      </c>
      <c r="M1035">
        <f t="shared" si="162"/>
        <v>13.475</v>
      </c>
      <c r="N1035">
        <f t="shared" si="163"/>
        <v>11.08</v>
      </c>
      <c r="O1035">
        <f t="shared" si="164"/>
        <v>5.6999999999999993</v>
      </c>
      <c r="P1035">
        <f t="shared" si="165"/>
        <v>10.454545454545455</v>
      </c>
      <c r="Q1035">
        <f t="shared" si="166"/>
        <v>15.083333333333332</v>
      </c>
      <c r="R1035">
        <f t="shared" si="167"/>
        <v>48.74</v>
      </c>
      <c r="S1035" t="str">
        <f t="shared" si="168"/>
        <v>Good</v>
      </c>
      <c r="T1035" t="str">
        <f t="shared" si="169"/>
        <v>PM10</v>
      </c>
      <c r="U1035">
        <v>21.59</v>
      </c>
      <c r="V1035">
        <v>81.459999999999994</v>
      </c>
    </row>
    <row r="1036" spans="1:22" x14ac:dyDescent="0.3">
      <c r="A1036" s="2" t="s">
        <v>15</v>
      </c>
      <c r="B1036">
        <v>560026</v>
      </c>
      <c r="C1036" s="3">
        <v>44521</v>
      </c>
      <c r="D1036">
        <v>54.56</v>
      </c>
      <c r="E1036">
        <v>100.97</v>
      </c>
      <c r="F1036">
        <v>16.14</v>
      </c>
      <c r="G1036">
        <v>45.92</v>
      </c>
      <c r="H1036">
        <v>5.18</v>
      </c>
      <c r="I1036">
        <v>0.94</v>
      </c>
      <c r="J1036">
        <v>15.67</v>
      </c>
      <c r="K1036">
        <f t="shared" si="160"/>
        <v>90.933333333333337</v>
      </c>
      <c r="L1036">
        <f t="shared" si="161"/>
        <v>100.64666666666666</v>
      </c>
      <c r="M1036">
        <f t="shared" si="162"/>
        <v>20.175000000000001</v>
      </c>
      <c r="N1036">
        <f t="shared" si="163"/>
        <v>11.48</v>
      </c>
      <c r="O1036">
        <f t="shared" si="164"/>
        <v>6.4749999999999996</v>
      </c>
      <c r="P1036">
        <f t="shared" si="165"/>
        <v>10.681818181818182</v>
      </c>
      <c r="Q1036">
        <f t="shared" si="166"/>
        <v>14.50925925925926</v>
      </c>
      <c r="R1036">
        <f t="shared" si="167"/>
        <v>100.64666666666666</v>
      </c>
      <c r="S1036" t="str">
        <f t="shared" si="168"/>
        <v>Moderate</v>
      </c>
      <c r="T1036" t="str">
        <f t="shared" si="169"/>
        <v>PM10</v>
      </c>
      <c r="U1036">
        <v>23.51</v>
      </c>
      <c r="V1036">
        <v>70.25</v>
      </c>
    </row>
    <row r="1037" spans="1:22" x14ac:dyDescent="0.3">
      <c r="A1037" s="2" t="s">
        <v>15</v>
      </c>
      <c r="B1037">
        <v>560026</v>
      </c>
      <c r="C1037" s="3">
        <v>44526</v>
      </c>
      <c r="D1037">
        <v>55.22</v>
      </c>
      <c r="E1037">
        <v>111.63</v>
      </c>
      <c r="F1037">
        <v>17.489999999999998</v>
      </c>
      <c r="G1037">
        <v>60.41</v>
      </c>
      <c r="H1037">
        <v>5.23</v>
      </c>
      <c r="I1037">
        <v>1.18</v>
      </c>
      <c r="J1037">
        <v>16.28</v>
      </c>
      <c r="K1037">
        <f t="shared" si="160"/>
        <v>92.033333333333331</v>
      </c>
      <c r="L1037">
        <f t="shared" si="161"/>
        <v>107.75333333333333</v>
      </c>
      <c r="M1037">
        <f t="shared" si="162"/>
        <v>21.862499999999997</v>
      </c>
      <c r="N1037">
        <f t="shared" si="163"/>
        <v>15.102499999999999</v>
      </c>
      <c r="O1037">
        <f t="shared" si="164"/>
        <v>6.5374999999999996</v>
      </c>
      <c r="P1037">
        <f t="shared" si="165"/>
        <v>13.409090909090908</v>
      </c>
      <c r="Q1037">
        <f t="shared" si="166"/>
        <v>15.074074074074074</v>
      </c>
      <c r="R1037">
        <f t="shared" si="167"/>
        <v>107.75333333333333</v>
      </c>
      <c r="S1037" t="str">
        <f t="shared" si="168"/>
        <v>Moderate</v>
      </c>
      <c r="T1037" t="str">
        <f t="shared" si="169"/>
        <v>PM10</v>
      </c>
      <c r="U1037">
        <v>22.76</v>
      </c>
      <c r="V1037">
        <v>64.11</v>
      </c>
    </row>
    <row r="1038" spans="1:22" x14ac:dyDescent="0.3">
      <c r="A1038" s="2" t="s">
        <v>15</v>
      </c>
      <c r="B1038">
        <v>560026</v>
      </c>
      <c r="C1038" s="3">
        <v>44527</v>
      </c>
      <c r="D1038">
        <v>58.86</v>
      </c>
      <c r="E1038">
        <v>114.22</v>
      </c>
      <c r="F1038">
        <v>16.739999999999998</v>
      </c>
      <c r="G1038">
        <v>59.82</v>
      </c>
      <c r="H1038">
        <v>5.55</v>
      </c>
      <c r="I1038">
        <v>1.1599999999999999</v>
      </c>
      <c r="J1038">
        <v>16.28</v>
      </c>
      <c r="K1038">
        <f t="shared" si="160"/>
        <v>98.1</v>
      </c>
      <c r="L1038">
        <f t="shared" si="161"/>
        <v>109.48</v>
      </c>
      <c r="M1038">
        <f t="shared" si="162"/>
        <v>20.924999999999997</v>
      </c>
      <c r="N1038">
        <f t="shared" si="163"/>
        <v>14.955</v>
      </c>
      <c r="O1038">
        <f t="shared" si="164"/>
        <v>6.9375</v>
      </c>
      <c r="P1038">
        <f t="shared" si="165"/>
        <v>13.18181818181818</v>
      </c>
      <c r="Q1038">
        <f t="shared" si="166"/>
        <v>15.074074074074074</v>
      </c>
      <c r="R1038">
        <f t="shared" si="167"/>
        <v>109.48</v>
      </c>
      <c r="S1038" t="str">
        <f t="shared" si="168"/>
        <v>Moderate</v>
      </c>
      <c r="T1038" t="str">
        <f t="shared" si="169"/>
        <v>PM10</v>
      </c>
      <c r="U1038">
        <v>21.81</v>
      </c>
      <c r="V1038">
        <v>70.09</v>
      </c>
    </row>
    <row r="1039" spans="1:22" x14ac:dyDescent="0.3">
      <c r="A1039" s="2" t="s">
        <v>15</v>
      </c>
      <c r="B1039">
        <v>560026</v>
      </c>
      <c r="C1039" s="3">
        <v>44528</v>
      </c>
      <c r="D1039">
        <v>37.54</v>
      </c>
      <c r="E1039">
        <v>78.510000000000005</v>
      </c>
      <c r="F1039">
        <v>13.53</v>
      </c>
      <c r="G1039">
        <v>57.79</v>
      </c>
      <c r="H1039">
        <v>5.54</v>
      </c>
      <c r="I1039">
        <v>1.03</v>
      </c>
      <c r="J1039">
        <v>16.43</v>
      </c>
      <c r="K1039">
        <f t="shared" si="160"/>
        <v>62.566666666666663</v>
      </c>
      <c r="L1039">
        <f t="shared" si="161"/>
        <v>78.510000000000005</v>
      </c>
      <c r="M1039">
        <f t="shared" si="162"/>
        <v>16.912500000000001</v>
      </c>
      <c r="N1039">
        <f t="shared" si="163"/>
        <v>14.4475</v>
      </c>
      <c r="O1039">
        <f t="shared" si="164"/>
        <v>6.9249999999999998</v>
      </c>
      <c r="P1039">
        <f t="shared" si="165"/>
        <v>11.704545454545455</v>
      </c>
      <c r="Q1039">
        <f t="shared" si="166"/>
        <v>15.212962962962962</v>
      </c>
      <c r="R1039">
        <f t="shared" si="167"/>
        <v>78.510000000000005</v>
      </c>
      <c r="S1039" t="str">
        <f t="shared" si="168"/>
        <v>Satisfactory</v>
      </c>
      <c r="T1039" t="str">
        <f t="shared" si="169"/>
        <v>PM10</v>
      </c>
      <c r="U1039">
        <v>21.56</v>
      </c>
      <c r="V1039">
        <v>74.38</v>
      </c>
    </row>
    <row r="1040" spans="1:22" x14ac:dyDescent="0.3">
      <c r="A1040" s="2" t="s">
        <v>15</v>
      </c>
      <c r="B1040">
        <v>560026</v>
      </c>
      <c r="C1040" s="3">
        <v>44529</v>
      </c>
      <c r="D1040">
        <v>26.15</v>
      </c>
      <c r="E1040">
        <v>66.03</v>
      </c>
      <c r="F1040">
        <v>11.88</v>
      </c>
      <c r="G1040">
        <v>60.25</v>
      </c>
      <c r="H1040">
        <v>5.93</v>
      </c>
      <c r="I1040">
        <v>1.03</v>
      </c>
      <c r="J1040">
        <v>16.41</v>
      </c>
      <c r="K1040">
        <f t="shared" si="160"/>
        <v>43.583333333333336</v>
      </c>
      <c r="L1040">
        <f t="shared" si="161"/>
        <v>66.03</v>
      </c>
      <c r="M1040">
        <f t="shared" si="162"/>
        <v>14.85</v>
      </c>
      <c r="N1040">
        <f t="shared" si="163"/>
        <v>15.0625</v>
      </c>
      <c r="O1040">
        <f t="shared" si="164"/>
        <v>7.4124999999999996</v>
      </c>
      <c r="P1040">
        <f t="shared" si="165"/>
        <v>11.704545454545455</v>
      </c>
      <c r="Q1040">
        <f t="shared" si="166"/>
        <v>15.194444444444445</v>
      </c>
      <c r="R1040">
        <f t="shared" si="167"/>
        <v>66.03</v>
      </c>
      <c r="S1040" t="str">
        <f t="shared" si="168"/>
        <v>Satisfactory</v>
      </c>
      <c r="T1040" t="str">
        <f t="shared" si="169"/>
        <v>PM10</v>
      </c>
      <c r="U1040">
        <v>21.66</v>
      </c>
      <c r="V1040">
        <v>73.75</v>
      </c>
    </row>
    <row r="1041" spans="1:22" x14ac:dyDescent="0.3">
      <c r="A1041" s="2" t="s">
        <v>15</v>
      </c>
      <c r="B1041">
        <v>560026</v>
      </c>
      <c r="C1041" s="3">
        <v>44530</v>
      </c>
      <c r="D1041">
        <v>35.67</v>
      </c>
      <c r="E1041">
        <v>72.23</v>
      </c>
      <c r="F1041">
        <v>12.69</v>
      </c>
      <c r="G1041">
        <v>58.83</v>
      </c>
      <c r="H1041">
        <v>5.55</v>
      </c>
      <c r="I1041">
        <v>1.02</v>
      </c>
      <c r="J1041">
        <v>16.34</v>
      </c>
      <c r="K1041">
        <f t="shared" si="160"/>
        <v>59.45</v>
      </c>
      <c r="L1041">
        <f t="shared" si="161"/>
        <v>72.23</v>
      </c>
      <c r="M1041">
        <f t="shared" si="162"/>
        <v>15.862500000000001</v>
      </c>
      <c r="N1041">
        <f t="shared" si="163"/>
        <v>14.7075</v>
      </c>
      <c r="O1041">
        <f t="shared" si="164"/>
        <v>6.9375</v>
      </c>
      <c r="P1041">
        <f t="shared" si="165"/>
        <v>11.59090909090909</v>
      </c>
      <c r="Q1041">
        <f t="shared" si="166"/>
        <v>15.12962962962963</v>
      </c>
      <c r="R1041">
        <f t="shared" si="167"/>
        <v>72.23</v>
      </c>
      <c r="S1041" t="str">
        <f t="shared" si="168"/>
        <v>Satisfactory</v>
      </c>
      <c r="T1041" t="str">
        <f t="shared" si="169"/>
        <v>PM10</v>
      </c>
      <c r="U1041">
        <v>22.92</v>
      </c>
      <c r="V1041">
        <v>69.25</v>
      </c>
    </row>
    <row r="1042" spans="1:22" x14ac:dyDescent="0.3">
      <c r="A1042" s="2" t="s">
        <v>15</v>
      </c>
      <c r="B1042">
        <v>560026</v>
      </c>
      <c r="C1042" s="3">
        <v>44531</v>
      </c>
      <c r="D1042">
        <v>44.08</v>
      </c>
      <c r="E1042">
        <v>86.55</v>
      </c>
      <c r="F1042">
        <v>14.91</v>
      </c>
      <c r="G1042">
        <v>59.17</v>
      </c>
      <c r="H1042">
        <v>6.17</v>
      </c>
      <c r="I1042">
        <v>1.0900000000000001</v>
      </c>
      <c r="J1042">
        <v>16.239999999999998</v>
      </c>
      <c r="K1042">
        <f t="shared" si="160"/>
        <v>73.466666666666669</v>
      </c>
      <c r="L1042">
        <f t="shared" si="161"/>
        <v>86.55</v>
      </c>
      <c r="M1042">
        <f t="shared" si="162"/>
        <v>18.637499999999999</v>
      </c>
      <c r="N1042">
        <f t="shared" si="163"/>
        <v>14.7925</v>
      </c>
      <c r="O1042">
        <f t="shared" si="164"/>
        <v>7.7125000000000004</v>
      </c>
      <c r="P1042">
        <f t="shared" si="165"/>
        <v>12.386363636363637</v>
      </c>
      <c r="Q1042">
        <f t="shared" si="166"/>
        <v>15.037037037037036</v>
      </c>
      <c r="R1042">
        <f t="shared" si="167"/>
        <v>86.55</v>
      </c>
      <c r="S1042" t="str">
        <f t="shared" si="168"/>
        <v>Satisfactory</v>
      </c>
      <c r="T1042" t="str">
        <f t="shared" si="169"/>
        <v>PM10</v>
      </c>
      <c r="U1042">
        <v>22.24</v>
      </c>
      <c r="V1042">
        <v>71.42</v>
      </c>
    </row>
    <row r="1043" spans="1:22" x14ac:dyDescent="0.3">
      <c r="A1043" s="2" t="s">
        <v>15</v>
      </c>
      <c r="B1043">
        <v>560026</v>
      </c>
      <c r="C1043" s="3">
        <v>44532</v>
      </c>
      <c r="D1043">
        <v>66.59</v>
      </c>
      <c r="E1043">
        <v>113.74</v>
      </c>
      <c r="F1043">
        <v>17.64</v>
      </c>
      <c r="G1043">
        <v>55.51</v>
      </c>
      <c r="H1043">
        <v>5.72</v>
      </c>
      <c r="I1043">
        <v>1.17</v>
      </c>
      <c r="J1043">
        <v>16.25</v>
      </c>
      <c r="K1043">
        <f t="shared" si="160"/>
        <v>121.96666666666668</v>
      </c>
      <c r="L1043">
        <f t="shared" si="161"/>
        <v>109.16</v>
      </c>
      <c r="M1043">
        <f t="shared" si="162"/>
        <v>22.05</v>
      </c>
      <c r="N1043">
        <f t="shared" si="163"/>
        <v>13.8775</v>
      </c>
      <c r="O1043">
        <f t="shared" si="164"/>
        <v>7.15</v>
      </c>
      <c r="P1043">
        <f t="shared" si="165"/>
        <v>13.295454545454545</v>
      </c>
      <c r="Q1043">
        <f t="shared" si="166"/>
        <v>15.046296296296296</v>
      </c>
      <c r="R1043">
        <f t="shared" si="167"/>
        <v>121.96666666666668</v>
      </c>
      <c r="S1043" t="str">
        <f t="shared" si="168"/>
        <v>Moderate</v>
      </c>
      <c r="T1043" t="str">
        <f t="shared" si="169"/>
        <v>PM2.5</v>
      </c>
      <c r="U1043">
        <v>22.82</v>
      </c>
      <c r="V1043">
        <v>69.84</v>
      </c>
    </row>
    <row r="1044" spans="1:22" x14ac:dyDescent="0.3">
      <c r="A1044" s="2" t="s">
        <v>15</v>
      </c>
      <c r="B1044">
        <v>560026</v>
      </c>
      <c r="C1044" s="3">
        <v>44533</v>
      </c>
      <c r="D1044">
        <v>69.19</v>
      </c>
      <c r="E1044">
        <v>113.61</v>
      </c>
      <c r="F1044">
        <v>15.95</v>
      </c>
      <c r="G1044">
        <v>57.19</v>
      </c>
      <c r="H1044">
        <v>5.22</v>
      </c>
      <c r="I1044">
        <v>1.4</v>
      </c>
      <c r="J1044">
        <v>16.39</v>
      </c>
      <c r="K1044">
        <f t="shared" si="160"/>
        <v>130.63333333333333</v>
      </c>
      <c r="L1044">
        <f t="shared" si="161"/>
        <v>109.07333333333334</v>
      </c>
      <c r="M1044">
        <f t="shared" si="162"/>
        <v>19.9375</v>
      </c>
      <c r="N1044">
        <f t="shared" si="163"/>
        <v>14.297499999999999</v>
      </c>
      <c r="O1044">
        <f t="shared" si="164"/>
        <v>6.5250000000000004</v>
      </c>
      <c r="P1044">
        <f t="shared" si="165"/>
        <v>15.909090909090908</v>
      </c>
      <c r="Q1044">
        <f t="shared" si="166"/>
        <v>15.175925925925927</v>
      </c>
      <c r="R1044">
        <f t="shared" si="167"/>
        <v>130.63333333333333</v>
      </c>
      <c r="S1044" t="str">
        <f t="shared" si="168"/>
        <v>Moderate</v>
      </c>
      <c r="T1044" t="str">
        <f t="shared" si="169"/>
        <v>PM2.5</v>
      </c>
      <c r="U1044">
        <v>23.15</v>
      </c>
      <c r="V1044">
        <v>69.819999999999993</v>
      </c>
    </row>
    <row r="1045" spans="1:22" x14ac:dyDescent="0.3">
      <c r="A1045" s="2" t="s">
        <v>15</v>
      </c>
      <c r="B1045">
        <v>560026</v>
      </c>
      <c r="C1045" s="3">
        <v>44534</v>
      </c>
      <c r="D1045">
        <v>74.849999999999994</v>
      </c>
      <c r="E1045">
        <v>120.8</v>
      </c>
      <c r="F1045">
        <v>19.559999999999999</v>
      </c>
      <c r="G1045">
        <v>65.510000000000005</v>
      </c>
      <c r="H1045">
        <v>5.37</v>
      </c>
      <c r="I1045">
        <v>1.48</v>
      </c>
      <c r="J1045">
        <v>16.43</v>
      </c>
      <c r="K1045">
        <f t="shared" si="160"/>
        <v>149.5</v>
      </c>
      <c r="L1045">
        <f t="shared" si="161"/>
        <v>113.86666666666666</v>
      </c>
      <c r="M1045">
        <f t="shared" si="162"/>
        <v>24.449999999999996</v>
      </c>
      <c r="N1045">
        <f t="shared" si="163"/>
        <v>16.377500000000001</v>
      </c>
      <c r="O1045">
        <f t="shared" si="164"/>
        <v>6.7125000000000004</v>
      </c>
      <c r="P1045">
        <f t="shared" si="165"/>
        <v>16.818181818181817</v>
      </c>
      <c r="Q1045">
        <f t="shared" si="166"/>
        <v>15.212962962962962</v>
      </c>
      <c r="R1045">
        <f t="shared" si="167"/>
        <v>149.5</v>
      </c>
      <c r="S1045" t="str">
        <f t="shared" si="168"/>
        <v>Moderate</v>
      </c>
      <c r="T1045" t="str">
        <f t="shared" si="169"/>
        <v>PM2.5</v>
      </c>
      <c r="U1045">
        <v>24.43</v>
      </c>
      <c r="V1045">
        <v>64.709999999999994</v>
      </c>
    </row>
    <row r="1046" spans="1:22" x14ac:dyDescent="0.3">
      <c r="A1046" s="2" t="s">
        <v>15</v>
      </c>
      <c r="B1046">
        <v>560026</v>
      </c>
      <c r="C1046" s="3">
        <v>44535</v>
      </c>
      <c r="D1046">
        <v>35.270000000000003</v>
      </c>
      <c r="E1046">
        <v>52.72</v>
      </c>
      <c r="F1046">
        <v>9.44</v>
      </c>
      <c r="G1046">
        <v>38.1</v>
      </c>
      <c r="H1046">
        <v>5.67</v>
      </c>
      <c r="I1046">
        <v>0.5</v>
      </c>
      <c r="J1046">
        <v>16.3</v>
      </c>
      <c r="K1046">
        <f t="shared" si="160"/>
        <v>58.783333333333339</v>
      </c>
      <c r="L1046">
        <f t="shared" si="161"/>
        <v>52.72</v>
      </c>
      <c r="M1046">
        <f t="shared" si="162"/>
        <v>11.8</v>
      </c>
      <c r="N1046">
        <f t="shared" si="163"/>
        <v>9.5250000000000004</v>
      </c>
      <c r="O1046">
        <f t="shared" si="164"/>
        <v>7.0875000000000004</v>
      </c>
      <c r="P1046">
        <f t="shared" si="165"/>
        <v>5.6818181818181817</v>
      </c>
      <c r="Q1046">
        <f t="shared" si="166"/>
        <v>15.092592592592593</v>
      </c>
      <c r="R1046">
        <f t="shared" si="167"/>
        <v>58.783333333333339</v>
      </c>
      <c r="S1046" t="str">
        <f t="shared" si="168"/>
        <v>Satisfactory</v>
      </c>
      <c r="T1046" t="str">
        <f t="shared" si="169"/>
        <v>PM2.5</v>
      </c>
      <c r="U1046">
        <v>21.28</v>
      </c>
      <c r="V1046">
        <v>76.44</v>
      </c>
    </row>
    <row r="1047" spans="1:22" x14ac:dyDescent="0.3">
      <c r="A1047" s="2" t="s">
        <v>15</v>
      </c>
      <c r="B1047">
        <v>560026</v>
      </c>
      <c r="C1047" s="3">
        <v>44536</v>
      </c>
      <c r="D1047">
        <v>69.243750000000006</v>
      </c>
      <c r="E1047">
        <v>108.76625</v>
      </c>
      <c r="F1047">
        <v>14.410666669999999</v>
      </c>
      <c r="G1047">
        <v>52.218125000000001</v>
      </c>
      <c r="H1047">
        <v>4.99</v>
      </c>
      <c r="I1047">
        <v>1.1525000000000001</v>
      </c>
      <c r="J1047">
        <v>10.065625000000001</v>
      </c>
      <c r="K1047">
        <f t="shared" si="160"/>
        <v>130.81250000000003</v>
      </c>
      <c r="L1047">
        <f t="shared" si="161"/>
        <v>105.84416666666667</v>
      </c>
      <c r="M1047">
        <f t="shared" si="162"/>
        <v>18.013333337500001</v>
      </c>
      <c r="N1047">
        <f t="shared" si="163"/>
        <v>13.05453125</v>
      </c>
      <c r="O1047">
        <f t="shared" si="164"/>
        <v>6.2374999999999998</v>
      </c>
      <c r="P1047">
        <f t="shared" si="165"/>
        <v>13.09659090909091</v>
      </c>
      <c r="Q1047">
        <f t="shared" si="166"/>
        <v>9.3200231481481488</v>
      </c>
      <c r="R1047">
        <f t="shared" si="167"/>
        <v>130.81250000000003</v>
      </c>
      <c r="S1047" t="str">
        <f t="shared" si="168"/>
        <v>Moderate</v>
      </c>
      <c r="T1047" t="str">
        <f t="shared" si="169"/>
        <v>PM2.5</v>
      </c>
      <c r="U1047">
        <v>23.287500000000001</v>
      </c>
      <c r="V1047">
        <v>62.91</v>
      </c>
    </row>
    <row r="1048" spans="1:22" x14ac:dyDescent="0.3">
      <c r="A1048" s="2" t="s">
        <v>15</v>
      </c>
      <c r="B1048">
        <v>560026</v>
      </c>
      <c r="C1048" s="3">
        <v>44537</v>
      </c>
      <c r="D1048">
        <v>69.243750000000006</v>
      </c>
      <c r="E1048">
        <v>108.76625</v>
      </c>
      <c r="F1048">
        <v>14.410666669999999</v>
      </c>
      <c r="G1048">
        <v>52.218125000000001</v>
      </c>
      <c r="H1048">
        <v>4.99</v>
      </c>
      <c r="I1048">
        <v>1.1525000000000001</v>
      </c>
      <c r="J1048">
        <v>10.065625000000001</v>
      </c>
      <c r="K1048">
        <f t="shared" si="160"/>
        <v>130.81250000000003</v>
      </c>
      <c r="L1048">
        <f t="shared" si="161"/>
        <v>105.84416666666667</v>
      </c>
      <c r="M1048">
        <f t="shared" si="162"/>
        <v>18.013333337500001</v>
      </c>
      <c r="N1048">
        <f t="shared" si="163"/>
        <v>13.05453125</v>
      </c>
      <c r="O1048">
        <f t="shared" si="164"/>
        <v>6.2374999999999998</v>
      </c>
      <c r="P1048">
        <f t="shared" si="165"/>
        <v>13.09659090909091</v>
      </c>
      <c r="Q1048">
        <f t="shared" si="166"/>
        <v>9.3200231481481488</v>
      </c>
      <c r="R1048">
        <f t="shared" si="167"/>
        <v>130.81250000000003</v>
      </c>
      <c r="S1048" t="str">
        <f t="shared" si="168"/>
        <v>Moderate</v>
      </c>
      <c r="T1048" t="str">
        <f t="shared" si="169"/>
        <v>PM2.5</v>
      </c>
      <c r="U1048">
        <v>23.287500000000001</v>
      </c>
      <c r="V1048">
        <v>62.91</v>
      </c>
    </row>
    <row r="1049" spans="1:22" x14ac:dyDescent="0.3">
      <c r="A1049" s="2" t="s">
        <v>15</v>
      </c>
      <c r="B1049">
        <v>560026</v>
      </c>
      <c r="C1049" s="3">
        <v>44538</v>
      </c>
      <c r="D1049">
        <v>69.243750000000006</v>
      </c>
      <c r="E1049">
        <v>108.76625</v>
      </c>
      <c r="F1049">
        <v>14.410666669999999</v>
      </c>
      <c r="G1049">
        <v>52.218125000000001</v>
      </c>
      <c r="H1049">
        <v>4.99</v>
      </c>
      <c r="I1049">
        <v>1.1525000000000001</v>
      </c>
      <c r="J1049">
        <v>10.065625000000001</v>
      </c>
      <c r="K1049">
        <f t="shared" si="160"/>
        <v>130.81250000000003</v>
      </c>
      <c r="L1049">
        <f t="shared" si="161"/>
        <v>105.84416666666667</v>
      </c>
      <c r="M1049">
        <f t="shared" si="162"/>
        <v>18.013333337500001</v>
      </c>
      <c r="N1049">
        <f t="shared" si="163"/>
        <v>13.05453125</v>
      </c>
      <c r="O1049">
        <f t="shared" si="164"/>
        <v>6.2374999999999998</v>
      </c>
      <c r="P1049">
        <f t="shared" si="165"/>
        <v>13.09659090909091</v>
      </c>
      <c r="Q1049">
        <f t="shared" si="166"/>
        <v>9.3200231481481488</v>
      </c>
      <c r="R1049">
        <f t="shared" si="167"/>
        <v>130.81250000000003</v>
      </c>
      <c r="S1049" t="str">
        <f t="shared" si="168"/>
        <v>Moderate</v>
      </c>
      <c r="T1049" t="str">
        <f t="shared" si="169"/>
        <v>PM2.5</v>
      </c>
      <c r="U1049">
        <v>23.287500000000001</v>
      </c>
      <c r="V1049">
        <v>62.91</v>
      </c>
    </row>
    <row r="1050" spans="1:22" x14ac:dyDescent="0.3">
      <c r="A1050" s="2" t="s">
        <v>15</v>
      </c>
      <c r="B1050">
        <v>560026</v>
      </c>
      <c r="C1050" s="3">
        <v>44539</v>
      </c>
      <c r="D1050">
        <v>69.243750000000006</v>
      </c>
      <c r="E1050">
        <v>108.76625</v>
      </c>
      <c r="F1050">
        <v>14.410666669999999</v>
      </c>
      <c r="G1050">
        <v>52.218125000000001</v>
      </c>
      <c r="H1050">
        <v>4.99</v>
      </c>
      <c r="I1050">
        <v>1.1525000000000001</v>
      </c>
      <c r="J1050">
        <v>10.065625000000001</v>
      </c>
      <c r="K1050">
        <f t="shared" si="160"/>
        <v>130.81250000000003</v>
      </c>
      <c r="L1050">
        <f t="shared" si="161"/>
        <v>105.84416666666667</v>
      </c>
      <c r="M1050">
        <f t="shared" si="162"/>
        <v>18.013333337500001</v>
      </c>
      <c r="N1050">
        <f t="shared" si="163"/>
        <v>13.05453125</v>
      </c>
      <c r="O1050">
        <f t="shared" si="164"/>
        <v>6.2374999999999998</v>
      </c>
      <c r="P1050">
        <f t="shared" si="165"/>
        <v>13.09659090909091</v>
      </c>
      <c r="Q1050">
        <f t="shared" si="166"/>
        <v>9.3200231481481488</v>
      </c>
      <c r="R1050">
        <f t="shared" si="167"/>
        <v>130.81250000000003</v>
      </c>
      <c r="S1050" t="str">
        <f t="shared" si="168"/>
        <v>Moderate</v>
      </c>
      <c r="T1050" t="str">
        <f t="shared" si="169"/>
        <v>PM2.5</v>
      </c>
      <c r="U1050">
        <v>23.287500000000001</v>
      </c>
      <c r="V1050">
        <v>62.91</v>
      </c>
    </row>
    <row r="1051" spans="1:22" x14ac:dyDescent="0.3">
      <c r="A1051" s="2" t="s">
        <v>15</v>
      </c>
      <c r="B1051">
        <v>560026</v>
      </c>
      <c r="C1051" s="3">
        <v>44540</v>
      </c>
      <c r="D1051">
        <v>69.243750000000006</v>
      </c>
      <c r="E1051">
        <v>108.76625</v>
      </c>
      <c r="F1051">
        <v>14.410666669999999</v>
      </c>
      <c r="G1051">
        <v>52.218125000000001</v>
      </c>
      <c r="H1051">
        <v>4.99</v>
      </c>
      <c r="I1051">
        <v>1.1525000000000001</v>
      </c>
      <c r="J1051">
        <v>10.065625000000001</v>
      </c>
      <c r="K1051">
        <f t="shared" si="160"/>
        <v>130.81250000000003</v>
      </c>
      <c r="L1051">
        <f t="shared" si="161"/>
        <v>105.84416666666667</v>
      </c>
      <c r="M1051">
        <f t="shared" si="162"/>
        <v>18.013333337500001</v>
      </c>
      <c r="N1051">
        <f t="shared" si="163"/>
        <v>13.05453125</v>
      </c>
      <c r="O1051">
        <f t="shared" si="164"/>
        <v>6.2374999999999998</v>
      </c>
      <c r="P1051">
        <f t="shared" si="165"/>
        <v>13.09659090909091</v>
      </c>
      <c r="Q1051">
        <f t="shared" si="166"/>
        <v>9.3200231481481488</v>
      </c>
      <c r="R1051">
        <f t="shared" si="167"/>
        <v>130.81250000000003</v>
      </c>
      <c r="S1051" t="str">
        <f t="shared" si="168"/>
        <v>Moderate</v>
      </c>
      <c r="T1051" t="str">
        <f t="shared" si="169"/>
        <v>PM2.5</v>
      </c>
      <c r="U1051">
        <v>23.287500000000001</v>
      </c>
      <c r="V1051">
        <v>62.91</v>
      </c>
    </row>
    <row r="1052" spans="1:22" x14ac:dyDescent="0.3">
      <c r="A1052" s="2" t="s">
        <v>15</v>
      </c>
      <c r="B1052">
        <v>560026</v>
      </c>
      <c r="C1052" s="3">
        <v>44541</v>
      </c>
      <c r="D1052">
        <v>69.243750000000006</v>
      </c>
      <c r="E1052">
        <v>108.76625</v>
      </c>
      <c r="F1052">
        <v>14.410666669999999</v>
      </c>
      <c r="G1052">
        <v>52.218125000000001</v>
      </c>
      <c r="H1052">
        <v>4.99</v>
      </c>
      <c r="I1052">
        <v>1.1525000000000001</v>
      </c>
      <c r="J1052">
        <v>10.065625000000001</v>
      </c>
      <c r="K1052">
        <f t="shared" si="160"/>
        <v>130.81250000000003</v>
      </c>
      <c r="L1052">
        <f t="shared" si="161"/>
        <v>105.84416666666667</v>
      </c>
      <c r="M1052">
        <f t="shared" si="162"/>
        <v>18.013333337500001</v>
      </c>
      <c r="N1052">
        <f t="shared" si="163"/>
        <v>13.05453125</v>
      </c>
      <c r="O1052">
        <f t="shared" si="164"/>
        <v>6.2374999999999998</v>
      </c>
      <c r="P1052">
        <f t="shared" si="165"/>
        <v>13.09659090909091</v>
      </c>
      <c r="Q1052">
        <f t="shared" si="166"/>
        <v>9.3200231481481488</v>
      </c>
      <c r="R1052">
        <f t="shared" si="167"/>
        <v>130.81250000000003</v>
      </c>
      <c r="S1052" t="str">
        <f t="shared" si="168"/>
        <v>Moderate</v>
      </c>
      <c r="T1052" t="str">
        <f t="shared" si="169"/>
        <v>PM2.5</v>
      </c>
      <c r="U1052">
        <v>23.287500000000001</v>
      </c>
      <c r="V1052">
        <v>62.91</v>
      </c>
    </row>
    <row r="1053" spans="1:22" x14ac:dyDescent="0.3">
      <c r="A1053" s="2" t="s">
        <v>15</v>
      </c>
      <c r="B1053">
        <v>560026</v>
      </c>
      <c r="C1053" s="3">
        <v>44542</v>
      </c>
      <c r="D1053">
        <v>69.243750000000006</v>
      </c>
      <c r="E1053">
        <v>108.76625</v>
      </c>
      <c r="F1053">
        <v>14.410666669999999</v>
      </c>
      <c r="G1053">
        <v>52.218125000000001</v>
      </c>
      <c r="H1053">
        <v>4.99</v>
      </c>
      <c r="I1053">
        <v>1.1525000000000001</v>
      </c>
      <c r="J1053">
        <v>10.065625000000001</v>
      </c>
      <c r="K1053">
        <f t="shared" si="160"/>
        <v>130.81250000000003</v>
      </c>
      <c r="L1053">
        <f t="shared" si="161"/>
        <v>105.84416666666667</v>
      </c>
      <c r="M1053">
        <f t="shared" si="162"/>
        <v>18.013333337500001</v>
      </c>
      <c r="N1053">
        <f t="shared" si="163"/>
        <v>13.05453125</v>
      </c>
      <c r="O1053">
        <f t="shared" si="164"/>
        <v>6.2374999999999998</v>
      </c>
      <c r="P1053">
        <f t="shared" si="165"/>
        <v>13.09659090909091</v>
      </c>
      <c r="Q1053">
        <f t="shared" si="166"/>
        <v>9.3200231481481488</v>
      </c>
      <c r="R1053">
        <f t="shared" si="167"/>
        <v>130.81250000000003</v>
      </c>
      <c r="S1053" t="str">
        <f t="shared" si="168"/>
        <v>Moderate</v>
      </c>
      <c r="T1053" t="str">
        <f t="shared" si="169"/>
        <v>PM2.5</v>
      </c>
      <c r="U1053">
        <v>23.287500000000001</v>
      </c>
      <c r="V1053">
        <v>62.91</v>
      </c>
    </row>
    <row r="1054" spans="1:22" x14ac:dyDescent="0.3">
      <c r="A1054" s="2" t="s">
        <v>15</v>
      </c>
      <c r="B1054">
        <v>560026</v>
      </c>
      <c r="C1054" s="3">
        <v>44543</v>
      </c>
      <c r="D1054">
        <v>69.243750000000006</v>
      </c>
      <c r="E1054">
        <v>108.76625</v>
      </c>
      <c r="F1054">
        <v>14.410666669999999</v>
      </c>
      <c r="G1054">
        <v>52.218125000000001</v>
      </c>
      <c r="H1054">
        <v>4.99</v>
      </c>
      <c r="I1054">
        <v>1.1525000000000001</v>
      </c>
      <c r="J1054">
        <v>10.065625000000001</v>
      </c>
      <c r="K1054">
        <f t="shared" si="160"/>
        <v>130.81250000000003</v>
      </c>
      <c r="L1054">
        <f t="shared" si="161"/>
        <v>105.84416666666667</v>
      </c>
      <c r="M1054">
        <f t="shared" si="162"/>
        <v>18.013333337500001</v>
      </c>
      <c r="N1054">
        <f t="shared" si="163"/>
        <v>13.05453125</v>
      </c>
      <c r="O1054">
        <f t="shared" si="164"/>
        <v>6.2374999999999998</v>
      </c>
      <c r="P1054">
        <f t="shared" si="165"/>
        <v>13.09659090909091</v>
      </c>
      <c r="Q1054">
        <f t="shared" si="166"/>
        <v>9.3200231481481488</v>
      </c>
      <c r="R1054">
        <f t="shared" si="167"/>
        <v>130.81250000000003</v>
      </c>
      <c r="S1054" t="str">
        <f t="shared" si="168"/>
        <v>Moderate</v>
      </c>
      <c r="T1054" t="str">
        <f t="shared" si="169"/>
        <v>PM2.5</v>
      </c>
      <c r="U1054">
        <v>23.287500000000001</v>
      </c>
      <c r="V1054">
        <v>62.91</v>
      </c>
    </row>
    <row r="1055" spans="1:22" x14ac:dyDescent="0.3">
      <c r="A1055" s="2" t="s">
        <v>15</v>
      </c>
      <c r="B1055">
        <v>560026</v>
      </c>
      <c r="C1055" s="3">
        <v>44544</v>
      </c>
      <c r="D1055">
        <v>69.243750000000006</v>
      </c>
      <c r="E1055">
        <v>108.76625</v>
      </c>
      <c r="F1055">
        <v>14.410666669999999</v>
      </c>
      <c r="G1055">
        <v>52.218125000000001</v>
      </c>
      <c r="H1055">
        <v>4.99</v>
      </c>
      <c r="I1055">
        <v>1.1525000000000001</v>
      </c>
      <c r="J1055">
        <v>10.065625000000001</v>
      </c>
      <c r="K1055">
        <f t="shared" si="160"/>
        <v>130.81250000000003</v>
      </c>
      <c r="L1055">
        <f t="shared" si="161"/>
        <v>105.84416666666667</v>
      </c>
      <c r="M1055">
        <f t="shared" si="162"/>
        <v>18.013333337500001</v>
      </c>
      <c r="N1055">
        <f t="shared" si="163"/>
        <v>13.05453125</v>
      </c>
      <c r="O1055">
        <f t="shared" si="164"/>
        <v>6.2374999999999998</v>
      </c>
      <c r="P1055">
        <f t="shared" si="165"/>
        <v>13.09659090909091</v>
      </c>
      <c r="Q1055">
        <f t="shared" si="166"/>
        <v>9.3200231481481488</v>
      </c>
      <c r="R1055">
        <f t="shared" si="167"/>
        <v>130.81250000000003</v>
      </c>
      <c r="S1055" t="str">
        <f t="shared" si="168"/>
        <v>Moderate</v>
      </c>
      <c r="T1055" t="str">
        <f t="shared" si="169"/>
        <v>PM2.5</v>
      </c>
      <c r="U1055">
        <v>23.287500000000001</v>
      </c>
      <c r="V1055">
        <v>62.91</v>
      </c>
    </row>
    <row r="1056" spans="1:22" x14ac:dyDescent="0.3">
      <c r="A1056" s="2" t="s">
        <v>15</v>
      </c>
      <c r="B1056">
        <v>560026</v>
      </c>
      <c r="C1056" s="3">
        <v>44545</v>
      </c>
      <c r="D1056">
        <v>69.243750000000006</v>
      </c>
      <c r="E1056">
        <v>108.76625</v>
      </c>
      <c r="F1056">
        <v>14.410666669999999</v>
      </c>
      <c r="G1056">
        <v>52.218125000000001</v>
      </c>
      <c r="H1056">
        <v>4.99</v>
      </c>
      <c r="I1056">
        <v>1.1525000000000001</v>
      </c>
      <c r="J1056">
        <v>10.065625000000001</v>
      </c>
      <c r="K1056">
        <f t="shared" si="160"/>
        <v>130.81250000000003</v>
      </c>
      <c r="L1056">
        <f t="shared" si="161"/>
        <v>105.84416666666667</v>
      </c>
      <c r="M1056">
        <f t="shared" si="162"/>
        <v>18.013333337500001</v>
      </c>
      <c r="N1056">
        <f t="shared" si="163"/>
        <v>13.05453125</v>
      </c>
      <c r="O1056">
        <f t="shared" si="164"/>
        <v>6.2374999999999998</v>
      </c>
      <c r="P1056">
        <f t="shared" si="165"/>
        <v>13.09659090909091</v>
      </c>
      <c r="Q1056">
        <f t="shared" si="166"/>
        <v>9.3200231481481488</v>
      </c>
      <c r="R1056">
        <f t="shared" si="167"/>
        <v>130.81250000000003</v>
      </c>
      <c r="S1056" t="str">
        <f t="shared" si="168"/>
        <v>Moderate</v>
      </c>
      <c r="T1056" t="str">
        <f t="shared" si="169"/>
        <v>PM2.5</v>
      </c>
      <c r="U1056">
        <v>23.287500000000001</v>
      </c>
      <c r="V1056">
        <v>62.91</v>
      </c>
    </row>
    <row r="1057" spans="1:22" x14ac:dyDescent="0.3">
      <c r="A1057" s="2" t="s">
        <v>15</v>
      </c>
      <c r="B1057">
        <v>560026</v>
      </c>
      <c r="C1057" s="3">
        <v>44546</v>
      </c>
      <c r="D1057">
        <v>69.243750000000006</v>
      </c>
      <c r="E1057">
        <v>108.76625</v>
      </c>
      <c r="F1057">
        <v>14.410666669999999</v>
      </c>
      <c r="G1057">
        <v>52.218125000000001</v>
      </c>
      <c r="H1057">
        <v>4.99</v>
      </c>
      <c r="I1057">
        <v>1.1525000000000001</v>
      </c>
      <c r="J1057">
        <v>10.065625000000001</v>
      </c>
      <c r="K1057">
        <f t="shared" si="160"/>
        <v>130.81250000000003</v>
      </c>
      <c r="L1057">
        <f t="shared" si="161"/>
        <v>105.84416666666667</v>
      </c>
      <c r="M1057">
        <f t="shared" si="162"/>
        <v>18.013333337500001</v>
      </c>
      <c r="N1057">
        <f t="shared" si="163"/>
        <v>13.05453125</v>
      </c>
      <c r="O1057">
        <f t="shared" si="164"/>
        <v>6.2374999999999998</v>
      </c>
      <c r="P1057">
        <f t="shared" si="165"/>
        <v>13.09659090909091</v>
      </c>
      <c r="Q1057">
        <f t="shared" si="166"/>
        <v>9.3200231481481488</v>
      </c>
      <c r="R1057">
        <f t="shared" si="167"/>
        <v>130.81250000000003</v>
      </c>
      <c r="S1057" t="str">
        <f t="shared" si="168"/>
        <v>Moderate</v>
      </c>
      <c r="T1057" t="str">
        <f t="shared" si="169"/>
        <v>PM2.5</v>
      </c>
      <c r="U1057">
        <v>23.287500000000001</v>
      </c>
      <c r="V1057">
        <v>62.91</v>
      </c>
    </row>
    <row r="1058" spans="1:22" x14ac:dyDescent="0.3">
      <c r="A1058" s="2" t="s">
        <v>15</v>
      </c>
      <c r="B1058">
        <v>560026</v>
      </c>
      <c r="C1058" s="3">
        <v>44547</v>
      </c>
      <c r="D1058">
        <v>69.243750000000006</v>
      </c>
      <c r="E1058">
        <v>108.76625</v>
      </c>
      <c r="F1058">
        <v>14.410666669999999</v>
      </c>
      <c r="G1058">
        <v>52.218125000000001</v>
      </c>
      <c r="H1058">
        <v>4.99</v>
      </c>
      <c r="I1058">
        <v>1.1525000000000001</v>
      </c>
      <c r="J1058">
        <v>10.065625000000001</v>
      </c>
      <c r="K1058">
        <f t="shared" si="160"/>
        <v>130.81250000000003</v>
      </c>
      <c r="L1058">
        <f t="shared" si="161"/>
        <v>105.84416666666667</v>
      </c>
      <c r="M1058">
        <f t="shared" si="162"/>
        <v>18.013333337500001</v>
      </c>
      <c r="N1058">
        <f t="shared" si="163"/>
        <v>13.05453125</v>
      </c>
      <c r="O1058">
        <f t="shared" si="164"/>
        <v>6.2374999999999998</v>
      </c>
      <c r="P1058">
        <f t="shared" si="165"/>
        <v>13.09659090909091</v>
      </c>
      <c r="Q1058">
        <f t="shared" si="166"/>
        <v>9.3200231481481488</v>
      </c>
      <c r="R1058">
        <f t="shared" si="167"/>
        <v>130.81250000000003</v>
      </c>
      <c r="S1058" t="str">
        <f t="shared" si="168"/>
        <v>Moderate</v>
      </c>
      <c r="T1058" t="str">
        <f t="shared" si="169"/>
        <v>PM2.5</v>
      </c>
      <c r="U1058">
        <v>23.287500000000001</v>
      </c>
      <c r="V1058">
        <v>62.91</v>
      </c>
    </row>
    <row r="1059" spans="1:22" x14ac:dyDescent="0.3">
      <c r="A1059" s="2" t="s">
        <v>15</v>
      </c>
      <c r="B1059">
        <v>560026</v>
      </c>
      <c r="C1059" s="3">
        <v>44548</v>
      </c>
      <c r="D1059">
        <v>69.243750000000006</v>
      </c>
      <c r="E1059">
        <v>108.76625</v>
      </c>
      <c r="F1059">
        <v>14.410666669999999</v>
      </c>
      <c r="G1059">
        <v>52.218125000000001</v>
      </c>
      <c r="H1059">
        <v>4.99</v>
      </c>
      <c r="I1059">
        <v>1.1525000000000001</v>
      </c>
      <c r="J1059">
        <v>10.065625000000001</v>
      </c>
      <c r="K1059">
        <f t="shared" si="160"/>
        <v>130.81250000000003</v>
      </c>
      <c r="L1059">
        <f t="shared" si="161"/>
        <v>105.84416666666667</v>
      </c>
      <c r="M1059">
        <f t="shared" si="162"/>
        <v>18.013333337500001</v>
      </c>
      <c r="N1059">
        <f t="shared" si="163"/>
        <v>13.05453125</v>
      </c>
      <c r="O1059">
        <f t="shared" si="164"/>
        <v>6.2374999999999998</v>
      </c>
      <c r="P1059">
        <f t="shared" si="165"/>
        <v>13.09659090909091</v>
      </c>
      <c r="Q1059">
        <f t="shared" si="166"/>
        <v>9.3200231481481488</v>
      </c>
      <c r="R1059">
        <f t="shared" si="167"/>
        <v>130.81250000000003</v>
      </c>
      <c r="S1059" t="str">
        <f t="shared" si="168"/>
        <v>Moderate</v>
      </c>
      <c r="T1059" t="str">
        <f t="shared" si="169"/>
        <v>PM2.5</v>
      </c>
      <c r="U1059">
        <v>23.287500000000001</v>
      </c>
      <c r="V1059">
        <v>62.91</v>
      </c>
    </row>
    <row r="1060" spans="1:22" x14ac:dyDescent="0.3">
      <c r="A1060" s="2" t="s">
        <v>15</v>
      </c>
      <c r="B1060">
        <v>560026</v>
      </c>
      <c r="C1060" s="3">
        <v>44549</v>
      </c>
      <c r="D1060">
        <v>69.243750000000006</v>
      </c>
      <c r="E1060">
        <v>108.76625</v>
      </c>
      <c r="F1060">
        <v>14.410666669999999</v>
      </c>
      <c r="G1060">
        <v>52.218125000000001</v>
      </c>
      <c r="H1060">
        <v>4.99</v>
      </c>
      <c r="I1060">
        <v>1.1525000000000001</v>
      </c>
      <c r="J1060">
        <v>10.065625000000001</v>
      </c>
      <c r="K1060">
        <f t="shared" si="160"/>
        <v>130.81250000000003</v>
      </c>
      <c r="L1060">
        <f t="shared" si="161"/>
        <v>105.84416666666667</v>
      </c>
      <c r="M1060">
        <f t="shared" si="162"/>
        <v>18.013333337500001</v>
      </c>
      <c r="N1060">
        <f t="shared" si="163"/>
        <v>13.05453125</v>
      </c>
      <c r="O1060">
        <f t="shared" si="164"/>
        <v>6.2374999999999998</v>
      </c>
      <c r="P1060">
        <f t="shared" si="165"/>
        <v>13.09659090909091</v>
      </c>
      <c r="Q1060">
        <f t="shared" si="166"/>
        <v>9.3200231481481488</v>
      </c>
      <c r="R1060">
        <f t="shared" si="167"/>
        <v>130.81250000000003</v>
      </c>
      <c r="S1060" t="str">
        <f t="shared" si="168"/>
        <v>Moderate</v>
      </c>
      <c r="T1060" t="str">
        <f t="shared" si="169"/>
        <v>PM2.5</v>
      </c>
      <c r="U1060">
        <v>23.287500000000001</v>
      </c>
      <c r="V1060">
        <v>62.91</v>
      </c>
    </row>
    <row r="1061" spans="1:22" x14ac:dyDescent="0.3">
      <c r="A1061" s="2" t="s">
        <v>15</v>
      </c>
      <c r="B1061">
        <v>560026</v>
      </c>
      <c r="C1061" s="3">
        <v>44550</v>
      </c>
      <c r="D1061">
        <v>69.243750000000006</v>
      </c>
      <c r="E1061">
        <v>108.76625</v>
      </c>
      <c r="F1061">
        <v>14.410666669999999</v>
      </c>
      <c r="G1061">
        <v>52.218125000000001</v>
      </c>
      <c r="H1061">
        <v>4.99</v>
      </c>
      <c r="I1061">
        <v>1.1525000000000001</v>
      </c>
      <c r="J1061">
        <v>10.065625000000001</v>
      </c>
      <c r="K1061">
        <f t="shared" si="160"/>
        <v>130.81250000000003</v>
      </c>
      <c r="L1061">
        <f t="shared" si="161"/>
        <v>105.84416666666667</v>
      </c>
      <c r="M1061">
        <f t="shared" si="162"/>
        <v>18.013333337500001</v>
      </c>
      <c r="N1061">
        <f t="shared" si="163"/>
        <v>13.05453125</v>
      </c>
      <c r="O1061">
        <f t="shared" si="164"/>
        <v>6.2374999999999998</v>
      </c>
      <c r="P1061">
        <f t="shared" si="165"/>
        <v>13.09659090909091</v>
      </c>
      <c r="Q1061">
        <f t="shared" si="166"/>
        <v>9.3200231481481488</v>
      </c>
      <c r="R1061">
        <f t="shared" si="167"/>
        <v>130.81250000000003</v>
      </c>
      <c r="S1061" t="str">
        <f t="shared" si="168"/>
        <v>Moderate</v>
      </c>
      <c r="T1061" t="str">
        <f t="shared" si="169"/>
        <v>PM2.5</v>
      </c>
      <c r="U1061">
        <v>23.287500000000001</v>
      </c>
      <c r="V1061">
        <v>62.91</v>
      </c>
    </row>
    <row r="1062" spans="1:22" x14ac:dyDescent="0.3">
      <c r="A1062" s="2" t="s">
        <v>15</v>
      </c>
      <c r="B1062">
        <v>560026</v>
      </c>
      <c r="C1062" s="3">
        <v>44556</v>
      </c>
      <c r="D1062">
        <v>67.510000000000005</v>
      </c>
      <c r="E1062">
        <v>101.44</v>
      </c>
      <c r="F1062">
        <v>18.440000000000001</v>
      </c>
      <c r="G1062">
        <v>72.58</v>
      </c>
      <c r="H1062">
        <v>4.88</v>
      </c>
      <c r="I1062">
        <v>0.95</v>
      </c>
      <c r="J1062">
        <v>7.7</v>
      </c>
      <c r="K1062">
        <f t="shared" ref="K1062:K1122" si="170">IF(ISTEXT(D1062),0,IF(D1062&lt;=30,D1062*50/30,IF(AND(D1062&gt;30,D1062&lt;=60),50+(D1062-30)*50/30,IF(AND(D1062&gt;60,D1062&lt;=90),100+(D1062-60)*100/30,IF(AND(D1062&gt;90,D1062&lt;=120),200+(D1062-90)*(100/30),IF(AND(D1062&gt;120,D1062&lt;=250),300+(D1062-120)*(100/130),IF(D1062&gt;250,400+(D1062-250)*(100/130))))))))</f>
        <v>125.03333333333335</v>
      </c>
      <c r="L1062">
        <f t="shared" ref="L1062:L1122" si="171">IF(ISTEXT(E1062),0,IF(E1062&lt;=50,E1062,IF(AND(E1062&gt;50,E1062&lt;=100),E1062,IF(AND(E1062&gt;100,E1062&lt;=250),100+(E1062-100)*100/150,IF(AND(E1062&gt;250,E1062&lt;=350),200+(E1062-250),IF(AND(E1062&gt;350,E1062&lt;=430),300+(E1062-350)*(100/80),IF(E1062&gt;430,400+(E1062-430)*(100/80))))))))</f>
        <v>100.96</v>
      </c>
      <c r="M1062">
        <f t="shared" ref="M1062:M1122" si="172">IF(ISTEXT(F1062),0,IF(F1062&lt;=40,F1062*50/40,IF(AND(F1062&gt;40,F1062&lt;=80),50+(F1062-40)*50/40,IF(AND(F1062&gt;80,F1062&lt;=180),100+(F1062-80)*100/100,IF(AND(F1062&gt;180,F1062&lt;=280),200+(F1062-180)*(100/100),IF(AND(F1062&gt;280,F1062&lt;=400),300+(F1062-280)*(100/120),IF(F1062&gt;400,400+(F1062-400)*(100/120))))))))</f>
        <v>23.050000000000004</v>
      </c>
      <c r="N1062">
        <f t="shared" ref="N1062:N1122" si="173">IF(ISTEXT(G1062),0,IF(G1062&lt;=200,G1062*50/200,IF(AND(G1062&gt;200,G1062&lt;=400),50+(G1062-200)*50/200,IF(AND(G1062&gt;400,G1062&lt;=800),100+(G1062-400)*100/400,IF(AND(G1062&gt;800,G1062&lt;=1200),200+(G1062-800)*(100/400),IF(AND(G1062&gt;1200,G1062&lt;=1800),300+(G1062-1200)*(100/600),IF(G1062&gt;1800,400+(G1062-1800)*(100/600))))))))</f>
        <v>18.145</v>
      </c>
      <c r="O1062">
        <f t="shared" ref="O1062:O1122" si="174">IF(ISTEXT(H1062),0,IF(H1062&lt;=40,H1062*50/40,IF(AND(H1062&gt;40,H1062&lt;=80),50+(H1062-40)*50/40,IF(AND(H1062&gt;80,H1062&lt;=380),100+(H1062-80)*100/300,IF(AND(H1062&gt;380,H1062&lt;=800),200+(H1062-380)*(100/420),IF(AND(H1062&gt;800,H1062&lt;=1600),300+(H1062-800)*(100/800),IF(H1062&gt;1600,400+(H1062-1600)*(100/800))))))))</f>
        <v>6.1</v>
      </c>
      <c r="P1062">
        <f t="shared" ref="P1062:P1122" si="175">IF(I1062&lt;=4.4,(50-0)/(4.4-0)*(I1062-0)+0,
IF(I1062&lt;=9.4,(100-51)/(9.4-4.5)*(I1062-4.5)+51,
IF(I1062&lt;=12.4,(150-101)/(12.4-9.5)*(I1062-9.5)+101,
IF(I1062&lt;=15.4,(200-151)/(15.4-12.5)*(I1062-12.5)+151,
IF(I1062&lt;=30.4,(300-201)/(30.4-15.5)*(I1062-15.5)+201,
(500-301)/(50.4-30.5)*(I1062-30.5)+301)))))</f>
        <v>10.795454545454545</v>
      </c>
      <c r="Q1062">
        <f t="shared" ref="Q1062:Q1122" si="176">IF(J1062&lt;=54,(50-0)/(54-0)*(J1062-0)+0,
IF(J1062&lt;=70,(100-51)/(70-55)*(J1062-55)+51,
IF(J1062&lt;=85,(150-101)/(85-71)*(J1062-71)+101,
IF(J1062&lt;=105,(200-151)/(105-86)*(J1062-86)+151,
IF(J1062&lt;=200,(300-201)/(200-106)*(J1062-106)+201,
(500-301)/(300-201)*(J1062-201)+301)))))</f>
        <v>7.1296296296296298</v>
      </c>
      <c r="R1062">
        <f t="shared" ref="R1062:R1122" si="177">MAX(K1062:Q1062)</f>
        <v>125.03333333333335</v>
      </c>
      <c r="S1062" t="str">
        <f t="shared" ref="S1062:S1122" si="178">IF(R1062&lt;=50,"Good",
IF(R1062&lt;=100,"Satisfactory",
IF(R1062&lt;=200,"Moderate",
IF(R1062&lt;=300,"Poor",
IF(R1062&lt;=400,"Very Poor",
"Severe")))))</f>
        <v>Moderate</v>
      </c>
      <c r="T1062" t="str">
        <f t="shared" ref="T1062:T1122" si="179">IF(MAX(K1062:Q1062)=K1062,"PM2.5",
IF(MAX(K1062:Q1062)=L1062,"PM10",
IF(MAX(K1062:Q1062)=M1062,"NO2",
IF(MAX(K1062:Q1062)=N1062,"NH3",
IF(MAX(K1062:Q1062)=O1062,"SO2",
IF(MAX(K1062:Q1062)=P1062,"CO",
IF(MAX(K1062:Q1062)=Q1062,"OZONE","")))))))</f>
        <v>PM2.5</v>
      </c>
      <c r="U1062">
        <v>24.25</v>
      </c>
      <c r="V1062">
        <v>55.4</v>
      </c>
    </row>
    <row r="1063" spans="1:22" x14ac:dyDescent="0.3">
      <c r="A1063" s="2" t="s">
        <v>15</v>
      </c>
      <c r="B1063">
        <v>560026</v>
      </c>
      <c r="C1063" s="3">
        <v>44557</v>
      </c>
      <c r="D1063">
        <v>60.45</v>
      </c>
      <c r="E1063">
        <v>85.42</v>
      </c>
      <c r="F1063">
        <v>13.88</v>
      </c>
      <c r="G1063">
        <v>68.39</v>
      </c>
      <c r="H1063">
        <v>4.47</v>
      </c>
      <c r="I1063">
        <v>0.87</v>
      </c>
      <c r="J1063">
        <v>8.1999999999999993</v>
      </c>
      <c r="K1063">
        <f t="shared" si="170"/>
        <v>101.50000000000001</v>
      </c>
      <c r="L1063">
        <f t="shared" si="171"/>
        <v>85.42</v>
      </c>
      <c r="M1063">
        <f t="shared" si="172"/>
        <v>17.350000000000001</v>
      </c>
      <c r="N1063">
        <f t="shared" si="173"/>
        <v>17.0975</v>
      </c>
      <c r="O1063">
        <f t="shared" si="174"/>
        <v>5.5875000000000004</v>
      </c>
      <c r="P1063">
        <f t="shared" si="175"/>
        <v>9.8863636363636367</v>
      </c>
      <c r="Q1063">
        <f t="shared" si="176"/>
        <v>7.5925925925925917</v>
      </c>
      <c r="R1063">
        <f t="shared" si="177"/>
        <v>101.50000000000001</v>
      </c>
      <c r="S1063" t="str">
        <f t="shared" si="178"/>
        <v>Moderate</v>
      </c>
      <c r="T1063" t="str">
        <f t="shared" si="179"/>
        <v>PM2.5</v>
      </c>
      <c r="U1063">
        <v>23.15</v>
      </c>
      <c r="V1063">
        <v>61.34</v>
      </c>
    </row>
    <row r="1064" spans="1:22" x14ac:dyDescent="0.3">
      <c r="A1064" s="2" t="s">
        <v>15</v>
      </c>
      <c r="B1064">
        <v>560026</v>
      </c>
      <c r="C1064" s="3">
        <v>44558</v>
      </c>
      <c r="D1064">
        <v>51.13</v>
      </c>
      <c r="E1064">
        <v>78.400000000000006</v>
      </c>
      <c r="F1064">
        <v>6.25</v>
      </c>
      <c r="G1064">
        <v>26.79</v>
      </c>
      <c r="H1064">
        <v>4.7</v>
      </c>
      <c r="I1064">
        <v>0.84</v>
      </c>
      <c r="J1064">
        <v>6.77</v>
      </c>
      <c r="K1064">
        <f t="shared" si="170"/>
        <v>85.216666666666669</v>
      </c>
      <c r="L1064">
        <f t="shared" si="171"/>
        <v>78.400000000000006</v>
      </c>
      <c r="M1064">
        <f t="shared" si="172"/>
        <v>7.8125</v>
      </c>
      <c r="N1064">
        <f t="shared" si="173"/>
        <v>6.6974999999999998</v>
      </c>
      <c r="O1064">
        <f t="shared" si="174"/>
        <v>5.875</v>
      </c>
      <c r="P1064">
        <f t="shared" si="175"/>
        <v>9.545454545454545</v>
      </c>
      <c r="Q1064">
        <f t="shared" si="176"/>
        <v>6.2685185185185182</v>
      </c>
      <c r="R1064">
        <f t="shared" si="177"/>
        <v>85.216666666666669</v>
      </c>
      <c r="S1064" t="str">
        <f t="shared" si="178"/>
        <v>Satisfactory</v>
      </c>
      <c r="T1064" t="str">
        <f t="shared" si="179"/>
        <v>PM2.5</v>
      </c>
      <c r="U1064">
        <v>22.7</v>
      </c>
      <c r="V1064">
        <v>64.95</v>
      </c>
    </row>
    <row r="1065" spans="1:22" x14ac:dyDescent="0.3">
      <c r="A1065" s="2" t="s">
        <v>15</v>
      </c>
      <c r="B1065">
        <v>560026</v>
      </c>
      <c r="C1065" s="3">
        <v>44559</v>
      </c>
      <c r="D1065">
        <v>49.82</v>
      </c>
      <c r="E1065">
        <v>74.86</v>
      </c>
      <c r="F1065">
        <v>11.13</v>
      </c>
      <c r="G1065">
        <v>63.69</v>
      </c>
      <c r="H1065">
        <v>4.4400000000000004</v>
      </c>
      <c r="I1065">
        <v>0.87</v>
      </c>
      <c r="J1065">
        <v>5.62</v>
      </c>
      <c r="K1065">
        <f t="shared" si="170"/>
        <v>83.033333333333331</v>
      </c>
      <c r="L1065">
        <f t="shared" si="171"/>
        <v>74.86</v>
      </c>
      <c r="M1065">
        <f t="shared" si="172"/>
        <v>13.9125</v>
      </c>
      <c r="N1065">
        <f t="shared" si="173"/>
        <v>15.922499999999999</v>
      </c>
      <c r="O1065">
        <f t="shared" si="174"/>
        <v>5.5500000000000007</v>
      </c>
      <c r="P1065">
        <f t="shared" si="175"/>
        <v>9.8863636363636367</v>
      </c>
      <c r="Q1065">
        <f t="shared" si="176"/>
        <v>5.2037037037037042</v>
      </c>
      <c r="R1065">
        <f t="shared" si="177"/>
        <v>83.033333333333331</v>
      </c>
      <c r="S1065" t="str">
        <f t="shared" si="178"/>
        <v>Satisfactory</v>
      </c>
      <c r="T1065" t="str">
        <f t="shared" si="179"/>
        <v>PM2.5</v>
      </c>
      <c r="U1065">
        <v>22.45</v>
      </c>
      <c r="V1065">
        <v>64.930000000000007</v>
      </c>
    </row>
    <row r="1066" spans="1:22" x14ac:dyDescent="0.3">
      <c r="A1066" s="2" t="s">
        <v>15</v>
      </c>
      <c r="B1066">
        <v>560026</v>
      </c>
      <c r="C1066" s="3">
        <v>44560</v>
      </c>
      <c r="D1066">
        <v>38.81</v>
      </c>
      <c r="E1066">
        <v>79.959999999999994</v>
      </c>
      <c r="F1066">
        <v>5.27</v>
      </c>
      <c r="G1066">
        <v>35.020000000000003</v>
      </c>
      <c r="H1066">
        <v>5</v>
      </c>
      <c r="I1066">
        <v>0.99</v>
      </c>
      <c r="J1066">
        <v>5.74</v>
      </c>
      <c r="K1066">
        <f t="shared" si="170"/>
        <v>64.683333333333337</v>
      </c>
      <c r="L1066">
        <f t="shared" si="171"/>
        <v>79.959999999999994</v>
      </c>
      <c r="M1066">
        <f t="shared" si="172"/>
        <v>6.5875000000000004</v>
      </c>
      <c r="N1066">
        <f t="shared" si="173"/>
        <v>8.7550000000000008</v>
      </c>
      <c r="O1066">
        <f t="shared" si="174"/>
        <v>6.25</v>
      </c>
      <c r="P1066">
        <f t="shared" si="175"/>
        <v>11.25</v>
      </c>
      <c r="Q1066">
        <f t="shared" si="176"/>
        <v>5.3148148148148149</v>
      </c>
      <c r="R1066">
        <f t="shared" si="177"/>
        <v>79.959999999999994</v>
      </c>
      <c r="S1066" t="str">
        <f t="shared" si="178"/>
        <v>Satisfactory</v>
      </c>
      <c r="T1066" t="str">
        <f t="shared" si="179"/>
        <v>PM10</v>
      </c>
      <c r="U1066">
        <v>22.85</v>
      </c>
      <c r="V1066">
        <v>66.23</v>
      </c>
    </row>
    <row r="1067" spans="1:22" x14ac:dyDescent="0.3">
      <c r="A1067" s="2" t="s">
        <v>15</v>
      </c>
      <c r="B1067">
        <v>560026</v>
      </c>
      <c r="C1067" s="3">
        <v>44561</v>
      </c>
      <c r="D1067">
        <v>35.35</v>
      </c>
      <c r="E1067">
        <v>74.09</v>
      </c>
      <c r="F1067">
        <v>5.39</v>
      </c>
      <c r="G1067">
        <v>24.83</v>
      </c>
      <c r="H1067">
        <v>5.16</v>
      </c>
      <c r="I1067">
        <v>1.17</v>
      </c>
      <c r="J1067">
        <v>6.09</v>
      </c>
      <c r="K1067">
        <f t="shared" si="170"/>
        <v>58.916666666666671</v>
      </c>
      <c r="L1067">
        <f t="shared" si="171"/>
        <v>74.09</v>
      </c>
      <c r="M1067">
        <f t="shared" si="172"/>
        <v>6.7374999999999998</v>
      </c>
      <c r="N1067">
        <f t="shared" si="173"/>
        <v>6.2074999999999996</v>
      </c>
      <c r="O1067">
        <f t="shared" si="174"/>
        <v>6.45</v>
      </c>
      <c r="P1067">
        <f t="shared" si="175"/>
        <v>13.295454545454545</v>
      </c>
      <c r="Q1067">
        <f t="shared" si="176"/>
        <v>5.6388888888888884</v>
      </c>
      <c r="R1067">
        <f t="shared" si="177"/>
        <v>74.09</v>
      </c>
      <c r="S1067" t="str">
        <f t="shared" si="178"/>
        <v>Satisfactory</v>
      </c>
      <c r="T1067" t="str">
        <f t="shared" si="179"/>
        <v>PM10</v>
      </c>
      <c r="U1067">
        <v>22.31</v>
      </c>
      <c r="V1067">
        <v>73.44</v>
      </c>
    </row>
    <row r="1068" spans="1:22" x14ac:dyDescent="0.3">
      <c r="A1068" s="2" t="s">
        <v>15</v>
      </c>
      <c r="B1068">
        <v>560026</v>
      </c>
      <c r="C1068" s="3">
        <v>44562</v>
      </c>
      <c r="D1068">
        <v>32.17</v>
      </c>
      <c r="E1068">
        <v>66.52</v>
      </c>
      <c r="F1068">
        <v>1.61</v>
      </c>
      <c r="G1068">
        <v>25.24</v>
      </c>
      <c r="H1068">
        <v>5.34</v>
      </c>
      <c r="I1068">
        <v>1.17</v>
      </c>
      <c r="J1068">
        <v>5.68</v>
      </c>
      <c r="K1068">
        <f t="shared" si="170"/>
        <v>53.616666666666667</v>
      </c>
      <c r="L1068">
        <f t="shared" si="171"/>
        <v>66.52</v>
      </c>
      <c r="M1068">
        <f t="shared" si="172"/>
        <v>2.0125000000000002</v>
      </c>
      <c r="N1068">
        <f t="shared" si="173"/>
        <v>6.31</v>
      </c>
      <c r="O1068">
        <f t="shared" si="174"/>
        <v>6.6749999999999998</v>
      </c>
      <c r="P1068">
        <f t="shared" si="175"/>
        <v>13.295454545454545</v>
      </c>
      <c r="Q1068">
        <f t="shared" si="176"/>
        <v>5.2592592592592586</v>
      </c>
      <c r="R1068">
        <f t="shared" si="177"/>
        <v>66.52</v>
      </c>
      <c r="S1068" t="str">
        <f t="shared" si="178"/>
        <v>Satisfactory</v>
      </c>
      <c r="T1068" t="str">
        <f t="shared" si="179"/>
        <v>PM10</v>
      </c>
      <c r="U1068">
        <v>23.02</v>
      </c>
      <c r="V1068">
        <v>70.790000000000006</v>
      </c>
    </row>
    <row r="1069" spans="1:22" x14ac:dyDescent="0.3">
      <c r="A1069" s="2" t="s">
        <v>15</v>
      </c>
      <c r="B1069">
        <v>560026</v>
      </c>
      <c r="C1069" s="3">
        <v>44563</v>
      </c>
      <c r="D1069">
        <v>27.21</v>
      </c>
      <c r="E1069">
        <v>48.39</v>
      </c>
      <c r="F1069">
        <v>12.45896552</v>
      </c>
      <c r="G1069">
        <v>16.260000000000002</v>
      </c>
      <c r="H1069">
        <v>4.82</v>
      </c>
      <c r="I1069">
        <v>0.64</v>
      </c>
      <c r="J1069">
        <v>5.53</v>
      </c>
      <c r="K1069">
        <f t="shared" si="170"/>
        <v>45.35</v>
      </c>
      <c r="L1069">
        <f t="shared" si="171"/>
        <v>48.39</v>
      </c>
      <c r="M1069">
        <f t="shared" si="172"/>
        <v>15.573706899999999</v>
      </c>
      <c r="N1069">
        <f t="shared" si="173"/>
        <v>4.0650000000000004</v>
      </c>
      <c r="O1069">
        <f t="shared" si="174"/>
        <v>6.0250000000000004</v>
      </c>
      <c r="P1069">
        <f t="shared" si="175"/>
        <v>7.2727272727272725</v>
      </c>
      <c r="Q1069">
        <f t="shared" si="176"/>
        <v>5.1203703703703702</v>
      </c>
      <c r="R1069">
        <f t="shared" si="177"/>
        <v>48.39</v>
      </c>
      <c r="S1069" t="str">
        <f t="shared" si="178"/>
        <v>Good</v>
      </c>
      <c r="T1069" t="str">
        <f t="shared" si="179"/>
        <v>PM10</v>
      </c>
      <c r="U1069">
        <v>23.17</v>
      </c>
      <c r="V1069">
        <v>65.790000000000006</v>
      </c>
    </row>
    <row r="1070" spans="1:22" x14ac:dyDescent="0.3">
      <c r="A1070" s="2" t="s">
        <v>15</v>
      </c>
      <c r="B1070">
        <v>560026</v>
      </c>
      <c r="C1070" s="3">
        <v>44564</v>
      </c>
      <c r="D1070">
        <v>54.33</v>
      </c>
      <c r="E1070">
        <v>78.739999999999995</v>
      </c>
      <c r="F1070">
        <v>0.36</v>
      </c>
      <c r="G1070">
        <v>12.05</v>
      </c>
      <c r="H1070">
        <v>4.0999999999999996</v>
      </c>
      <c r="I1070">
        <v>0.97</v>
      </c>
      <c r="J1070">
        <v>6.18</v>
      </c>
      <c r="K1070">
        <f t="shared" si="170"/>
        <v>90.55</v>
      </c>
      <c r="L1070">
        <f t="shared" si="171"/>
        <v>78.739999999999995</v>
      </c>
      <c r="M1070">
        <f t="shared" si="172"/>
        <v>0.45</v>
      </c>
      <c r="N1070">
        <f t="shared" si="173"/>
        <v>3.0125000000000002</v>
      </c>
      <c r="O1070">
        <f t="shared" si="174"/>
        <v>5.1249999999999991</v>
      </c>
      <c r="P1070">
        <f t="shared" si="175"/>
        <v>11.022727272727272</v>
      </c>
      <c r="Q1070">
        <f t="shared" si="176"/>
        <v>5.7222222222222223</v>
      </c>
      <c r="R1070">
        <f t="shared" si="177"/>
        <v>90.55</v>
      </c>
      <c r="S1070" t="str">
        <f t="shared" si="178"/>
        <v>Satisfactory</v>
      </c>
      <c r="T1070" t="str">
        <f t="shared" si="179"/>
        <v>PM2.5</v>
      </c>
      <c r="U1070">
        <v>22.9</v>
      </c>
      <c r="V1070">
        <v>64.290000000000006</v>
      </c>
    </row>
    <row r="1071" spans="1:22" x14ac:dyDescent="0.3">
      <c r="A1071" s="2" t="s">
        <v>15</v>
      </c>
      <c r="B1071">
        <v>560026</v>
      </c>
      <c r="C1071" s="3">
        <v>44565</v>
      </c>
      <c r="D1071">
        <v>63.08</v>
      </c>
      <c r="E1071">
        <v>92.45</v>
      </c>
      <c r="F1071">
        <v>12.45896552</v>
      </c>
      <c r="G1071">
        <v>8.3800000000000008</v>
      </c>
      <c r="H1071">
        <v>5.37</v>
      </c>
      <c r="I1071">
        <v>1</v>
      </c>
      <c r="J1071">
        <v>5.96</v>
      </c>
      <c r="K1071">
        <f t="shared" si="170"/>
        <v>110.26666666666667</v>
      </c>
      <c r="L1071">
        <f t="shared" si="171"/>
        <v>92.45</v>
      </c>
      <c r="M1071">
        <f t="shared" si="172"/>
        <v>15.573706899999999</v>
      </c>
      <c r="N1071">
        <f t="shared" si="173"/>
        <v>2.0950000000000002</v>
      </c>
      <c r="O1071">
        <f t="shared" si="174"/>
        <v>6.7125000000000004</v>
      </c>
      <c r="P1071">
        <f t="shared" si="175"/>
        <v>11.363636363636363</v>
      </c>
      <c r="Q1071">
        <f t="shared" si="176"/>
        <v>5.5185185185185182</v>
      </c>
      <c r="R1071">
        <f t="shared" si="177"/>
        <v>110.26666666666667</v>
      </c>
      <c r="S1071" t="str">
        <f t="shared" si="178"/>
        <v>Moderate</v>
      </c>
      <c r="T1071" t="str">
        <f t="shared" si="179"/>
        <v>PM2.5</v>
      </c>
      <c r="U1071">
        <v>22.78</v>
      </c>
      <c r="V1071">
        <v>61.86</v>
      </c>
    </row>
    <row r="1072" spans="1:22" x14ac:dyDescent="0.3">
      <c r="A1072" s="2" t="s">
        <v>15</v>
      </c>
      <c r="B1072">
        <v>560026</v>
      </c>
      <c r="C1072" s="3">
        <v>44566</v>
      </c>
      <c r="D1072">
        <v>66.17</v>
      </c>
      <c r="E1072">
        <v>94.04</v>
      </c>
      <c r="F1072">
        <v>19.04</v>
      </c>
      <c r="G1072">
        <v>32.33</v>
      </c>
      <c r="H1072">
        <v>4.8899999999999997</v>
      </c>
      <c r="I1072">
        <v>0.94</v>
      </c>
      <c r="J1072">
        <v>6.27</v>
      </c>
      <c r="K1072">
        <f t="shared" si="170"/>
        <v>120.56666666666668</v>
      </c>
      <c r="L1072">
        <f t="shared" si="171"/>
        <v>94.04</v>
      </c>
      <c r="M1072">
        <f t="shared" si="172"/>
        <v>23.8</v>
      </c>
      <c r="N1072">
        <f t="shared" si="173"/>
        <v>8.0824999999999996</v>
      </c>
      <c r="O1072">
        <f t="shared" si="174"/>
        <v>6.1124999999999989</v>
      </c>
      <c r="P1072">
        <f t="shared" si="175"/>
        <v>10.681818181818182</v>
      </c>
      <c r="Q1072">
        <f t="shared" si="176"/>
        <v>5.8055555555555554</v>
      </c>
      <c r="R1072">
        <f t="shared" si="177"/>
        <v>120.56666666666668</v>
      </c>
      <c r="S1072" t="str">
        <f t="shared" si="178"/>
        <v>Moderate</v>
      </c>
      <c r="T1072" t="str">
        <f t="shared" si="179"/>
        <v>PM2.5</v>
      </c>
      <c r="U1072">
        <v>22.92</v>
      </c>
      <c r="V1072">
        <v>60.33</v>
      </c>
    </row>
    <row r="1073" spans="1:22" x14ac:dyDescent="0.3">
      <c r="A1073" s="2" t="s">
        <v>15</v>
      </c>
      <c r="B1073">
        <v>560026</v>
      </c>
      <c r="C1073" s="3">
        <v>44567</v>
      </c>
      <c r="D1073">
        <v>54.09</v>
      </c>
      <c r="E1073">
        <v>75.59</v>
      </c>
      <c r="F1073">
        <v>17.14</v>
      </c>
      <c r="G1073">
        <v>65.63</v>
      </c>
      <c r="H1073">
        <v>4.99</v>
      </c>
      <c r="I1073">
        <v>0.81</v>
      </c>
      <c r="J1073">
        <v>7.18</v>
      </c>
      <c r="K1073">
        <f t="shared" si="170"/>
        <v>90.15</v>
      </c>
      <c r="L1073">
        <f t="shared" si="171"/>
        <v>75.59</v>
      </c>
      <c r="M1073">
        <f t="shared" si="172"/>
        <v>21.425000000000001</v>
      </c>
      <c r="N1073">
        <f t="shared" si="173"/>
        <v>16.407499999999999</v>
      </c>
      <c r="O1073">
        <f t="shared" si="174"/>
        <v>6.2374999999999998</v>
      </c>
      <c r="P1073">
        <f t="shared" si="175"/>
        <v>9.204545454545455</v>
      </c>
      <c r="Q1073">
        <f t="shared" si="176"/>
        <v>6.6481481481481479</v>
      </c>
      <c r="R1073">
        <f t="shared" si="177"/>
        <v>90.15</v>
      </c>
      <c r="S1073" t="str">
        <f t="shared" si="178"/>
        <v>Satisfactory</v>
      </c>
      <c r="T1073" t="str">
        <f t="shared" si="179"/>
        <v>PM2.5</v>
      </c>
      <c r="U1073">
        <v>23.45</v>
      </c>
      <c r="V1073">
        <v>63.78</v>
      </c>
    </row>
    <row r="1074" spans="1:22" x14ac:dyDescent="0.3">
      <c r="A1074" s="2" t="s">
        <v>15</v>
      </c>
      <c r="B1074">
        <v>560026</v>
      </c>
      <c r="C1074" s="3">
        <v>44568</v>
      </c>
      <c r="D1074">
        <v>44.22</v>
      </c>
      <c r="E1074">
        <v>63.21</v>
      </c>
      <c r="F1074">
        <v>13.09</v>
      </c>
      <c r="G1074">
        <v>61.48</v>
      </c>
      <c r="H1074">
        <v>4.26</v>
      </c>
      <c r="I1074">
        <v>0.73</v>
      </c>
      <c r="J1074">
        <v>7.09</v>
      </c>
      <c r="K1074">
        <f t="shared" si="170"/>
        <v>73.7</v>
      </c>
      <c r="L1074">
        <f t="shared" si="171"/>
        <v>63.21</v>
      </c>
      <c r="M1074">
        <f t="shared" si="172"/>
        <v>16.362500000000001</v>
      </c>
      <c r="N1074">
        <f t="shared" si="173"/>
        <v>15.37</v>
      </c>
      <c r="O1074">
        <f t="shared" si="174"/>
        <v>5.3250000000000002</v>
      </c>
      <c r="P1074">
        <f t="shared" si="175"/>
        <v>8.295454545454545</v>
      </c>
      <c r="Q1074">
        <f t="shared" si="176"/>
        <v>6.5648148148148149</v>
      </c>
      <c r="R1074">
        <f t="shared" si="177"/>
        <v>73.7</v>
      </c>
      <c r="S1074" t="str">
        <f t="shared" si="178"/>
        <v>Satisfactory</v>
      </c>
      <c r="T1074" t="str">
        <f t="shared" si="179"/>
        <v>PM2.5</v>
      </c>
      <c r="U1074">
        <v>23.91</v>
      </c>
      <c r="V1074">
        <v>62.71</v>
      </c>
    </row>
    <row r="1075" spans="1:22" x14ac:dyDescent="0.3">
      <c r="A1075" s="2" t="s">
        <v>15</v>
      </c>
      <c r="B1075">
        <v>560026</v>
      </c>
      <c r="C1075" s="3">
        <v>44569</v>
      </c>
      <c r="D1075">
        <v>41.09</v>
      </c>
      <c r="E1075">
        <v>54.74</v>
      </c>
      <c r="F1075">
        <v>8.9499999999999993</v>
      </c>
      <c r="G1075">
        <v>61.41</v>
      </c>
      <c r="H1075">
        <v>4.04</v>
      </c>
      <c r="I1075">
        <v>0.49</v>
      </c>
      <c r="J1075">
        <v>6.91</v>
      </c>
      <c r="K1075">
        <f t="shared" si="170"/>
        <v>68.483333333333348</v>
      </c>
      <c r="L1075">
        <f t="shared" si="171"/>
        <v>54.74</v>
      </c>
      <c r="M1075">
        <f t="shared" si="172"/>
        <v>11.187499999999998</v>
      </c>
      <c r="N1075">
        <f t="shared" si="173"/>
        <v>15.352499999999999</v>
      </c>
      <c r="O1075">
        <f t="shared" si="174"/>
        <v>5.05</v>
      </c>
      <c r="P1075">
        <f t="shared" si="175"/>
        <v>5.5681818181818183</v>
      </c>
      <c r="Q1075">
        <f t="shared" si="176"/>
        <v>6.3981481481481479</v>
      </c>
      <c r="R1075">
        <f t="shared" si="177"/>
        <v>68.483333333333348</v>
      </c>
      <c r="S1075" t="str">
        <f t="shared" si="178"/>
        <v>Satisfactory</v>
      </c>
      <c r="T1075" t="str">
        <f t="shared" si="179"/>
        <v>PM2.5</v>
      </c>
      <c r="U1075">
        <v>23.64</v>
      </c>
      <c r="V1075">
        <v>65.97</v>
      </c>
    </row>
    <row r="1076" spans="1:22" x14ac:dyDescent="0.3">
      <c r="A1076" s="2" t="s">
        <v>15</v>
      </c>
      <c r="B1076">
        <v>560026</v>
      </c>
      <c r="C1076" s="3">
        <v>44570</v>
      </c>
      <c r="D1076">
        <v>35.93</v>
      </c>
      <c r="E1076">
        <v>52.38</v>
      </c>
      <c r="F1076">
        <v>8.0399999999999991</v>
      </c>
      <c r="G1076">
        <v>49.58</v>
      </c>
      <c r="H1076">
        <v>4.7699999999999996</v>
      </c>
      <c r="I1076">
        <v>0.47</v>
      </c>
      <c r="J1076">
        <v>7.71</v>
      </c>
      <c r="K1076">
        <f t="shared" si="170"/>
        <v>59.883333333333333</v>
      </c>
      <c r="L1076">
        <f t="shared" si="171"/>
        <v>52.38</v>
      </c>
      <c r="M1076">
        <f t="shared" si="172"/>
        <v>10.049999999999999</v>
      </c>
      <c r="N1076">
        <f t="shared" si="173"/>
        <v>12.395</v>
      </c>
      <c r="O1076">
        <f t="shared" si="174"/>
        <v>5.9624999999999995</v>
      </c>
      <c r="P1076">
        <f t="shared" si="175"/>
        <v>5.3409090909090908</v>
      </c>
      <c r="Q1076">
        <f t="shared" si="176"/>
        <v>7.1388888888888893</v>
      </c>
      <c r="R1076">
        <f t="shared" si="177"/>
        <v>59.883333333333333</v>
      </c>
      <c r="S1076" t="str">
        <f t="shared" si="178"/>
        <v>Satisfactory</v>
      </c>
      <c r="T1076" t="str">
        <f t="shared" si="179"/>
        <v>PM2.5</v>
      </c>
      <c r="U1076">
        <v>24.11</v>
      </c>
      <c r="V1076">
        <v>64</v>
      </c>
    </row>
    <row r="1077" spans="1:22" x14ac:dyDescent="0.3">
      <c r="A1077" s="2" t="s">
        <v>15</v>
      </c>
      <c r="B1077">
        <v>560026</v>
      </c>
      <c r="C1077" s="3">
        <v>44571</v>
      </c>
      <c r="D1077">
        <v>39.08</v>
      </c>
      <c r="E1077">
        <v>56.21</v>
      </c>
      <c r="F1077">
        <v>11.91</v>
      </c>
      <c r="G1077">
        <v>55.56</v>
      </c>
      <c r="H1077">
        <v>4.97</v>
      </c>
      <c r="I1077">
        <v>0.64</v>
      </c>
      <c r="J1077">
        <v>7.02</v>
      </c>
      <c r="K1077">
        <f t="shared" si="170"/>
        <v>65.133333333333326</v>
      </c>
      <c r="L1077">
        <f t="shared" si="171"/>
        <v>56.21</v>
      </c>
      <c r="M1077">
        <f t="shared" si="172"/>
        <v>14.887499999999999</v>
      </c>
      <c r="N1077">
        <f t="shared" si="173"/>
        <v>13.89</v>
      </c>
      <c r="O1077">
        <f t="shared" si="174"/>
        <v>6.2125000000000004</v>
      </c>
      <c r="P1077">
        <f t="shared" si="175"/>
        <v>7.2727272727272725</v>
      </c>
      <c r="Q1077">
        <f t="shared" si="176"/>
        <v>6.5</v>
      </c>
      <c r="R1077">
        <f t="shared" si="177"/>
        <v>65.133333333333326</v>
      </c>
      <c r="S1077" t="str">
        <f t="shared" si="178"/>
        <v>Satisfactory</v>
      </c>
      <c r="T1077" t="str">
        <f t="shared" si="179"/>
        <v>PM2.5</v>
      </c>
      <c r="U1077">
        <v>24.22</v>
      </c>
      <c r="V1077">
        <v>62.84</v>
      </c>
    </row>
    <row r="1078" spans="1:22" x14ac:dyDescent="0.3">
      <c r="A1078" s="2" t="s">
        <v>15</v>
      </c>
      <c r="B1078">
        <v>560026</v>
      </c>
      <c r="C1078" s="3">
        <v>44572</v>
      </c>
      <c r="D1078">
        <v>31.67</v>
      </c>
      <c r="E1078">
        <v>48.58</v>
      </c>
      <c r="F1078">
        <v>11.59</v>
      </c>
      <c r="G1078">
        <v>54.81</v>
      </c>
      <c r="H1078">
        <v>3.94</v>
      </c>
      <c r="I1078">
        <v>0.61</v>
      </c>
      <c r="J1078">
        <v>6.23</v>
      </c>
      <c r="K1078">
        <f t="shared" si="170"/>
        <v>52.783333333333339</v>
      </c>
      <c r="L1078">
        <f t="shared" si="171"/>
        <v>48.58</v>
      </c>
      <c r="M1078">
        <f t="shared" si="172"/>
        <v>14.487500000000001</v>
      </c>
      <c r="N1078">
        <f t="shared" si="173"/>
        <v>13.702500000000001</v>
      </c>
      <c r="O1078">
        <f t="shared" si="174"/>
        <v>4.9249999999999998</v>
      </c>
      <c r="P1078">
        <f t="shared" si="175"/>
        <v>6.9318181818181817</v>
      </c>
      <c r="Q1078">
        <f t="shared" si="176"/>
        <v>5.768518518518519</v>
      </c>
      <c r="R1078">
        <f t="shared" si="177"/>
        <v>52.783333333333339</v>
      </c>
      <c r="S1078" t="str">
        <f t="shared" si="178"/>
        <v>Satisfactory</v>
      </c>
      <c r="T1078" t="str">
        <f t="shared" si="179"/>
        <v>PM2.5</v>
      </c>
      <c r="U1078">
        <v>24.86</v>
      </c>
      <c r="V1078">
        <v>61.39</v>
      </c>
    </row>
    <row r="1079" spans="1:22" x14ac:dyDescent="0.3">
      <c r="A1079" s="2" t="s">
        <v>15</v>
      </c>
      <c r="B1079">
        <v>560026</v>
      </c>
      <c r="C1079" s="3">
        <v>44573</v>
      </c>
      <c r="D1079">
        <v>41.96</v>
      </c>
      <c r="E1079">
        <v>61.32</v>
      </c>
      <c r="F1079">
        <v>10.029999999999999</v>
      </c>
      <c r="G1079">
        <v>56.93</v>
      </c>
      <c r="H1079">
        <v>4.5</v>
      </c>
      <c r="I1079">
        <v>0.67</v>
      </c>
      <c r="J1079">
        <v>6.22</v>
      </c>
      <c r="K1079">
        <f t="shared" si="170"/>
        <v>69.933333333333337</v>
      </c>
      <c r="L1079">
        <f t="shared" si="171"/>
        <v>61.32</v>
      </c>
      <c r="M1079">
        <f t="shared" si="172"/>
        <v>12.537499999999998</v>
      </c>
      <c r="N1079">
        <f t="shared" si="173"/>
        <v>14.2325</v>
      </c>
      <c r="O1079">
        <f t="shared" si="174"/>
        <v>5.625</v>
      </c>
      <c r="P1079">
        <f t="shared" si="175"/>
        <v>7.6136363636363642</v>
      </c>
      <c r="Q1079">
        <f t="shared" si="176"/>
        <v>5.7592592592592586</v>
      </c>
      <c r="R1079">
        <f t="shared" si="177"/>
        <v>69.933333333333337</v>
      </c>
      <c r="S1079" t="str">
        <f t="shared" si="178"/>
        <v>Satisfactory</v>
      </c>
      <c r="T1079" t="str">
        <f t="shared" si="179"/>
        <v>PM2.5</v>
      </c>
      <c r="U1079">
        <v>24.84</v>
      </c>
      <c r="V1079">
        <v>62.34</v>
      </c>
    </row>
    <row r="1080" spans="1:22" x14ac:dyDescent="0.3">
      <c r="A1080" s="2" t="s">
        <v>15</v>
      </c>
      <c r="B1080">
        <v>560026</v>
      </c>
      <c r="C1080" s="3">
        <v>44574</v>
      </c>
      <c r="D1080">
        <v>41.46</v>
      </c>
      <c r="E1080">
        <v>62.5</v>
      </c>
      <c r="F1080">
        <v>11.77</v>
      </c>
      <c r="G1080">
        <v>55.25</v>
      </c>
      <c r="H1080">
        <v>5.15</v>
      </c>
      <c r="I1080">
        <v>0.7</v>
      </c>
      <c r="J1080">
        <v>7.58</v>
      </c>
      <c r="K1080">
        <f t="shared" si="170"/>
        <v>69.099999999999994</v>
      </c>
      <c r="L1080">
        <f t="shared" si="171"/>
        <v>62.5</v>
      </c>
      <c r="M1080">
        <f t="shared" si="172"/>
        <v>14.7125</v>
      </c>
      <c r="N1080">
        <f t="shared" si="173"/>
        <v>13.8125</v>
      </c>
      <c r="O1080">
        <f t="shared" si="174"/>
        <v>6.4375</v>
      </c>
      <c r="P1080">
        <f t="shared" si="175"/>
        <v>7.9545454545454541</v>
      </c>
      <c r="Q1080">
        <f t="shared" si="176"/>
        <v>7.018518518518519</v>
      </c>
      <c r="R1080">
        <f t="shared" si="177"/>
        <v>69.099999999999994</v>
      </c>
      <c r="S1080" t="str">
        <f t="shared" si="178"/>
        <v>Satisfactory</v>
      </c>
      <c r="T1080" t="str">
        <f t="shared" si="179"/>
        <v>PM2.5</v>
      </c>
      <c r="U1080">
        <v>24.12</v>
      </c>
      <c r="V1080">
        <v>58.77</v>
      </c>
    </row>
    <row r="1081" spans="1:22" x14ac:dyDescent="0.3">
      <c r="A1081" s="2" t="s">
        <v>15</v>
      </c>
      <c r="B1081">
        <v>560026</v>
      </c>
      <c r="C1081" s="3">
        <v>44575</v>
      </c>
      <c r="D1081">
        <v>59.53</v>
      </c>
      <c r="E1081">
        <v>99.84</v>
      </c>
      <c r="F1081">
        <v>11.96</v>
      </c>
      <c r="G1081">
        <v>84.79</v>
      </c>
      <c r="H1081">
        <v>4.96</v>
      </c>
      <c r="I1081">
        <v>1.04</v>
      </c>
      <c r="J1081">
        <v>6.97</v>
      </c>
      <c r="K1081">
        <f t="shared" si="170"/>
        <v>99.216666666666669</v>
      </c>
      <c r="L1081">
        <f t="shared" si="171"/>
        <v>99.84</v>
      </c>
      <c r="M1081">
        <f t="shared" si="172"/>
        <v>14.95</v>
      </c>
      <c r="N1081">
        <f t="shared" si="173"/>
        <v>21.197500000000002</v>
      </c>
      <c r="O1081">
        <f t="shared" si="174"/>
        <v>6.2</v>
      </c>
      <c r="P1081">
        <f t="shared" si="175"/>
        <v>11.818181818181818</v>
      </c>
      <c r="Q1081">
        <f t="shared" si="176"/>
        <v>6.4537037037037033</v>
      </c>
      <c r="R1081">
        <f t="shared" si="177"/>
        <v>99.84</v>
      </c>
      <c r="S1081" t="str">
        <f t="shared" si="178"/>
        <v>Satisfactory</v>
      </c>
      <c r="T1081" t="str">
        <f t="shared" si="179"/>
        <v>PM10</v>
      </c>
      <c r="U1081">
        <v>24.2</v>
      </c>
      <c r="V1081">
        <v>53.91</v>
      </c>
    </row>
    <row r="1082" spans="1:22" x14ac:dyDescent="0.3">
      <c r="A1082" s="2" t="s">
        <v>15</v>
      </c>
      <c r="B1082">
        <v>560026</v>
      </c>
      <c r="C1082" s="3">
        <v>44576</v>
      </c>
      <c r="D1082">
        <v>45.74</v>
      </c>
      <c r="E1082">
        <v>72.599999999999994</v>
      </c>
      <c r="F1082">
        <v>10.93</v>
      </c>
      <c r="G1082">
        <v>60.26</v>
      </c>
      <c r="H1082">
        <v>4.3099999999999996</v>
      </c>
      <c r="I1082">
        <v>0.7</v>
      </c>
      <c r="J1082">
        <v>8.43</v>
      </c>
      <c r="K1082">
        <f t="shared" si="170"/>
        <v>76.233333333333334</v>
      </c>
      <c r="L1082">
        <f t="shared" si="171"/>
        <v>72.599999999999994</v>
      </c>
      <c r="M1082">
        <f t="shared" si="172"/>
        <v>13.6625</v>
      </c>
      <c r="N1082">
        <f t="shared" si="173"/>
        <v>15.065</v>
      </c>
      <c r="O1082">
        <f t="shared" si="174"/>
        <v>5.3874999999999993</v>
      </c>
      <c r="P1082">
        <f t="shared" si="175"/>
        <v>7.9545454545454541</v>
      </c>
      <c r="Q1082">
        <f t="shared" si="176"/>
        <v>7.8055555555555554</v>
      </c>
      <c r="R1082">
        <f t="shared" si="177"/>
        <v>76.233333333333334</v>
      </c>
      <c r="S1082" t="str">
        <f t="shared" si="178"/>
        <v>Satisfactory</v>
      </c>
      <c r="T1082" t="str">
        <f t="shared" si="179"/>
        <v>PM2.5</v>
      </c>
      <c r="U1082">
        <v>25.41</v>
      </c>
      <c r="V1082">
        <v>51.58</v>
      </c>
    </row>
    <row r="1083" spans="1:22" x14ac:dyDescent="0.3">
      <c r="A1083" s="2" t="s">
        <v>15</v>
      </c>
      <c r="B1083">
        <v>560026</v>
      </c>
      <c r="C1083" s="3">
        <v>44577</v>
      </c>
      <c r="D1083">
        <v>32.71</v>
      </c>
      <c r="E1083">
        <v>43.39</v>
      </c>
      <c r="F1083">
        <v>7.72</v>
      </c>
      <c r="G1083">
        <v>50.88</v>
      </c>
      <c r="H1083">
        <v>4.54</v>
      </c>
      <c r="I1083">
        <v>0.42</v>
      </c>
      <c r="J1083">
        <v>6.7</v>
      </c>
      <c r="K1083">
        <f t="shared" si="170"/>
        <v>54.516666666666666</v>
      </c>
      <c r="L1083">
        <f t="shared" si="171"/>
        <v>43.39</v>
      </c>
      <c r="M1083">
        <f t="shared" si="172"/>
        <v>9.65</v>
      </c>
      <c r="N1083">
        <f t="shared" si="173"/>
        <v>12.72</v>
      </c>
      <c r="O1083">
        <f t="shared" si="174"/>
        <v>5.6749999999999998</v>
      </c>
      <c r="P1083">
        <f t="shared" si="175"/>
        <v>4.7727272727272725</v>
      </c>
      <c r="Q1083">
        <f t="shared" si="176"/>
        <v>6.2037037037037042</v>
      </c>
      <c r="R1083">
        <f t="shared" si="177"/>
        <v>54.516666666666666</v>
      </c>
      <c r="S1083" t="str">
        <f t="shared" si="178"/>
        <v>Satisfactory</v>
      </c>
      <c r="T1083" t="str">
        <f t="shared" si="179"/>
        <v>PM2.5</v>
      </c>
      <c r="U1083">
        <v>24.18</v>
      </c>
      <c r="V1083">
        <v>63.61</v>
      </c>
    </row>
    <row r="1084" spans="1:22" x14ac:dyDescent="0.3">
      <c r="A1084" s="2" t="s">
        <v>15</v>
      </c>
      <c r="B1084">
        <v>560026</v>
      </c>
      <c r="C1084" s="3">
        <v>44578</v>
      </c>
      <c r="D1084">
        <v>31.17</v>
      </c>
      <c r="E1084">
        <v>47.73</v>
      </c>
      <c r="F1084">
        <v>12.83</v>
      </c>
      <c r="G1084">
        <v>64.13</v>
      </c>
      <c r="H1084">
        <v>3.99</v>
      </c>
      <c r="I1084">
        <v>0.69</v>
      </c>
      <c r="J1084">
        <v>6.5</v>
      </c>
      <c r="K1084">
        <f t="shared" si="170"/>
        <v>51.95</v>
      </c>
      <c r="L1084">
        <f t="shared" si="171"/>
        <v>47.73</v>
      </c>
      <c r="M1084">
        <f t="shared" si="172"/>
        <v>16.037500000000001</v>
      </c>
      <c r="N1084">
        <f t="shared" si="173"/>
        <v>16.032499999999999</v>
      </c>
      <c r="O1084">
        <f t="shared" si="174"/>
        <v>4.9874999999999998</v>
      </c>
      <c r="P1084">
        <f t="shared" si="175"/>
        <v>7.8409090909090899</v>
      </c>
      <c r="Q1084">
        <f t="shared" si="176"/>
        <v>6.0185185185185182</v>
      </c>
      <c r="R1084">
        <f t="shared" si="177"/>
        <v>51.95</v>
      </c>
      <c r="S1084" t="str">
        <f t="shared" si="178"/>
        <v>Satisfactory</v>
      </c>
      <c r="T1084" t="str">
        <f t="shared" si="179"/>
        <v>PM2.5</v>
      </c>
      <c r="U1084">
        <v>23.55</v>
      </c>
      <c r="V1084">
        <v>63.89</v>
      </c>
    </row>
    <row r="1085" spans="1:22" x14ac:dyDescent="0.3">
      <c r="A1085" s="2" t="s">
        <v>15</v>
      </c>
      <c r="B1085">
        <v>560026</v>
      </c>
      <c r="C1085" s="3">
        <v>44579</v>
      </c>
      <c r="D1085">
        <v>44.88</v>
      </c>
      <c r="E1085">
        <v>70.38</v>
      </c>
      <c r="F1085">
        <v>15.42</v>
      </c>
      <c r="G1085">
        <v>72.61</v>
      </c>
      <c r="H1085">
        <v>4.1100000000000003</v>
      </c>
      <c r="I1085">
        <v>0.99</v>
      </c>
      <c r="J1085">
        <v>7.52</v>
      </c>
      <c r="K1085">
        <f t="shared" si="170"/>
        <v>74.800000000000011</v>
      </c>
      <c r="L1085">
        <f t="shared" si="171"/>
        <v>70.38</v>
      </c>
      <c r="M1085">
        <f t="shared" si="172"/>
        <v>19.274999999999999</v>
      </c>
      <c r="N1085">
        <f t="shared" si="173"/>
        <v>18.1525</v>
      </c>
      <c r="O1085">
        <f t="shared" si="174"/>
        <v>5.1375000000000011</v>
      </c>
      <c r="P1085">
        <f t="shared" si="175"/>
        <v>11.25</v>
      </c>
      <c r="Q1085">
        <f t="shared" si="176"/>
        <v>6.9629629629629628</v>
      </c>
      <c r="R1085">
        <f t="shared" si="177"/>
        <v>74.800000000000011</v>
      </c>
      <c r="S1085" t="str">
        <f t="shared" si="178"/>
        <v>Satisfactory</v>
      </c>
      <c r="T1085" t="str">
        <f t="shared" si="179"/>
        <v>PM2.5</v>
      </c>
      <c r="U1085">
        <v>23.16</v>
      </c>
      <c r="V1085">
        <v>60.64</v>
      </c>
    </row>
    <row r="1086" spans="1:22" x14ac:dyDescent="0.3">
      <c r="A1086" s="2" t="s">
        <v>15</v>
      </c>
      <c r="B1086">
        <v>560026</v>
      </c>
      <c r="C1086" s="3">
        <v>44580</v>
      </c>
      <c r="D1086">
        <v>64.16</v>
      </c>
      <c r="E1086">
        <v>89.72</v>
      </c>
      <c r="F1086">
        <v>17.21</v>
      </c>
      <c r="G1086">
        <v>76.459999999999994</v>
      </c>
      <c r="H1086">
        <v>4.51</v>
      </c>
      <c r="I1086">
        <v>1.07</v>
      </c>
      <c r="J1086">
        <v>7.6</v>
      </c>
      <c r="K1086">
        <f t="shared" si="170"/>
        <v>113.86666666666666</v>
      </c>
      <c r="L1086">
        <f t="shared" si="171"/>
        <v>89.72</v>
      </c>
      <c r="M1086">
        <f t="shared" si="172"/>
        <v>21.512499999999999</v>
      </c>
      <c r="N1086">
        <f t="shared" si="173"/>
        <v>19.114999999999998</v>
      </c>
      <c r="O1086">
        <f t="shared" si="174"/>
        <v>5.6375000000000002</v>
      </c>
      <c r="P1086">
        <f t="shared" si="175"/>
        <v>12.15909090909091</v>
      </c>
      <c r="Q1086">
        <f t="shared" si="176"/>
        <v>7.0370370370370363</v>
      </c>
      <c r="R1086">
        <f t="shared" si="177"/>
        <v>113.86666666666666</v>
      </c>
      <c r="S1086" t="str">
        <f t="shared" si="178"/>
        <v>Moderate</v>
      </c>
      <c r="T1086" t="str">
        <f t="shared" si="179"/>
        <v>PM2.5</v>
      </c>
      <c r="U1086">
        <v>23.99</v>
      </c>
      <c r="V1086">
        <v>55.41</v>
      </c>
    </row>
    <row r="1087" spans="1:22" x14ac:dyDescent="0.3">
      <c r="A1087" s="2" t="s">
        <v>15</v>
      </c>
      <c r="B1087">
        <v>560026</v>
      </c>
      <c r="C1087" s="3">
        <v>44581</v>
      </c>
      <c r="D1087">
        <v>77.400000000000006</v>
      </c>
      <c r="E1087">
        <v>121.69</v>
      </c>
      <c r="F1087">
        <v>14.34</v>
      </c>
      <c r="G1087">
        <v>101.67</v>
      </c>
      <c r="H1087">
        <v>4.83</v>
      </c>
      <c r="I1087">
        <v>1.38</v>
      </c>
      <c r="J1087">
        <v>6.93</v>
      </c>
      <c r="K1087">
        <f t="shared" si="170"/>
        <v>158</v>
      </c>
      <c r="L1087">
        <f t="shared" si="171"/>
        <v>114.46000000000001</v>
      </c>
      <c r="M1087">
        <f t="shared" si="172"/>
        <v>17.925000000000001</v>
      </c>
      <c r="N1087">
        <f t="shared" si="173"/>
        <v>25.4175</v>
      </c>
      <c r="O1087">
        <f t="shared" si="174"/>
        <v>6.0374999999999996</v>
      </c>
      <c r="P1087">
        <f t="shared" si="175"/>
        <v>15.68181818181818</v>
      </c>
      <c r="Q1087">
        <f t="shared" si="176"/>
        <v>6.4166666666666661</v>
      </c>
      <c r="R1087">
        <f t="shared" si="177"/>
        <v>158</v>
      </c>
      <c r="S1087" t="str">
        <f t="shared" si="178"/>
        <v>Moderate</v>
      </c>
      <c r="T1087" t="str">
        <f t="shared" si="179"/>
        <v>PM2.5</v>
      </c>
      <c r="U1087">
        <v>24.37</v>
      </c>
      <c r="V1087">
        <v>48.66</v>
      </c>
    </row>
    <row r="1088" spans="1:22" x14ac:dyDescent="0.3">
      <c r="A1088" s="2" t="s">
        <v>15</v>
      </c>
      <c r="B1088">
        <v>560026</v>
      </c>
      <c r="C1088" s="3">
        <v>44584</v>
      </c>
      <c r="D1088">
        <v>57.62</v>
      </c>
      <c r="E1088">
        <v>96.97</v>
      </c>
      <c r="F1088">
        <v>9.82</v>
      </c>
      <c r="G1088">
        <v>53.22</v>
      </c>
      <c r="H1088">
        <v>4.7</v>
      </c>
      <c r="I1088">
        <v>0.94</v>
      </c>
      <c r="J1088">
        <v>5.94</v>
      </c>
      <c r="K1088">
        <f t="shared" si="170"/>
        <v>96.033333333333331</v>
      </c>
      <c r="L1088">
        <f t="shared" si="171"/>
        <v>96.97</v>
      </c>
      <c r="M1088">
        <f t="shared" si="172"/>
        <v>12.275</v>
      </c>
      <c r="N1088">
        <f t="shared" si="173"/>
        <v>13.305</v>
      </c>
      <c r="O1088">
        <f t="shared" si="174"/>
        <v>5.875</v>
      </c>
      <c r="P1088">
        <f t="shared" si="175"/>
        <v>10.681818181818182</v>
      </c>
      <c r="Q1088">
        <f t="shared" si="176"/>
        <v>5.5</v>
      </c>
      <c r="R1088">
        <f t="shared" si="177"/>
        <v>96.97</v>
      </c>
      <c r="S1088" t="str">
        <f t="shared" si="178"/>
        <v>Satisfactory</v>
      </c>
      <c r="T1088" t="str">
        <f t="shared" si="179"/>
        <v>PM10</v>
      </c>
      <c r="U1088">
        <v>24.9</v>
      </c>
      <c r="V1088">
        <v>45.69</v>
      </c>
    </row>
    <row r="1089" spans="1:22" x14ac:dyDescent="0.3">
      <c r="A1089" s="2" t="s">
        <v>15</v>
      </c>
      <c r="B1089">
        <v>560026</v>
      </c>
      <c r="C1089" s="3">
        <v>44585</v>
      </c>
      <c r="D1089">
        <v>46.12</v>
      </c>
      <c r="E1089">
        <v>84.04</v>
      </c>
      <c r="F1089">
        <v>12.45</v>
      </c>
      <c r="G1089">
        <v>47.24</v>
      </c>
      <c r="H1089">
        <v>4.79</v>
      </c>
      <c r="I1089">
        <v>0.92</v>
      </c>
      <c r="J1089">
        <v>7.49</v>
      </c>
      <c r="K1089">
        <f t="shared" si="170"/>
        <v>76.86666666666666</v>
      </c>
      <c r="L1089">
        <f t="shared" si="171"/>
        <v>84.04</v>
      </c>
      <c r="M1089">
        <f t="shared" si="172"/>
        <v>15.5625</v>
      </c>
      <c r="N1089">
        <f t="shared" si="173"/>
        <v>11.81</v>
      </c>
      <c r="O1089">
        <f t="shared" si="174"/>
        <v>5.9874999999999998</v>
      </c>
      <c r="P1089">
        <f t="shared" si="175"/>
        <v>10.454545454545455</v>
      </c>
      <c r="Q1089">
        <f t="shared" si="176"/>
        <v>6.9351851851851851</v>
      </c>
      <c r="R1089">
        <f t="shared" si="177"/>
        <v>84.04</v>
      </c>
      <c r="S1089" t="str">
        <f t="shared" si="178"/>
        <v>Satisfactory</v>
      </c>
      <c r="T1089" t="str">
        <f t="shared" si="179"/>
        <v>PM10</v>
      </c>
      <c r="U1089">
        <v>24.21</v>
      </c>
      <c r="V1089">
        <v>47.41</v>
      </c>
    </row>
    <row r="1090" spans="1:22" x14ac:dyDescent="0.3">
      <c r="A1090" s="2" t="s">
        <v>15</v>
      </c>
      <c r="B1090">
        <v>560026</v>
      </c>
      <c r="C1090" s="3">
        <v>44586</v>
      </c>
      <c r="D1090">
        <v>68.73</v>
      </c>
      <c r="E1090">
        <v>126.79</v>
      </c>
      <c r="F1090">
        <v>12.31</v>
      </c>
      <c r="G1090">
        <v>54.61</v>
      </c>
      <c r="H1090">
        <v>4.96</v>
      </c>
      <c r="I1090">
        <v>0.84</v>
      </c>
      <c r="J1090">
        <v>7.02</v>
      </c>
      <c r="K1090">
        <f t="shared" si="170"/>
        <v>129.10000000000002</v>
      </c>
      <c r="L1090">
        <f t="shared" si="171"/>
        <v>117.86</v>
      </c>
      <c r="M1090">
        <f t="shared" si="172"/>
        <v>15.387499999999999</v>
      </c>
      <c r="N1090">
        <f t="shared" si="173"/>
        <v>13.6525</v>
      </c>
      <c r="O1090">
        <f t="shared" si="174"/>
        <v>6.2</v>
      </c>
      <c r="P1090">
        <f t="shared" si="175"/>
        <v>9.545454545454545</v>
      </c>
      <c r="Q1090">
        <f t="shared" si="176"/>
        <v>6.5</v>
      </c>
      <c r="R1090">
        <f t="shared" si="177"/>
        <v>129.10000000000002</v>
      </c>
      <c r="S1090" t="str">
        <f t="shared" si="178"/>
        <v>Moderate</v>
      </c>
      <c r="T1090" t="str">
        <f t="shared" si="179"/>
        <v>PM2.5</v>
      </c>
      <c r="U1090">
        <v>24.17</v>
      </c>
      <c r="V1090">
        <v>48.43</v>
      </c>
    </row>
    <row r="1091" spans="1:22" x14ac:dyDescent="0.3">
      <c r="A1091" s="2" t="s">
        <v>15</v>
      </c>
      <c r="B1091">
        <v>560026</v>
      </c>
      <c r="C1091" s="3">
        <v>44587</v>
      </c>
      <c r="D1091">
        <v>46.64</v>
      </c>
      <c r="E1091">
        <v>82.76</v>
      </c>
      <c r="F1091">
        <v>11.44</v>
      </c>
      <c r="G1091">
        <v>34.42</v>
      </c>
      <c r="H1091">
        <v>4.99</v>
      </c>
      <c r="I1091">
        <v>0.56000000000000005</v>
      </c>
      <c r="J1091">
        <v>8.4700000000000006</v>
      </c>
      <c r="K1091">
        <f t="shared" si="170"/>
        <v>77.733333333333334</v>
      </c>
      <c r="L1091">
        <f t="shared" si="171"/>
        <v>82.76</v>
      </c>
      <c r="M1091">
        <f t="shared" si="172"/>
        <v>14.3</v>
      </c>
      <c r="N1091">
        <f t="shared" si="173"/>
        <v>8.6050000000000004</v>
      </c>
      <c r="O1091">
        <f t="shared" si="174"/>
        <v>6.2374999999999998</v>
      </c>
      <c r="P1091">
        <f t="shared" si="175"/>
        <v>6.3636363636363642</v>
      </c>
      <c r="Q1091">
        <f t="shared" si="176"/>
        <v>7.8425925925925934</v>
      </c>
      <c r="R1091">
        <f t="shared" si="177"/>
        <v>82.76</v>
      </c>
      <c r="S1091" t="str">
        <f t="shared" si="178"/>
        <v>Satisfactory</v>
      </c>
      <c r="T1091" t="str">
        <f t="shared" si="179"/>
        <v>PM10</v>
      </c>
      <c r="U1091">
        <v>24.19</v>
      </c>
      <c r="V1091">
        <v>57.86</v>
      </c>
    </row>
    <row r="1092" spans="1:22" x14ac:dyDescent="0.3">
      <c r="A1092" s="2" t="s">
        <v>15</v>
      </c>
      <c r="B1092">
        <v>560026</v>
      </c>
      <c r="C1092" s="3">
        <v>44588</v>
      </c>
      <c r="D1092">
        <v>43.75</v>
      </c>
      <c r="E1092">
        <v>77.760000000000005</v>
      </c>
      <c r="F1092">
        <v>13.15</v>
      </c>
      <c r="G1092">
        <v>33.42</v>
      </c>
      <c r="H1092">
        <v>4.8099999999999996</v>
      </c>
      <c r="I1092">
        <v>0.65</v>
      </c>
      <c r="J1092">
        <v>6.41</v>
      </c>
      <c r="K1092">
        <f t="shared" si="170"/>
        <v>72.916666666666671</v>
      </c>
      <c r="L1092">
        <f t="shared" si="171"/>
        <v>77.760000000000005</v>
      </c>
      <c r="M1092">
        <f t="shared" si="172"/>
        <v>16.4375</v>
      </c>
      <c r="N1092">
        <f t="shared" si="173"/>
        <v>8.3550000000000004</v>
      </c>
      <c r="O1092">
        <f t="shared" si="174"/>
        <v>6.0124999999999993</v>
      </c>
      <c r="P1092">
        <f t="shared" si="175"/>
        <v>7.3863636363636367</v>
      </c>
      <c r="Q1092">
        <f t="shared" si="176"/>
        <v>5.9351851851851851</v>
      </c>
      <c r="R1092">
        <f t="shared" si="177"/>
        <v>77.760000000000005</v>
      </c>
      <c r="S1092" t="str">
        <f t="shared" si="178"/>
        <v>Satisfactory</v>
      </c>
      <c r="T1092" t="str">
        <f t="shared" si="179"/>
        <v>PM10</v>
      </c>
      <c r="U1092">
        <v>23.84</v>
      </c>
      <c r="V1092">
        <v>64.5</v>
      </c>
    </row>
    <row r="1093" spans="1:22" x14ac:dyDescent="0.3">
      <c r="A1093" s="2" t="s">
        <v>15</v>
      </c>
      <c r="B1093">
        <v>560026</v>
      </c>
      <c r="C1093" s="3">
        <v>44589</v>
      </c>
      <c r="D1093">
        <v>58.67</v>
      </c>
      <c r="E1093">
        <v>112.62</v>
      </c>
      <c r="F1093">
        <v>16.77</v>
      </c>
      <c r="G1093">
        <v>39.1</v>
      </c>
      <c r="H1093">
        <v>4.22</v>
      </c>
      <c r="I1093">
        <v>0.77</v>
      </c>
      <c r="J1093">
        <v>5.77</v>
      </c>
      <c r="K1093">
        <f t="shared" si="170"/>
        <v>97.783333333333331</v>
      </c>
      <c r="L1093">
        <f t="shared" si="171"/>
        <v>108.41333333333334</v>
      </c>
      <c r="M1093">
        <f t="shared" si="172"/>
        <v>20.962499999999999</v>
      </c>
      <c r="N1093">
        <f t="shared" si="173"/>
        <v>9.7750000000000004</v>
      </c>
      <c r="O1093">
        <f t="shared" si="174"/>
        <v>5.2750000000000004</v>
      </c>
      <c r="P1093">
        <f t="shared" si="175"/>
        <v>8.75</v>
      </c>
      <c r="Q1093">
        <f t="shared" si="176"/>
        <v>5.3425925925925926</v>
      </c>
      <c r="R1093">
        <f t="shared" si="177"/>
        <v>108.41333333333334</v>
      </c>
      <c r="S1093" t="str">
        <f t="shared" si="178"/>
        <v>Moderate</v>
      </c>
      <c r="T1093" t="str">
        <f t="shared" si="179"/>
        <v>PM10</v>
      </c>
      <c r="U1093">
        <v>23.01</v>
      </c>
      <c r="V1093">
        <v>64.22</v>
      </c>
    </row>
    <row r="1094" spans="1:22" x14ac:dyDescent="0.3">
      <c r="A1094" s="2" t="s">
        <v>15</v>
      </c>
      <c r="B1094">
        <v>560026</v>
      </c>
      <c r="C1094" s="3">
        <v>44590</v>
      </c>
      <c r="D1094">
        <v>65.11</v>
      </c>
      <c r="E1094">
        <v>119.25</v>
      </c>
      <c r="F1094">
        <v>18.54</v>
      </c>
      <c r="G1094">
        <v>41.82</v>
      </c>
      <c r="H1094">
        <v>4.67</v>
      </c>
      <c r="I1094">
        <v>0.89</v>
      </c>
      <c r="J1094">
        <v>7.09</v>
      </c>
      <c r="K1094">
        <f t="shared" si="170"/>
        <v>117.03333333333333</v>
      </c>
      <c r="L1094">
        <f t="shared" si="171"/>
        <v>112.83333333333333</v>
      </c>
      <c r="M1094">
        <f t="shared" si="172"/>
        <v>23.175000000000001</v>
      </c>
      <c r="N1094">
        <f t="shared" si="173"/>
        <v>10.455</v>
      </c>
      <c r="O1094">
        <f t="shared" si="174"/>
        <v>5.8375000000000004</v>
      </c>
      <c r="P1094">
        <f t="shared" si="175"/>
        <v>10.113636363636363</v>
      </c>
      <c r="Q1094">
        <f t="shared" si="176"/>
        <v>6.5648148148148149</v>
      </c>
      <c r="R1094">
        <f t="shared" si="177"/>
        <v>117.03333333333333</v>
      </c>
      <c r="S1094" t="str">
        <f t="shared" si="178"/>
        <v>Moderate</v>
      </c>
      <c r="T1094" t="str">
        <f t="shared" si="179"/>
        <v>PM2.5</v>
      </c>
      <c r="U1094">
        <v>23.43</v>
      </c>
      <c r="V1094">
        <v>62.51</v>
      </c>
    </row>
    <row r="1095" spans="1:22" x14ac:dyDescent="0.3">
      <c r="A1095" s="2" t="s">
        <v>15</v>
      </c>
      <c r="B1095">
        <v>560026</v>
      </c>
      <c r="C1095" s="3">
        <v>44591</v>
      </c>
      <c r="D1095">
        <v>65.540000000000006</v>
      </c>
      <c r="E1095">
        <v>102.36</v>
      </c>
      <c r="F1095">
        <v>13.62</v>
      </c>
      <c r="G1095">
        <v>37.369999999999997</v>
      </c>
      <c r="H1095">
        <v>5.18</v>
      </c>
      <c r="I1095">
        <v>0.79</v>
      </c>
      <c r="J1095">
        <v>7.53</v>
      </c>
      <c r="K1095">
        <f t="shared" si="170"/>
        <v>118.4666666666667</v>
      </c>
      <c r="L1095">
        <f t="shared" si="171"/>
        <v>101.57333333333334</v>
      </c>
      <c r="M1095">
        <f t="shared" si="172"/>
        <v>17.024999999999999</v>
      </c>
      <c r="N1095">
        <f t="shared" si="173"/>
        <v>9.3424999999999994</v>
      </c>
      <c r="O1095">
        <f t="shared" si="174"/>
        <v>6.4749999999999996</v>
      </c>
      <c r="P1095">
        <f t="shared" si="175"/>
        <v>8.9772727272727266</v>
      </c>
      <c r="Q1095">
        <f t="shared" si="176"/>
        <v>6.9722222222222223</v>
      </c>
      <c r="R1095">
        <f t="shared" si="177"/>
        <v>118.4666666666667</v>
      </c>
      <c r="S1095" t="str">
        <f t="shared" si="178"/>
        <v>Moderate</v>
      </c>
      <c r="T1095" t="str">
        <f t="shared" si="179"/>
        <v>PM2.5</v>
      </c>
      <c r="U1095">
        <v>25.28</v>
      </c>
      <c r="V1095">
        <v>61.09</v>
      </c>
    </row>
    <row r="1096" spans="1:22" x14ac:dyDescent="0.3">
      <c r="A1096" s="2" t="s">
        <v>15</v>
      </c>
      <c r="B1096">
        <v>560026</v>
      </c>
      <c r="C1096" s="3">
        <v>44592</v>
      </c>
      <c r="D1096">
        <v>77.510000000000005</v>
      </c>
      <c r="E1096">
        <v>110.04</v>
      </c>
      <c r="F1096">
        <v>19.93</v>
      </c>
      <c r="G1096">
        <v>39.83</v>
      </c>
      <c r="H1096">
        <v>4.8099999999999996</v>
      </c>
      <c r="I1096">
        <v>1.06</v>
      </c>
      <c r="J1096">
        <v>7.6</v>
      </c>
      <c r="K1096">
        <f t="shared" si="170"/>
        <v>158.36666666666667</v>
      </c>
      <c r="L1096">
        <f t="shared" si="171"/>
        <v>106.69333333333334</v>
      </c>
      <c r="M1096">
        <f t="shared" si="172"/>
        <v>24.912500000000001</v>
      </c>
      <c r="N1096">
        <f t="shared" si="173"/>
        <v>9.9574999999999996</v>
      </c>
      <c r="O1096">
        <f t="shared" si="174"/>
        <v>6.0124999999999993</v>
      </c>
      <c r="P1096">
        <f t="shared" si="175"/>
        <v>12.045454545454545</v>
      </c>
      <c r="Q1096">
        <f t="shared" si="176"/>
        <v>7.0370370370370363</v>
      </c>
      <c r="R1096">
        <f t="shared" si="177"/>
        <v>158.36666666666667</v>
      </c>
      <c r="S1096" t="str">
        <f t="shared" si="178"/>
        <v>Moderate</v>
      </c>
      <c r="T1096" t="str">
        <f t="shared" si="179"/>
        <v>PM2.5</v>
      </c>
      <c r="U1096">
        <v>26.09</v>
      </c>
      <c r="V1096">
        <v>59.84</v>
      </c>
    </row>
    <row r="1097" spans="1:22" x14ac:dyDescent="0.3">
      <c r="A1097" s="2" t="s">
        <v>15</v>
      </c>
      <c r="B1097">
        <v>560026</v>
      </c>
      <c r="C1097" s="3">
        <v>44594</v>
      </c>
      <c r="D1097">
        <v>75.42</v>
      </c>
      <c r="E1097">
        <v>121.99</v>
      </c>
      <c r="F1097">
        <v>17.420000000000002</v>
      </c>
      <c r="G1097">
        <v>45.14</v>
      </c>
      <c r="H1097">
        <v>4.6100000000000003</v>
      </c>
      <c r="I1097">
        <v>0.96</v>
      </c>
      <c r="J1097">
        <v>5.95</v>
      </c>
      <c r="K1097">
        <f t="shared" si="170"/>
        <v>151.4</v>
      </c>
      <c r="L1097">
        <f t="shared" si="171"/>
        <v>114.66</v>
      </c>
      <c r="M1097">
        <f t="shared" si="172"/>
        <v>21.775000000000002</v>
      </c>
      <c r="N1097">
        <f t="shared" si="173"/>
        <v>11.285</v>
      </c>
      <c r="O1097">
        <f t="shared" si="174"/>
        <v>5.7625000000000011</v>
      </c>
      <c r="P1097">
        <f t="shared" si="175"/>
        <v>10.909090909090908</v>
      </c>
      <c r="Q1097">
        <f t="shared" si="176"/>
        <v>5.5092592592592595</v>
      </c>
      <c r="R1097">
        <f t="shared" si="177"/>
        <v>151.4</v>
      </c>
      <c r="S1097" t="str">
        <f t="shared" si="178"/>
        <v>Moderate</v>
      </c>
      <c r="T1097" t="str">
        <f t="shared" si="179"/>
        <v>PM2.5</v>
      </c>
      <c r="U1097">
        <v>25.95</v>
      </c>
      <c r="V1097">
        <v>55.57</v>
      </c>
    </row>
    <row r="1098" spans="1:22" x14ac:dyDescent="0.3">
      <c r="A1098" s="2" t="s">
        <v>15</v>
      </c>
      <c r="B1098">
        <v>560026</v>
      </c>
      <c r="C1098" s="3">
        <v>44595</v>
      </c>
      <c r="D1098">
        <v>60.8</v>
      </c>
      <c r="E1098">
        <v>114.16</v>
      </c>
      <c r="F1098">
        <v>15.15</v>
      </c>
      <c r="G1098">
        <v>38.35</v>
      </c>
      <c r="H1098">
        <v>4.6900000000000004</v>
      </c>
      <c r="I1098">
        <v>0.88</v>
      </c>
      <c r="J1098">
        <v>6.63</v>
      </c>
      <c r="K1098">
        <f t="shared" si="170"/>
        <v>102.66666666666666</v>
      </c>
      <c r="L1098">
        <f t="shared" si="171"/>
        <v>109.44</v>
      </c>
      <c r="M1098">
        <f t="shared" si="172"/>
        <v>18.9375</v>
      </c>
      <c r="N1098">
        <f t="shared" si="173"/>
        <v>9.5875000000000004</v>
      </c>
      <c r="O1098">
        <f t="shared" si="174"/>
        <v>5.8625000000000007</v>
      </c>
      <c r="P1098">
        <f t="shared" si="175"/>
        <v>10</v>
      </c>
      <c r="Q1098">
        <f t="shared" si="176"/>
        <v>6.1388888888888884</v>
      </c>
      <c r="R1098">
        <f t="shared" si="177"/>
        <v>109.44</v>
      </c>
      <c r="S1098" t="str">
        <f t="shared" si="178"/>
        <v>Moderate</v>
      </c>
      <c r="T1098" t="str">
        <f t="shared" si="179"/>
        <v>PM10</v>
      </c>
      <c r="U1098">
        <v>24.94</v>
      </c>
      <c r="V1098">
        <v>59.52</v>
      </c>
    </row>
    <row r="1099" spans="1:22" x14ac:dyDescent="0.3">
      <c r="A1099" s="2" t="s">
        <v>15</v>
      </c>
      <c r="B1099">
        <v>560026</v>
      </c>
      <c r="C1099" s="3">
        <v>44596</v>
      </c>
      <c r="D1099">
        <v>76.239999999999995</v>
      </c>
      <c r="E1099">
        <v>137.07</v>
      </c>
      <c r="F1099">
        <v>15.18</v>
      </c>
      <c r="G1099">
        <v>43.98</v>
      </c>
      <c r="H1099">
        <v>4.55</v>
      </c>
      <c r="I1099">
        <v>1.1100000000000001</v>
      </c>
      <c r="J1099">
        <v>6.28</v>
      </c>
      <c r="K1099">
        <f t="shared" si="170"/>
        <v>154.13333333333333</v>
      </c>
      <c r="L1099">
        <f t="shared" si="171"/>
        <v>124.71333333333332</v>
      </c>
      <c r="M1099">
        <f t="shared" si="172"/>
        <v>18.975000000000001</v>
      </c>
      <c r="N1099">
        <f t="shared" si="173"/>
        <v>10.994999999999999</v>
      </c>
      <c r="O1099">
        <f t="shared" si="174"/>
        <v>5.6875</v>
      </c>
      <c r="P1099">
        <f t="shared" si="175"/>
        <v>12.613636363636365</v>
      </c>
      <c r="Q1099">
        <f t="shared" si="176"/>
        <v>5.8148148148148149</v>
      </c>
      <c r="R1099">
        <f t="shared" si="177"/>
        <v>154.13333333333333</v>
      </c>
      <c r="S1099" t="str">
        <f t="shared" si="178"/>
        <v>Moderate</v>
      </c>
      <c r="T1099" t="str">
        <f t="shared" si="179"/>
        <v>PM2.5</v>
      </c>
      <c r="U1099">
        <v>25.36</v>
      </c>
      <c r="V1099">
        <v>48.74</v>
      </c>
    </row>
    <row r="1100" spans="1:22" x14ac:dyDescent="0.3">
      <c r="A1100" s="2" t="s">
        <v>15</v>
      </c>
      <c r="B1100">
        <v>560026</v>
      </c>
      <c r="C1100" s="3">
        <v>44597</v>
      </c>
      <c r="D1100">
        <v>64.400000000000006</v>
      </c>
      <c r="E1100">
        <v>114.49</v>
      </c>
      <c r="F1100">
        <v>17.03</v>
      </c>
      <c r="G1100">
        <v>46.58</v>
      </c>
      <c r="H1100">
        <v>4.93</v>
      </c>
      <c r="I1100">
        <v>0.95</v>
      </c>
      <c r="J1100">
        <v>6.51</v>
      </c>
      <c r="K1100">
        <f t="shared" si="170"/>
        <v>114.66666666666669</v>
      </c>
      <c r="L1100">
        <f t="shared" si="171"/>
        <v>109.66</v>
      </c>
      <c r="M1100">
        <f t="shared" si="172"/>
        <v>21.287500000000001</v>
      </c>
      <c r="N1100">
        <f t="shared" si="173"/>
        <v>11.645</v>
      </c>
      <c r="O1100">
        <f t="shared" si="174"/>
        <v>6.1624999999999996</v>
      </c>
      <c r="P1100">
        <f t="shared" si="175"/>
        <v>10.795454545454545</v>
      </c>
      <c r="Q1100">
        <f t="shared" si="176"/>
        <v>6.0277777777777777</v>
      </c>
      <c r="R1100">
        <f t="shared" si="177"/>
        <v>114.66666666666669</v>
      </c>
      <c r="S1100" t="str">
        <f t="shared" si="178"/>
        <v>Moderate</v>
      </c>
      <c r="T1100" t="str">
        <f t="shared" si="179"/>
        <v>PM2.5</v>
      </c>
      <c r="U1100">
        <v>25.54</v>
      </c>
      <c r="V1100">
        <v>50.69</v>
      </c>
    </row>
    <row r="1101" spans="1:22" x14ac:dyDescent="0.3">
      <c r="A1101" s="2" t="s">
        <v>15</v>
      </c>
      <c r="B1101">
        <v>560026</v>
      </c>
      <c r="C1101" s="3">
        <v>44598</v>
      </c>
      <c r="D1101">
        <v>52.18</v>
      </c>
      <c r="E1101">
        <v>88.29</v>
      </c>
      <c r="F1101">
        <v>14.68</v>
      </c>
      <c r="G1101">
        <v>42.71</v>
      </c>
      <c r="H1101">
        <v>4.58</v>
      </c>
      <c r="I1101">
        <v>0.69</v>
      </c>
      <c r="J1101">
        <v>5.53</v>
      </c>
      <c r="K1101">
        <f t="shared" si="170"/>
        <v>86.966666666666669</v>
      </c>
      <c r="L1101">
        <f t="shared" si="171"/>
        <v>88.29</v>
      </c>
      <c r="M1101">
        <f t="shared" si="172"/>
        <v>18.350000000000001</v>
      </c>
      <c r="N1101">
        <f t="shared" si="173"/>
        <v>10.6775</v>
      </c>
      <c r="O1101">
        <f t="shared" si="174"/>
        <v>5.7249999999999996</v>
      </c>
      <c r="P1101">
        <f t="shared" si="175"/>
        <v>7.8409090909090899</v>
      </c>
      <c r="Q1101">
        <f t="shared" si="176"/>
        <v>5.1203703703703702</v>
      </c>
      <c r="R1101">
        <f t="shared" si="177"/>
        <v>88.29</v>
      </c>
      <c r="S1101" t="str">
        <f t="shared" si="178"/>
        <v>Satisfactory</v>
      </c>
      <c r="T1101" t="str">
        <f t="shared" si="179"/>
        <v>PM10</v>
      </c>
      <c r="U1101">
        <v>25.3</v>
      </c>
      <c r="V1101">
        <v>59.22</v>
      </c>
    </row>
    <row r="1102" spans="1:22" x14ac:dyDescent="0.3">
      <c r="A1102" s="2" t="s">
        <v>15</v>
      </c>
      <c r="B1102">
        <v>560026</v>
      </c>
      <c r="C1102" s="3">
        <v>44599</v>
      </c>
      <c r="D1102">
        <v>51.73</v>
      </c>
      <c r="E1102">
        <v>92.93</v>
      </c>
      <c r="F1102">
        <v>18.579999999999998</v>
      </c>
      <c r="G1102">
        <v>41.72</v>
      </c>
      <c r="H1102">
        <v>4.79</v>
      </c>
      <c r="I1102">
        <v>0.9</v>
      </c>
      <c r="J1102">
        <v>6.68</v>
      </c>
      <c r="K1102">
        <f t="shared" si="170"/>
        <v>86.216666666666669</v>
      </c>
      <c r="L1102">
        <f t="shared" si="171"/>
        <v>92.93</v>
      </c>
      <c r="M1102">
        <f t="shared" si="172"/>
        <v>23.224999999999998</v>
      </c>
      <c r="N1102">
        <f t="shared" si="173"/>
        <v>10.43</v>
      </c>
      <c r="O1102">
        <f t="shared" si="174"/>
        <v>5.9874999999999998</v>
      </c>
      <c r="P1102">
        <f t="shared" si="175"/>
        <v>10.227272727272727</v>
      </c>
      <c r="Q1102">
        <f t="shared" si="176"/>
        <v>6.1851851851851851</v>
      </c>
      <c r="R1102">
        <f t="shared" si="177"/>
        <v>92.93</v>
      </c>
      <c r="S1102" t="str">
        <f t="shared" si="178"/>
        <v>Satisfactory</v>
      </c>
      <c r="T1102" t="str">
        <f t="shared" si="179"/>
        <v>PM10</v>
      </c>
      <c r="U1102">
        <v>25.18</v>
      </c>
      <c r="V1102">
        <v>59.15</v>
      </c>
    </row>
    <row r="1103" spans="1:22" x14ac:dyDescent="0.3">
      <c r="A1103" s="2" t="s">
        <v>15</v>
      </c>
      <c r="B1103">
        <v>560026</v>
      </c>
      <c r="C1103" s="3">
        <v>44600</v>
      </c>
      <c r="D1103">
        <v>52.54</v>
      </c>
      <c r="E1103">
        <v>105.24</v>
      </c>
      <c r="F1103">
        <v>18.28</v>
      </c>
      <c r="G1103">
        <v>42.44</v>
      </c>
      <c r="H1103">
        <v>4.9000000000000004</v>
      </c>
      <c r="I1103">
        <v>0.88</v>
      </c>
      <c r="J1103">
        <v>6.76</v>
      </c>
      <c r="K1103">
        <f t="shared" si="170"/>
        <v>87.566666666666663</v>
      </c>
      <c r="L1103">
        <f t="shared" si="171"/>
        <v>103.49333333333333</v>
      </c>
      <c r="M1103">
        <f t="shared" si="172"/>
        <v>22.85</v>
      </c>
      <c r="N1103">
        <f t="shared" si="173"/>
        <v>10.61</v>
      </c>
      <c r="O1103">
        <f t="shared" si="174"/>
        <v>6.1250000000000009</v>
      </c>
      <c r="P1103">
        <f t="shared" si="175"/>
        <v>10</v>
      </c>
      <c r="Q1103">
        <f t="shared" si="176"/>
        <v>6.2592592592592595</v>
      </c>
      <c r="R1103">
        <f t="shared" si="177"/>
        <v>103.49333333333333</v>
      </c>
      <c r="S1103" t="str">
        <f t="shared" si="178"/>
        <v>Moderate</v>
      </c>
      <c r="T1103" t="str">
        <f t="shared" si="179"/>
        <v>PM10</v>
      </c>
      <c r="U1103">
        <v>24.61</v>
      </c>
      <c r="V1103">
        <v>57.54</v>
      </c>
    </row>
    <row r="1104" spans="1:22" x14ac:dyDescent="0.3">
      <c r="A1104" s="2" t="s">
        <v>15</v>
      </c>
      <c r="B1104">
        <v>560026</v>
      </c>
      <c r="C1104" s="3">
        <v>44601</v>
      </c>
      <c r="D1104">
        <v>50.28</v>
      </c>
      <c r="E1104">
        <v>104.29</v>
      </c>
      <c r="F1104">
        <v>18.739999999999998</v>
      </c>
      <c r="G1104">
        <v>45.2</v>
      </c>
      <c r="H1104">
        <v>5.28</v>
      </c>
      <c r="I1104">
        <v>0.81</v>
      </c>
      <c r="J1104">
        <v>6.47</v>
      </c>
      <c r="K1104">
        <f t="shared" si="170"/>
        <v>83.8</v>
      </c>
      <c r="L1104">
        <f t="shared" si="171"/>
        <v>102.86</v>
      </c>
      <c r="M1104">
        <f t="shared" si="172"/>
        <v>23.424999999999997</v>
      </c>
      <c r="N1104">
        <f t="shared" si="173"/>
        <v>11.3</v>
      </c>
      <c r="O1104">
        <f t="shared" si="174"/>
        <v>6.6</v>
      </c>
      <c r="P1104">
        <f t="shared" si="175"/>
        <v>9.204545454545455</v>
      </c>
      <c r="Q1104">
        <f t="shared" si="176"/>
        <v>5.9907407407407405</v>
      </c>
      <c r="R1104">
        <f t="shared" si="177"/>
        <v>102.86</v>
      </c>
      <c r="S1104" t="str">
        <f t="shared" si="178"/>
        <v>Moderate</v>
      </c>
      <c r="T1104" t="str">
        <f t="shared" si="179"/>
        <v>PM10</v>
      </c>
      <c r="U1104">
        <v>24</v>
      </c>
      <c r="V1104">
        <v>57.18</v>
      </c>
    </row>
    <row r="1105" spans="1:22" x14ac:dyDescent="0.3">
      <c r="A1105" s="2" t="s">
        <v>15</v>
      </c>
      <c r="B1105">
        <v>560026</v>
      </c>
      <c r="C1105" s="3">
        <v>44602</v>
      </c>
      <c r="D1105">
        <v>70.78</v>
      </c>
      <c r="E1105">
        <v>107.7</v>
      </c>
      <c r="F1105">
        <v>18.53</v>
      </c>
      <c r="G1105">
        <v>52.31</v>
      </c>
      <c r="H1105">
        <v>4.9800000000000004</v>
      </c>
      <c r="I1105">
        <v>1.07</v>
      </c>
      <c r="J1105">
        <v>6.48</v>
      </c>
      <c r="K1105">
        <f t="shared" si="170"/>
        <v>135.93333333333334</v>
      </c>
      <c r="L1105">
        <f t="shared" si="171"/>
        <v>105.13333333333334</v>
      </c>
      <c r="M1105">
        <f t="shared" si="172"/>
        <v>23.162500000000001</v>
      </c>
      <c r="N1105">
        <f t="shared" si="173"/>
        <v>13.077500000000001</v>
      </c>
      <c r="O1105">
        <f t="shared" si="174"/>
        <v>6.2250000000000005</v>
      </c>
      <c r="P1105">
        <f t="shared" si="175"/>
        <v>12.15909090909091</v>
      </c>
      <c r="Q1105">
        <f t="shared" si="176"/>
        <v>6</v>
      </c>
      <c r="R1105">
        <f t="shared" si="177"/>
        <v>135.93333333333334</v>
      </c>
      <c r="S1105" t="str">
        <f t="shared" si="178"/>
        <v>Moderate</v>
      </c>
      <c r="T1105" t="str">
        <f t="shared" si="179"/>
        <v>PM2.5</v>
      </c>
      <c r="U1105">
        <v>24.2</v>
      </c>
      <c r="V1105">
        <v>50.89</v>
      </c>
    </row>
    <row r="1106" spans="1:22" x14ac:dyDescent="0.3">
      <c r="A1106" s="2" t="s">
        <v>15</v>
      </c>
      <c r="B1106">
        <v>560026</v>
      </c>
      <c r="C1106" s="3">
        <v>44603</v>
      </c>
      <c r="D1106">
        <v>62.4</v>
      </c>
      <c r="E1106">
        <v>114.11</v>
      </c>
      <c r="F1106">
        <v>12.98</v>
      </c>
      <c r="G1106">
        <v>57.83</v>
      </c>
      <c r="H1106">
        <v>5</v>
      </c>
      <c r="I1106">
        <v>1.02</v>
      </c>
      <c r="J1106">
        <v>5.9</v>
      </c>
      <c r="K1106">
        <f t="shared" si="170"/>
        <v>108</v>
      </c>
      <c r="L1106">
        <f t="shared" si="171"/>
        <v>109.40666666666667</v>
      </c>
      <c r="M1106">
        <f t="shared" si="172"/>
        <v>16.225000000000001</v>
      </c>
      <c r="N1106">
        <f t="shared" si="173"/>
        <v>14.4575</v>
      </c>
      <c r="O1106">
        <f t="shared" si="174"/>
        <v>6.25</v>
      </c>
      <c r="P1106">
        <f t="shared" si="175"/>
        <v>11.59090909090909</v>
      </c>
      <c r="Q1106">
        <f t="shared" si="176"/>
        <v>5.4629629629629637</v>
      </c>
      <c r="R1106">
        <f t="shared" si="177"/>
        <v>109.40666666666667</v>
      </c>
      <c r="S1106" t="str">
        <f t="shared" si="178"/>
        <v>Moderate</v>
      </c>
      <c r="T1106" t="str">
        <f t="shared" si="179"/>
        <v>PM10</v>
      </c>
      <c r="U1106">
        <v>24.87</v>
      </c>
      <c r="V1106">
        <v>39.950000000000003</v>
      </c>
    </row>
    <row r="1107" spans="1:22" x14ac:dyDescent="0.3">
      <c r="A1107" s="2" t="s">
        <v>15</v>
      </c>
      <c r="B1107">
        <v>560026</v>
      </c>
      <c r="C1107" s="3">
        <v>44604</v>
      </c>
      <c r="D1107">
        <v>44.25</v>
      </c>
      <c r="E1107">
        <v>80.58</v>
      </c>
      <c r="F1107">
        <v>15.24</v>
      </c>
      <c r="G1107">
        <v>50.77</v>
      </c>
      <c r="H1107">
        <v>4.46</v>
      </c>
      <c r="I1107">
        <v>0.79</v>
      </c>
      <c r="J1107">
        <v>6.36</v>
      </c>
      <c r="K1107">
        <f t="shared" si="170"/>
        <v>73.75</v>
      </c>
      <c r="L1107">
        <f t="shared" si="171"/>
        <v>80.58</v>
      </c>
      <c r="M1107">
        <f t="shared" si="172"/>
        <v>19.05</v>
      </c>
      <c r="N1107">
        <f t="shared" si="173"/>
        <v>12.692500000000001</v>
      </c>
      <c r="O1107">
        <f t="shared" si="174"/>
        <v>5.5750000000000002</v>
      </c>
      <c r="P1107">
        <f t="shared" si="175"/>
        <v>8.9772727272727266</v>
      </c>
      <c r="Q1107">
        <f t="shared" si="176"/>
        <v>5.8888888888888893</v>
      </c>
      <c r="R1107">
        <f t="shared" si="177"/>
        <v>80.58</v>
      </c>
      <c r="S1107" t="str">
        <f t="shared" si="178"/>
        <v>Satisfactory</v>
      </c>
      <c r="T1107" t="str">
        <f t="shared" si="179"/>
        <v>PM10</v>
      </c>
      <c r="U1107">
        <v>24.65</v>
      </c>
      <c r="V1107">
        <v>50.91</v>
      </c>
    </row>
    <row r="1108" spans="1:22" x14ac:dyDescent="0.3">
      <c r="A1108" s="2" t="s">
        <v>15</v>
      </c>
      <c r="B1108">
        <v>560026</v>
      </c>
      <c r="C1108" s="3">
        <v>44605</v>
      </c>
      <c r="D1108">
        <v>49.5</v>
      </c>
      <c r="E1108">
        <v>85.14</v>
      </c>
      <c r="F1108">
        <v>16.37</v>
      </c>
      <c r="G1108">
        <v>49.6</v>
      </c>
      <c r="H1108">
        <v>4.6399999999999997</v>
      </c>
      <c r="I1108">
        <v>0.74</v>
      </c>
      <c r="J1108">
        <v>5.99</v>
      </c>
      <c r="K1108">
        <f t="shared" si="170"/>
        <v>82.5</v>
      </c>
      <c r="L1108">
        <f t="shared" si="171"/>
        <v>85.14</v>
      </c>
      <c r="M1108">
        <f t="shared" si="172"/>
        <v>20.462499999999999</v>
      </c>
      <c r="N1108">
        <f t="shared" si="173"/>
        <v>12.4</v>
      </c>
      <c r="O1108">
        <f t="shared" si="174"/>
        <v>5.7999999999999989</v>
      </c>
      <c r="P1108">
        <f t="shared" si="175"/>
        <v>8.4090909090909083</v>
      </c>
      <c r="Q1108">
        <f t="shared" si="176"/>
        <v>5.5462962962962967</v>
      </c>
      <c r="R1108">
        <f t="shared" si="177"/>
        <v>85.14</v>
      </c>
      <c r="S1108" t="str">
        <f t="shared" si="178"/>
        <v>Satisfactory</v>
      </c>
      <c r="T1108" t="str">
        <f t="shared" si="179"/>
        <v>PM10</v>
      </c>
      <c r="U1108">
        <v>24.47</v>
      </c>
      <c r="V1108">
        <v>56.41</v>
      </c>
    </row>
    <row r="1109" spans="1:22" x14ac:dyDescent="0.3">
      <c r="A1109" s="2" t="s">
        <v>15</v>
      </c>
      <c r="B1109">
        <v>560026</v>
      </c>
      <c r="C1109" s="3">
        <v>44606</v>
      </c>
      <c r="D1109">
        <v>52.92</v>
      </c>
      <c r="E1109">
        <v>101.28</v>
      </c>
      <c r="F1109">
        <v>18.059999999999999</v>
      </c>
      <c r="G1109">
        <v>49.69</v>
      </c>
      <c r="H1109">
        <v>4.93</v>
      </c>
      <c r="I1109">
        <v>1.06</v>
      </c>
      <c r="J1109">
        <v>6.9</v>
      </c>
      <c r="K1109">
        <f t="shared" si="170"/>
        <v>88.2</v>
      </c>
      <c r="L1109">
        <f t="shared" si="171"/>
        <v>100.85333333333334</v>
      </c>
      <c r="M1109">
        <f t="shared" si="172"/>
        <v>22.574999999999996</v>
      </c>
      <c r="N1109">
        <f t="shared" si="173"/>
        <v>12.422499999999999</v>
      </c>
      <c r="O1109">
        <f t="shared" si="174"/>
        <v>6.1624999999999996</v>
      </c>
      <c r="P1109">
        <f t="shared" si="175"/>
        <v>12.045454545454545</v>
      </c>
      <c r="Q1109">
        <f t="shared" si="176"/>
        <v>6.3888888888888893</v>
      </c>
      <c r="R1109">
        <f t="shared" si="177"/>
        <v>100.85333333333334</v>
      </c>
      <c r="S1109" t="str">
        <f t="shared" si="178"/>
        <v>Moderate</v>
      </c>
      <c r="T1109" t="str">
        <f t="shared" si="179"/>
        <v>PM10</v>
      </c>
      <c r="U1109">
        <v>24.87</v>
      </c>
      <c r="V1109">
        <v>51.78</v>
      </c>
    </row>
    <row r="1110" spans="1:22" x14ac:dyDescent="0.3">
      <c r="A1110" s="2" t="s">
        <v>15</v>
      </c>
      <c r="B1110">
        <v>560026</v>
      </c>
      <c r="C1110" s="3">
        <v>44607</v>
      </c>
      <c r="D1110">
        <v>59.25</v>
      </c>
      <c r="E1110">
        <v>108.34</v>
      </c>
      <c r="F1110">
        <v>17.03</v>
      </c>
      <c r="G1110">
        <v>52.71</v>
      </c>
      <c r="H1110">
        <v>4.78</v>
      </c>
      <c r="I1110">
        <v>0.9</v>
      </c>
      <c r="J1110">
        <v>5.55</v>
      </c>
      <c r="K1110">
        <f t="shared" si="170"/>
        <v>98.75</v>
      </c>
      <c r="L1110">
        <f t="shared" si="171"/>
        <v>105.56</v>
      </c>
      <c r="M1110">
        <f t="shared" si="172"/>
        <v>21.287500000000001</v>
      </c>
      <c r="N1110">
        <f t="shared" si="173"/>
        <v>13.1775</v>
      </c>
      <c r="O1110">
        <f t="shared" si="174"/>
        <v>5.9749999999999996</v>
      </c>
      <c r="P1110">
        <f t="shared" si="175"/>
        <v>10.227272727272727</v>
      </c>
      <c r="Q1110">
        <f t="shared" si="176"/>
        <v>5.1388888888888884</v>
      </c>
      <c r="R1110">
        <f t="shared" si="177"/>
        <v>105.56</v>
      </c>
      <c r="S1110" t="str">
        <f t="shared" si="178"/>
        <v>Moderate</v>
      </c>
      <c r="T1110" t="str">
        <f t="shared" si="179"/>
        <v>PM10</v>
      </c>
      <c r="U1110">
        <v>24.7</v>
      </c>
      <c r="V1110">
        <v>56.55</v>
      </c>
    </row>
    <row r="1111" spans="1:22" x14ac:dyDescent="0.3">
      <c r="A1111" s="2" t="s">
        <v>15</v>
      </c>
      <c r="B1111">
        <v>560026</v>
      </c>
      <c r="C1111" s="3">
        <v>44608</v>
      </c>
      <c r="D1111">
        <v>71.02</v>
      </c>
      <c r="E1111">
        <v>113.16</v>
      </c>
      <c r="F1111">
        <v>19.420000000000002</v>
      </c>
      <c r="G1111">
        <v>48.53</v>
      </c>
      <c r="H1111">
        <v>5.0199999999999996</v>
      </c>
      <c r="I1111">
        <v>0.92</v>
      </c>
      <c r="J1111">
        <v>7.22</v>
      </c>
      <c r="K1111">
        <f t="shared" si="170"/>
        <v>136.73333333333332</v>
      </c>
      <c r="L1111">
        <f t="shared" si="171"/>
        <v>108.77333333333333</v>
      </c>
      <c r="M1111">
        <f t="shared" si="172"/>
        <v>24.275000000000002</v>
      </c>
      <c r="N1111">
        <f t="shared" si="173"/>
        <v>12.1325</v>
      </c>
      <c r="O1111">
        <f t="shared" si="174"/>
        <v>6.2749999999999995</v>
      </c>
      <c r="P1111">
        <f t="shared" si="175"/>
        <v>10.454545454545455</v>
      </c>
      <c r="Q1111">
        <f t="shared" si="176"/>
        <v>6.6851851851851851</v>
      </c>
      <c r="R1111">
        <f t="shared" si="177"/>
        <v>136.73333333333332</v>
      </c>
      <c r="S1111" t="str">
        <f t="shared" si="178"/>
        <v>Moderate</v>
      </c>
      <c r="T1111" t="str">
        <f t="shared" si="179"/>
        <v>PM2.5</v>
      </c>
      <c r="U1111">
        <v>24.42</v>
      </c>
      <c r="V1111">
        <v>54.14</v>
      </c>
    </row>
    <row r="1112" spans="1:22" x14ac:dyDescent="0.3">
      <c r="A1112" s="2" t="s">
        <v>15</v>
      </c>
      <c r="B1112">
        <v>560026</v>
      </c>
      <c r="C1112" s="3">
        <v>44609</v>
      </c>
      <c r="D1112">
        <v>71.709999999999994</v>
      </c>
      <c r="E1112">
        <v>118.03</v>
      </c>
      <c r="F1112">
        <v>21.07</v>
      </c>
      <c r="G1112">
        <v>46.94</v>
      </c>
      <c r="H1112">
        <v>4.82</v>
      </c>
      <c r="I1112">
        <v>0.92</v>
      </c>
      <c r="J1112">
        <v>7.85</v>
      </c>
      <c r="K1112">
        <f t="shared" si="170"/>
        <v>139.0333333333333</v>
      </c>
      <c r="L1112">
        <f t="shared" si="171"/>
        <v>112.02</v>
      </c>
      <c r="M1112">
        <f t="shared" si="172"/>
        <v>26.337499999999999</v>
      </c>
      <c r="N1112">
        <f t="shared" si="173"/>
        <v>11.734999999999999</v>
      </c>
      <c r="O1112">
        <f t="shared" si="174"/>
        <v>6.0250000000000004</v>
      </c>
      <c r="P1112">
        <f t="shared" si="175"/>
        <v>10.454545454545455</v>
      </c>
      <c r="Q1112">
        <f t="shared" si="176"/>
        <v>7.2685185185185182</v>
      </c>
      <c r="R1112">
        <f t="shared" si="177"/>
        <v>139.0333333333333</v>
      </c>
      <c r="S1112" t="str">
        <f t="shared" si="178"/>
        <v>Moderate</v>
      </c>
      <c r="T1112" t="str">
        <f t="shared" si="179"/>
        <v>PM2.5</v>
      </c>
      <c r="U1112">
        <v>25.29</v>
      </c>
      <c r="V1112">
        <v>49.44</v>
      </c>
    </row>
    <row r="1113" spans="1:22" x14ac:dyDescent="0.3">
      <c r="A1113" s="2" t="s">
        <v>15</v>
      </c>
      <c r="B1113">
        <v>560026</v>
      </c>
      <c r="C1113" s="3">
        <v>44610</v>
      </c>
      <c r="D1113">
        <v>50.51</v>
      </c>
      <c r="E1113">
        <v>95.46</v>
      </c>
      <c r="F1113">
        <v>18.37</v>
      </c>
      <c r="G1113">
        <v>46.82</v>
      </c>
      <c r="H1113">
        <v>4.68</v>
      </c>
      <c r="I1113">
        <v>0.84</v>
      </c>
      <c r="J1113">
        <v>7.19</v>
      </c>
      <c r="K1113">
        <f t="shared" si="170"/>
        <v>84.183333333333337</v>
      </c>
      <c r="L1113">
        <f t="shared" si="171"/>
        <v>95.46</v>
      </c>
      <c r="M1113">
        <f t="shared" si="172"/>
        <v>22.962499999999999</v>
      </c>
      <c r="N1113">
        <f t="shared" si="173"/>
        <v>11.705</v>
      </c>
      <c r="O1113">
        <f t="shared" si="174"/>
        <v>5.85</v>
      </c>
      <c r="P1113">
        <f t="shared" si="175"/>
        <v>9.545454545454545</v>
      </c>
      <c r="Q1113">
        <f t="shared" si="176"/>
        <v>6.6574074074074074</v>
      </c>
      <c r="R1113">
        <f t="shared" si="177"/>
        <v>95.46</v>
      </c>
      <c r="S1113" t="str">
        <f t="shared" si="178"/>
        <v>Satisfactory</v>
      </c>
      <c r="T1113" t="str">
        <f t="shared" si="179"/>
        <v>PM10</v>
      </c>
      <c r="U1113">
        <v>24.31</v>
      </c>
      <c r="V1113">
        <v>53.67</v>
      </c>
    </row>
    <row r="1114" spans="1:22" x14ac:dyDescent="0.3">
      <c r="A1114" s="2" t="s">
        <v>15</v>
      </c>
      <c r="B1114">
        <v>560026</v>
      </c>
      <c r="C1114" s="3">
        <v>44611</v>
      </c>
      <c r="D1114">
        <v>61.18</v>
      </c>
      <c r="E1114">
        <v>94.03</v>
      </c>
      <c r="F1114">
        <v>18.04</v>
      </c>
      <c r="G1114">
        <v>48.68</v>
      </c>
      <c r="H1114">
        <v>4.75</v>
      </c>
      <c r="I1114">
        <v>0.95</v>
      </c>
      <c r="J1114">
        <v>5.93</v>
      </c>
      <c r="K1114">
        <f t="shared" si="170"/>
        <v>103.93333333333334</v>
      </c>
      <c r="L1114">
        <f t="shared" si="171"/>
        <v>94.03</v>
      </c>
      <c r="M1114">
        <f t="shared" si="172"/>
        <v>22.55</v>
      </c>
      <c r="N1114">
        <f t="shared" si="173"/>
        <v>12.17</v>
      </c>
      <c r="O1114">
        <f t="shared" si="174"/>
        <v>5.9375</v>
      </c>
      <c r="P1114">
        <f t="shared" si="175"/>
        <v>10.795454545454545</v>
      </c>
      <c r="Q1114">
        <f t="shared" si="176"/>
        <v>5.4907407407407405</v>
      </c>
      <c r="R1114">
        <f t="shared" si="177"/>
        <v>103.93333333333334</v>
      </c>
      <c r="S1114" t="str">
        <f t="shared" si="178"/>
        <v>Moderate</v>
      </c>
      <c r="T1114" t="str">
        <f t="shared" si="179"/>
        <v>PM2.5</v>
      </c>
      <c r="U1114">
        <v>24.42</v>
      </c>
      <c r="V1114">
        <v>54.48</v>
      </c>
    </row>
    <row r="1115" spans="1:22" x14ac:dyDescent="0.3">
      <c r="A1115" s="2" t="s">
        <v>15</v>
      </c>
      <c r="B1115">
        <v>560026</v>
      </c>
      <c r="C1115" s="3">
        <v>44612</v>
      </c>
      <c r="D1115">
        <v>70.94</v>
      </c>
      <c r="E1115">
        <v>117.45</v>
      </c>
      <c r="F1115">
        <v>16.36</v>
      </c>
      <c r="G1115">
        <v>52.99</v>
      </c>
      <c r="H1115">
        <v>5.17</v>
      </c>
      <c r="I1115">
        <v>1.19</v>
      </c>
      <c r="J1115">
        <v>6.74</v>
      </c>
      <c r="K1115">
        <f t="shared" si="170"/>
        <v>136.46666666666667</v>
      </c>
      <c r="L1115">
        <f t="shared" si="171"/>
        <v>111.63333333333334</v>
      </c>
      <c r="M1115">
        <f t="shared" si="172"/>
        <v>20.45</v>
      </c>
      <c r="N1115">
        <f t="shared" si="173"/>
        <v>13.2475</v>
      </c>
      <c r="O1115">
        <f t="shared" si="174"/>
        <v>6.4625000000000004</v>
      </c>
      <c r="P1115">
        <f t="shared" si="175"/>
        <v>13.522727272727272</v>
      </c>
      <c r="Q1115">
        <f t="shared" si="176"/>
        <v>6.2407407407407414</v>
      </c>
      <c r="R1115">
        <f t="shared" si="177"/>
        <v>136.46666666666667</v>
      </c>
      <c r="S1115" t="str">
        <f t="shared" si="178"/>
        <v>Moderate</v>
      </c>
      <c r="T1115" t="str">
        <f t="shared" si="179"/>
        <v>PM2.5</v>
      </c>
      <c r="U1115">
        <v>26.18</v>
      </c>
      <c r="V1115">
        <v>45.43</v>
      </c>
    </row>
    <row r="1116" spans="1:22" x14ac:dyDescent="0.3">
      <c r="A1116" s="2" t="s">
        <v>15</v>
      </c>
      <c r="B1116">
        <v>560026</v>
      </c>
      <c r="C1116" s="3">
        <v>44613</v>
      </c>
      <c r="D1116">
        <v>70.66</v>
      </c>
      <c r="E1116">
        <v>124.15</v>
      </c>
      <c r="F1116">
        <v>22.64</v>
      </c>
      <c r="G1116">
        <v>53.37</v>
      </c>
      <c r="H1116">
        <v>5.3</v>
      </c>
      <c r="I1116">
        <v>1.34</v>
      </c>
      <c r="J1116">
        <v>6.15</v>
      </c>
      <c r="K1116">
        <f t="shared" si="170"/>
        <v>135.5333333333333</v>
      </c>
      <c r="L1116">
        <f t="shared" si="171"/>
        <v>116.1</v>
      </c>
      <c r="M1116">
        <f t="shared" si="172"/>
        <v>28.3</v>
      </c>
      <c r="N1116">
        <f t="shared" si="173"/>
        <v>13.342499999999999</v>
      </c>
      <c r="O1116">
        <f t="shared" si="174"/>
        <v>6.625</v>
      </c>
      <c r="P1116">
        <f t="shared" si="175"/>
        <v>15.227272727272728</v>
      </c>
      <c r="Q1116">
        <f t="shared" si="176"/>
        <v>5.6944444444444446</v>
      </c>
      <c r="R1116">
        <f t="shared" si="177"/>
        <v>135.5333333333333</v>
      </c>
      <c r="S1116" t="str">
        <f t="shared" si="178"/>
        <v>Moderate</v>
      </c>
      <c r="T1116" t="str">
        <f t="shared" si="179"/>
        <v>PM2.5</v>
      </c>
      <c r="U1116">
        <v>27.09</v>
      </c>
      <c r="V1116">
        <v>46.25</v>
      </c>
    </row>
    <row r="1117" spans="1:22" x14ac:dyDescent="0.3">
      <c r="A1117" s="2" t="s">
        <v>15</v>
      </c>
      <c r="B1117">
        <v>560026</v>
      </c>
      <c r="C1117" s="3">
        <v>44614</v>
      </c>
      <c r="D1117">
        <v>67.02</v>
      </c>
      <c r="E1117">
        <v>110.83</v>
      </c>
      <c r="F1117">
        <v>16.260000000000002</v>
      </c>
      <c r="G1117">
        <v>44.73</v>
      </c>
      <c r="H1117">
        <v>5.3</v>
      </c>
      <c r="I1117">
        <v>0.82</v>
      </c>
      <c r="J1117">
        <v>5.34</v>
      </c>
      <c r="K1117">
        <f t="shared" si="170"/>
        <v>123.39999999999998</v>
      </c>
      <c r="L1117">
        <f t="shared" si="171"/>
        <v>107.22</v>
      </c>
      <c r="M1117">
        <f t="shared" si="172"/>
        <v>20.325000000000003</v>
      </c>
      <c r="N1117">
        <f t="shared" si="173"/>
        <v>11.182499999999999</v>
      </c>
      <c r="O1117">
        <f t="shared" si="174"/>
        <v>6.625</v>
      </c>
      <c r="P1117">
        <f t="shared" si="175"/>
        <v>9.3181818181818166</v>
      </c>
      <c r="Q1117">
        <f t="shared" si="176"/>
        <v>4.9444444444444446</v>
      </c>
      <c r="R1117">
        <f t="shared" si="177"/>
        <v>123.39999999999998</v>
      </c>
      <c r="S1117" t="str">
        <f t="shared" si="178"/>
        <v>Moderate</v>
      </c>
      <c r="T1117" t="str">
        <f t="shared" si="179"/>
        <v>PM2.5</v>
      </c>
      <c r="U1117">
        <v>27.14</v>
      </c>
      <c r="V1117">
        <v>51.27</v>
      </c>
    </row>
    <row r="1118" spans="1:22" x14ac:dyDescent="0.3">
      <c r="A1118" s="2" t="s">
        <v>15</v>
      </c>
      <c r="B1118">
        <v>560026</v>
      </c>
      <c r="C1118" s="3">
        <v>44615</v>
      </c>
      <c r="D1118">
        <v>51.13</v>
      </c>
      <c r="E1118">
        <v>84.25</v>
      </c>
      <c r="F1118">
        <v>17.46</v>
      </c>
      <c r="G1118">
        <v>43.26</v>
      </c>
      <c r="H1118">
        <v>4.34</v>
      </c>
      <c r="I1118">
        <v>0.76</v>
      </c>
      <c r="J1118">
        <v>5.14</v>
      </c>
      <c r="K1118">
        <f t="shared" si="170"/>
        <v>85.216666666666669</v>
      </c>
      <c r="L1118">
        <f t="shared" si="171"/>
        <v>84.25</v>
      </c>
      <c r="M1118">
        <f t="shared" si="172"/>
        <v>21.824999999999999</v>
      </c>
      <c r="N1118">
        <f t="shared" si="173"/>
        <v>10.815</v>
      </c>
      <c r="O1118">
        <f t="shared" si="174"/>
        <v>5.4249999999999998</v>
      </c>
      <c r="P1118">
        <f t="shared" si="175"/>
        <v>8.6363636363636367</v>
      </c>
      <c r="Q1118">
        <f t="shared" si="176"/>
        <v>4.7592592592592586</v>
      </c>
      <c r="R1118">
        <f t="shared" si="177"/>
        <v>85.216666666666669</v>
      </c>
      <c r="S1118" t="str">
        <f t="shared" si="178"/>
        <v>Satisfactory</v>
      </c>
      <c r="T1118" t="str">
        <f t="shared" si="179"/>
        <v>PM2.5</v>
      </c>
      <c r="U1118">
        <v>25.52</v>
      </c>
      <c r="V1118">
        <v>52.14</v>
      </c>
    </row>
    <row r="1119" spans="1:22" x14ac:dyDescent="0.3">
      <c r="A1119" s="2" t="s">
        <v>15</v>
      </c>
      <c r="B1119">
        <v>560026</v>
      </c>
      <c r="C1119" s="3">
        <v>44616</v>
      </c>
      <c r="D1119">
        <v>48.24</v>
      </c>
      <c r="E1119">
        <v>58.71</v>
      </c>
      <c r="F1119">
        <v>13.18</v>
      </c>
      <c r="G1119">
        <v>45.13</v>
      </c>
      <c r="H1119">
        <v>4.6500000000000004</v>
      </c>
      <c r="I1119">
        <v>0.75</v>
      </c>
      <c r="J1119">
        <v>4.53</v>
      </c>
      <c r="K1119">
        <f t="shared" si="170"/>
        <v>80.400000000000006</v>
      </c>
      <c r="L1119">
        <f t="shared" si="171"/>
        <v>58.71</v>
      </c>
      <c r="M1119">
        <f t="shared" si="172"/>
        <v>16.475000000000001</v>
      </c>
      <c r="N1119">
        <f t="shared" si="173"/>
        <v>11.282500000000001</v>
      </c>
      <c r="O1119">
        <f t="shared" si="174"/>
        <v>5.8125000000000009</v>
      </c>
      <c r="P1119">
        <f t="shared" si="175"/>
        <v>8.5227272727272734</v>
      </c>
      <c r="Q1119">
        <f t="shared" si="176"/>
        <v>4.1944444444444446</v>
      </c>
      <c r="R1119">
        <f t="shared" si="177"/>
        <v>80.400000000000006</v>
      </c>
      <c r="S1119" t="str">
        <f t="shared" si="178"/>
        <v>Satisfactory</v>
      </c>
      <c r="T1119" t="str">
        <f t="shared" si="179"/>
        <v>PM2.5</v>
      </c>
      <c r="U1119">
        <v>24.93</v>
      </c>
      <c r="V1119">
        <v>49.56</v>
      </c>
    </row>
    <row r="1120" spans="1:22" x14ac:dyDescent="0.3">
      <c r="A1120" s="2" t="s">
        <v>15</v>
      </c>
      <c r="B1120">
        <v>560026</v>
      </c>
      <c r="C1120" s="3">
        <v>44617</v>
      </c>
      <c r="D1120">
        <v>60.42</v>
      </c>
      <c r="E1120">
        <v>97.85</v>
      </c>
      <c r="F1120">
        <v>19.940000000000001</v>
      </c>
      <c r="G1120">
        <v>48.73</v>
      </c>
      <c r="H1120">
        <v>4.95</v>
      </c>
      <c r="I1120">
        <v>0.89</v>
      </c>
      <c r="J1120">
        <v>5.78</v>
      </c>
      <c r="K1120">
        <f t="shared" si="170"/>
        <v>101.4</v>
      </c>
      <c r="L1120">
        <f t="shared" si="171"/>
        <v>97.85</v>
      </c>
      <c r="M1120">
        <f t="shared" si="172"/>
        <v>24.925000000000004</v>
      </c>
      <c r="N1120">
        <f t="shared" si="173"/>
        <v>12.182499999999999</v>
      </c>
      <c r="O1120">
        <f t="shared" si="174"/>
        <v>6.1875</v>
      </c>
      <c r="P1120">
        <f t="shared" si="175"/>
        <v>10.113636363636363</v>
      </c>
      <c r="Q1120">
        <f t="shared" si="176"/>
        <v>5.3518518518518521</v>
      </c>
      <c r="R1120">
        <f t="shared" si="177"/>
        <v>101.4</v>
      </c>
      <c r="S1120" t="str">
        <f t="shared" si="178"/>
        <v>Moderate</v>
      </c>
      <c r="T1120" t="str">
        <f t="shared" si="179"/>
        <v>PM2.5</v>
      </c>
      <c r="U1120">
        <v>25.68</v>
      </c>
      <c r="V1120">
        <v>41.75</v>
      </c>
    </row>
    <row r="1121" spans="1:22" x14ac:dyDescent="0.3">
      <c r="A1121" s="2" t="s">
        <v>15</v>
      </c>
      <c r="B1121">
        <v>560026</v>
      </c>
      <c r="C1121" s="3">
        <v>44618</v>
      </c>
      <c r="D1121">
        <v>59.82</v>
      </c>
      <c r="E1121">
        <v>93.48</v>
      </c>
      <c r="F1121">
        <v>16.559999999999999</v>
      </c>
      <c r="G1121">
        <v>54.73</v>
      </c>
      <c r="H1121">
        <v>4.9000000000000004</v>
      </c>
      <c r="I1121">
        <v>0.8</v>
      </c>
      <c r="J1121">
        <v>5.25</v>
      </c>
      <c r="K1121">
        <f t="shared" si="170"/>
        <v>99.7</v>
      </c>
      <c r="L1121">
        <f t="shared" si="171"/>
        <v>93.48</v>
      </c>
      <c r="M1121">
        <f t="shared" si="172"/>
        <v>20.699999999999996</v>
      </c>
      <c r="N1121">
        <f t="shared" si="173"/>
        <v>13.682499999999999</v>
      </c>
      <c r="O1121">
        <f t="shared" si="174"/>
        <v>6.1250000000000009</v>
      </c>
      <c r="P1121">
        <f t="shared" si="175"/>
        <v>9.0909090909090917</v>
      </c>
      <c r="Q1121">
        <f t="shared" si="176"/>
        <v>4.8611111111111107</v>
      </c>
      <c r="R1121">
        <f t="shared" si="177"/>
        <v>99.7</v>
      </c>
      <c r="S1121" t="str">
        <f t="shared" si="178"/>
        <v>Satisfactory</v>
      </c>
      <c r="T1121" t="str">
        <f t="shared" si="179"/>
        <v>PM2.5</v>
      </c>
      <c r="U1121">
        <v>25.03</v>
      </c>
      <c r="V1121">
        <v>47.4</v>
      </c>
    </row>
    <row r="1122" spans="1:22" x14ac:dyDescent="0.3">
      <c r="A1122" s="2" t="s">
        <v>15</v>
      </c>
      <c r="B1122">
        <v>560026</v>
      </c>
      <c r="C1122" s="3">
        <v>44619</v>
      </c>
      <c r="D1122">
        <v>45.64</v>
      </c>
      <c r="E1122">
        <v>74.88</v>
      </c>
      <c r="F1122">
        <v>14.13</v>
      </c>
      <c r="G1122">
        <v>48.41</v>
      </c>
      <c r="H1122">
        <v>4.7300000000000004</v>
      </c>
      <c r="I1122">
        <v>0.74</v>
      </c>
      <c r="J1122">
        <v>5.62</v>
      </c>
      <c r="K1122">
        <f t="shared" si="170"/>
        <v>76.066666666666663</v>
      </c>
      <c r="L1122">
        <f t="shared" si="171"/>
        <v>74.88</v>
      </c>
      <c r="M1122">
        <f t="shared" si="172"/>
        <v>17.662500000000001</v>
      </c>
      <c r="N1122">
        <f t="shared" si="173"/>
        <v>12.102499999999999</v>
      </c>
      <c r="O1122">
        <f t="shared" si="174"/>
        <v>5.9125000000000005</v>
      </c>
      <c r="P1122">
        <f t="shared" si="175"/>
        <v>8.4090909090909083</v>
      </c>
      <c r="Q1122">
        <f t="shared" si="176"/>
        <v>5.2037037037037042</v>
      </c>
      <c r="R1122">
        <f t="shared" si="177"/>
        <v>76.066666666666663</v>
      </c>
      <c r="S1122" t="str">
        <f t="shared" si="178"/>
        <v>Satisfactory</v>
      </c>
      <c r="T1122" t="str">
        <f t="shared" si="179"/>
        <v>PM2.5</v>
      </c>
      <c r="U1122">
        <v>25.39</v>
      </c>
      <c r="V1122">
        <v>50.46</v>
      </c>
    </row>
    <row r="1123" spans="1:22" x14ac:dyDescent="0.3">
      <c r="A1123" s="2" t="s">
        <v>15</v>
      </c>
      <c r="B1123">
        <v>560026</v>
      </c>
      <c r="C1123" s="3">
        <v>44620</v>
      </c>
      <c r="D1123">
        <v>40.659999999999997</v>
      </c>
      <c r="E1123">
        <v>70.77</v>
      </c>
      <c r="F1123">
        <v>13.86</v>
      </c>
      <c r="G1123">
        <v>44.94</v>
      </c>
      <c r="H1123">
        <v>4.76</v>
      </c>
      <c r="I1123">
        <v>0.8</v>
      </c>
      <c r="J1123">
        <v>6.38</v>
      </c>
      <c r="K1123">
        <f t="shared" ref="K1123:K1183" si="180">IF(ISTEXT(D1123),0,IF(D1123&lt;=30,D1123*50/30,IF(AND(D1123&gt;30,D1123&lt;=60),50+(D1123-30)*50/30,IF(AND(D1123&gt;60,D1123&lt;=90),100+(D1123-60)*100/30,IF(AND(D1123&gt;90,D1123&lt;=120),200+(D1123-90)*(100/30),IF(AND(D1123&gt;120,D1123&lt;=250),300+(D1123-120)*(100/130),IF(D1123&gt;250,400+(D1123-250)*(100/130))))))))</f>
        <v>67.766666666666652</v>
      </c>
      <c r="L1123">
        <f t="shared" ref="L1123:L1183" si="181">IF(ISTEXT(E1123),0,IF(E1123&lt;=50,E1123,IF(AND(E1123&gt;50,E1123&lt;=100),E1123,IF(AND(E1123&gt;100,E1123&lt;=250),100+(E1123-100)*100/150,IF(AND(E1123&gt;250,E1123&lt;=350),200+(E1123-250),IF(AND(E1123&gt;350,E1123&lt;=430),300+(E1123-350)*(100/80),IF(E1123&gt;430,400+(E1123-430)*(100/80))))))))</f>
        <v>70.77</v>
      </c>
      <c r="M1123">
        <f t="shared" ref="M1123:M1183" si="182">IF(ISTEXT(F1123),0,IF(F1123&lt;=40,F1123*50/40,IF(AND(F1123&gt;40,F1123&lt;=80),50+(F1123-40)*50/40,IF(AND(F1123&gt;80,F1123&lt;=180),100+(F1123-80)*100/100,IF(AND(F1123&gt;180,F1123&lt;=280),200+(F1123-180)*(100/100),IF(AND(F1123&gt;280,F1123&lt;=400),300+(F1123-280)*(100/120),IF(F1123&gt;400,400+(F1123-400)*(100/120))))))))</f>
        <v>17.324999999999999</v>
      </c>
      <c r="N1123">
        <f t="shared" ref="N1123:N1183" si="183">IF(ISTEXT(G1123),0,IF(G1123&lt;=200,G1123*50/200,IF(AND(G1123&gt;200,G1123&lt;=400),50+(G1123-200)*50/200,IF(AND(G1123&gt;400,G1123&lt;=800),100+(G1123-400)*100/400,IF(AND(G1123&gt;800,G1123&lt;=1200),200+(G1123-800)*(100/400),IF(AND(G1123&gt;1200,G1123&lt;=1800),300+(G1123-1200)*(100/600),IF(G1123&gt;1800,400+(G1123-1800)*(100/600))))))))</f>
        <v>11.234999999999999</v>
      </c>
      <c r="O1123">
        <f t="shared" ref="O1123:O1183" si="184">IF(ISTEXT(H1123),0,IF(H1123&lt;=40,H1123*50/40,IF(AND(H1123&gt;40,H1123&lt;=80),50+(H1123-40)*50/40,IF(AND(H1123&gt;80,H1123&lt;=380),100+(H1123-80)*100/300,IF(AND(H1123&gt;380,H1123&lt;=800),200+(H1123-380)*(100/420),IF(AND(H1123&gt;800,H1123&lt;=1600),300+(H1123-800)*(100/800),IF(H1123&gt;1600,400+(H1123-1600)*(100/800))))))))</f>
        <v>5.95</v>
      </c>
      <c r="P1123">
        <f t="shared" ref="P1123:P1183" si="185">IF(I1123&lt;=4.4,(50-0)/(4.4-0)*(I1123-0)+0,
IF(I1123&lt;=9.4,(100-51)/(9.4-4.5)*(I1123-4.5)+51,
IF(I1123&lt;=12.4,(150-101)/(12.4-9.5)*(I1123-9.5)+101,
IF(I1123&lt;=15.4,(200-151)/(15.4-12.5)*(I1123-12.5)+151,
IF(I1123&lt;=30.4,(300-201)/(30.4-15.5)*(I1123-15.5)+201,
(500-301)/(50.4-30.5)*(I1123-30.5)+301)))))</f>
        <v>9.0909090909090917</v>
      </c>
      <c r="Q1123">
        <f t="shared" ref="Q1123:Q1183" si="186">IF(J1123&lt;=54,(50-0)/(54-0)*(J1123-0)+0,
IF(J1123&lt;=70,(100-51)/(70-55)*(J1123-55)+51,
IF(J1123&lt;=85,(150-101)/(85-71)*(J1123-71)+101,
IF(J1123&lt;=105,(200-151)/(105-86)*(J1123-86)+151,
IF(J1123&lt;=200,(300-201)/(200-106)*(J1123-106)+201,
(500-301)/(300-201)*(J1123-201)+301)))))</f>
        <v>5.9074074074074074</v>
      </c>
      <c r="R1123">
        <f t="shared" ref="R1123:R1183" si="187">MAX(K1123:Q1123)</f>
        <v>70.77</v>
      </c>
      <c r="S1123" t="str">
        <f t="shared" ref="S1123:S1183" si="188">IF(R1123&lt;=50,"Good",
IF(R1123&lt;=100,"Satisfactory",
IF(R1123&lt;=200,"Moderate",
IF(R1123&lt;=300,"Poor",
IF(R1123&lt;=400,"Very Poor",
"Severe")))))</f>
        <v>Satisfactory</v>
      </c>
      <c r="T1123" t="str">
        <f t="shared" ref="T1123:T1183" si="189">IF(MAX(K1123:Q1123)=K1123,"PM2.5",
IF(MAX(K1123:Q1123)=L1123,"PM10",
IF(MAX(K1123:Q1123)=M1123,"NO2",
IF(MAX(K1123:Q1123)=N1123,"NH3",
IF(MAX(K1123:Q1123)=O1123,"SO2",
IF(MAX(K1123:Q1123)=P1123,"CO",
IF(MAX(K1123:Q1123)=Q1123,"OZONE","")))))))</f>
        <v>PM10</v>
      </c>
      <c r="U1123">
        <v>25.86</v>
      </c>
      <c r="V1123">
        <v>41.2</v>
      </c>
    </row>
    <row r="1124" spans="1:22" x14ac:dyDescent="0.3">
      <c r="A1124" s="2" t="s">
        <v>15</v>
      </c>
      <c r="B1124">
        <v>560026</v>
      </c>
      <c r="C1124" s="3">
        <v>44621</v>
      </c>
      <c r="D1124">
        <v>43.22</v>
      </c>
      <c r="E1124">
        <v>77.7</v>
      </c>
      <c r="F1124">
        <v>13.36</v>
      </c>
      <c r="G1124">
        <v>47.99</v>
      </c>
      <c r="H1124">
        <v>4.5999999999999996</v>
      </c>
      <c r="I1124">
        <v>0.8</v>
      </c>
      <c r="J1124">
        <v>5.72</v>
      </c>
      <c r="K1124">
        <f t="shared" si="180"/>
        <v>72.033333333333331</v>
      </c>
      <c r="L1124">
        <f t="shared" si="181"/>
        <v>77.7</v>
      </c>
      <c r="M1124">
        <f t="shared" si="182"/>
        <v>16.7</v>
      </c>
      <c r="N1124">
        <f t="shared" si="183"/>
        <v>11.9975</v>
      </c>
      <c r="O1124">
        <f t="shared" si="184"/>
        <v>5.7499999999999991</v>
      </c>
      <c r="P1124">
        <f t="shared" si="185"/>
        <v>9.0909090909090917</v>
      </c>
      <c r="Q1124">
        <f t="shared" si="186"/>
        <v>5.2962962962962958</v>
      </c>
      <c r="R1124">
        <f t="shared" si="187"/>
        <v>77.7</v>
      </c>
      <c r="S1124" t="str">
        <f t="shared" si="188"/>
        <v>Satisfactory</v>
      </c>
      <c r="T1124" t="str">
        <f t="shared" si="189"/>
        <v>PM10</v>
      </c>
      <c r="U1124">
        <v>26.37</v>
      </c>
      <c r="V1124">
        <v>43.49</v>
      </c>
    </row>
    <row r="1125" spans="1:22" x14ac:dyDescent="0.3">
      <c r="A1125" s="2" t="s">
        <v>15</v>
      </c>
      <c r="B1125">
        <v>560026</v>
      </c>
      <c r="C1125" s="3">
        <v>44622</v>
      </c>
      <c r="D1125">
        <v>50.47</v>
      </c>
      <c r="E1125">
        <v>81.459999999999994</v>
      </c>
      <c r="F1125">
        <v>14.03</v>
      </c>
      <c r="G1125">
        <v>49.02</v>
      </c>
      <c r="H1125">
        <v>5.13</v>
      </c>
      <c r="I1125">
        <v>0.81</v>
      </c>
      <c r="J1125">
        <v>6.65</v>
      </c>
      <c r="K1125">
        <f t="shared" si="180"/>
        <v>84.116666666666674</v>
      </c>
      <c r="L1125">
        <f t="shared" si="181"/>
        <v>81.459999999999994</v>
      </c>
      <c r="M1125">
        <f t="shared" si="182"/>
        <v>17.537500000000001</v>
      </c>
      <c r="N1125">
        <f t="shared" si="183"/>
        <v>12.255000000000001</v>
      </c>
      <c r="O1125">
        <f t="shared" si="184"/>
        <v>6.4124999999999996</v>
      </c>
      <c r="P1125">
        <f t="shared" si="185"/>
        <v>9.204545454545455</v>
      </c>
      <c r="Q1125">
        <f t="shared" si="186"/>
        <v>6.1574074074074074</v>
      </c>
      <c r="R1125">
        <f t="shared" si="187"/>
        <v>84.116666666666674</v>
      </c>
      <c r="S1125" t="str">
        <f t="shared" si="188"/>
        <v>Satisfactory</v>
      </c>
      <c r="T1125" t="str">
        <f t="shared" si="189"/>
        <v>PM2.5</v>
      </c>
      <c r="U1125">
        <v>25.86</v>
      </c>
      <c r="V1125">
        <v>29.43</v>
      </c>
    </row>
    <row r="1126" spans="1:22" x14ac:dyDescent="0.3">
      <c r="A1126" s="2" t="s">
        <v>15</v>
      </c>
      <c r="B1126">
        <v>560026</v>
      </c>
      <c r="C1126" s="3">
        <v>44623</v>
      </c>
      <c r="D1126">
        <v>55.96</v>
      </c>
      <c r="E1126">
        <v>106.4</v>
      </c>
      <c r="F1126">
        <v>17.66</v>
      </c>
      <c r="G1126">
        <v>62.31</v>
      </c>
      <c r="H1126">
        <v>5.24</v>
      </c>
      <c r="I1126">
        <v>0.97</v>
      </c>
      <c r="J1126">
        <v>6.83</v>
      </c>
      <c r="K1126">
        <f t="shared" si="180"/>
        <v>93.266666666666666</v>
      </c>
      <c r="L1126">
        <f t="shared" si="181"/>
        <v>104.26666666666667</v>
      </c>
      <c r="M1126">
        <f t="shared" si="182"/>
        <v>22.074999999999999</v>
      </c>
      <c r="N1126">
        <f t="shared" si="183"/>
        <v>15.577500000000001</v>
      </c>
      <c r="O1126">
        <f t="shared" si="184"/>
        <v>6.55</v>
      </c>
      <c r="P1126">
        <f t="shared" si="185"/>
        <v>11.022727272727272</v>
      </c>
      <c r="Q1126">
        <f t="shared" si="186"/>
        <v>6.3240740740740744</v>
      </c>
      <c r="R1126">
        <f t="shared" si="187"/>
        <v>104.26666666666667</v>
      </c>
      <c r="S1126" t="str">
        <f t="shared" si="188"/>
        <v>Moderate</v>
      </c>
      <c r="T1126" t="str">
        <f t="shared" si="189"/>
        <v>PM10</v>
      </c>
      <c r="U1126">
        <v>25.62</v>
      </c>
      <c r="V1126">
        <v>34.159999999999997</v>
      </c>
    </row>
    <row r="1127" spans="1:22" x14ac:dyDescent="0.3">
      <c r="A1127" s="2" t="s">
        <v>15</v>
      </c>
      <c r="B1127">
        <v>560026</v>
      </c>
      <c r="C1127" s="3">
        <v>44624</v>
      </c>
      <c r="D1127">
        <v>54.68</v>
      </c>
      <c r="E1127">
        <v>107.82</v>
      </c>
      <c r="F1127">
        <v>18.170000000000002</v>
      </c>
      <c r="G1127">
        <v>65.319999999999993</v>
      </c>
      <c r="H1127">
        <v>4.84</v>
      </c>
      <c r="I1127">
        <v>1.02</v>
      </c>
      <c r="J1127">
        <v>6.7</v>
      </c>
      <c r="K1127">
        <f t="shared" si="180"/>
        <v>91.133333333333326</v>
      </c>
      <c r="L1127">
        <f t="shared" si="181"/>
        <v>105.21333333333332</v>
      </c>
      <c r="M1127">
        <f t="shared" si="182"/>
        <v>22.712500000000002</v>
      </c>
      <c r="N1127">
        <f t="shared" si="183"/>
        <v>16.329999999999998</v>
      </c>
      <c r="O1127">
        <f t="shared" si="184"/>
        <v>6.05</v>
      </c>
      <c r="P1127">
        <f t="shared" si="185"/>
        <v>11.59090909090909</v>
      </c>
      <c r="Q1127">
        <f t="shared" si="186"/>
        <v>6.2037037037037042</v>
      </c>
      <c r="R1127">
        <f t="shared" si="187"/>
        <v>105.21333333333332</v>
      </c>
      <c r="S1127" t="str">
        <f t="shared" si="188"/>
        <v>Moderate</v>
      </c>
      <c r="T1127" t="str">
        <f t="shared" si="189"/>
        <v>PM10</v>
      </c>
      <c r="U1127">
        <v>26.29</v>
      </c>
      <c r="V1127">
        <v>33.89</v>
      </c>
    </row>
    <row r="1128" spans="1:22" x14ac:dyDescent="0.3">
      <c r="A1128" s="2" t="s">
        <v>15</v>
      </c>
      <c r="B1128">
        <v>560026</v>
      </c>
      <c r="C1128" s="3">
        <v>44625</v>
      </c>
      <c r="D1128">
        <v>44.19</v>
      </c>
      <c r="E1128">
        <v>91.18</v>
      </c>
      <c r="F1128">
        <v>17.47</v>
      </c>
      <c r="G1128">
        <v>61.15</v>
      </c>
      <c r="H1128">
        <v>4.45</v>
      </c>
      <c r="I1128">
        <v>1.0900000000000001</v>
      </c>
      <c r="J1128">
        <v>5.15</v>
      </c>
      <c r="K1128">
        <f t="shared" si="180"/>
        <v>73.649999999999991</v>
      </c>
      <c r="L1128">
        <f t="shared" si="181"/>
        <v>91.18</v>
      </c>
      <c r="M1128">
        <f t="shared" si="182"/>
        <v>21.837499999999999</v>
      </c>
      <c r="N1128">
        <f t="shared" si="183"/>
        <v>15.2875</v>
      </c>
      <c r="O1128">
        <f t="shared" si="184"/>
        <v>5.5625</v>
      </c>
      <c r="P1128">
        <f t="shared" si="185"/>
        <v>12.386363636363637</v>
      </c>
      <c r="Q1128">
        <f t="shared" si="186"/>
        <v>4.768518518518519</v>
      </c>
      <c r="R1128">
        <f t="shared" si="187"/>
        <v>91.18</v>
      </c>
      <c r="S1128" t="str">
        <f t="shared" si="188"/>
        <v>Satisfactory</v>
      </c>
      <c r="T1128" t="str">
        <f t="shared" si="189"/>
        <v>PM10</v>
      </c>
      <c r="U1128">
        <v>26.25</v>
      </c>
      <c r="V1128">
        <v>45.64</v>
      </c>
    </row>
    <row r="1129" spans="1:22" x14ac:dyDescent="0.3">
      <c r="A1129" s="2" t="s">
        <v>15</v>
      </c>
      <c r="B1129">
        <v>560026</v>
      </c>
      <c r="C1129" s="3">
        <v>44626</v>
      </c>
      <c r="D1129">
        <v>34.72</v>
      </c>
      <c r="E1129">
        <v>75.55</v>
      </c>
      <c r="F1129">
        <v>13.39</v>
      </c>
      <c r="G1129">
        <v>56.36</v>
      </c>
      <c r="H1129">
        <v>4.58</v>
      </c>
      <c r="I1129">
        <v>0.78</v>
      </c>
      <c r="J1129">
        <v>5.24</v>
      </c>
      <c r="K1129">
        <f t="shared" si="180"/>
        <v>57.866666666666667</v>
      </c>
      <c r="L1129">
        <f t="shared" si="181"/>
        <v>75.55</v>
      </c>
      <c r="M1129">
        <f t="shared" si="182"/>
        <v>16.737500000000001</v>
      </c>
      <c r="N1129">
        <f t="shared" si="183"/>
        <v>14.09</v>
      </c>
      <c r="O1129">
        <f t="shared" si="184"/>
        <v>5.7249999999999996</v>
      </c>
      <c r="P1129">
        <f t="shared" si="185"/>
        <v>8.8636363636363633</v>
      </c>
      <c r="Q1129">
        <f t="shared" si="186"/>
        <v>4.8518518518518521</v>
      </c>
      <c r="R1129">
        <f t="shared" si="187"/>
        <v>75.55</v>
      </c>
      <c r="S1129" t="str">
        <f t="shared" si="188"/>
        <v>Satisfactory</v>
      </c>
      <c r="T1129" t="str">
        <f t="shared" si="189"/>
        <v>PM10</v>
      </c>
      <c r="U1129">
        <v>25.29</v>
      </c>
      <c r="V1129">
        <v>49.47</v>
      </c>
    </row>
    <row r="1130" spans="1:22" x14ac:dyDescent="0.3">
      <c r="A1130" s="2" t="s">
        <v>15</v>
      </c>
      <c r="B1130">
        <v>560026</v>
      </c>
      <c r="C1130" s="3">
        <v>44627</v>
      </c>
      <c r="D1130">
        <v>33.25</v>
      </c>
      <c r="E1130">
        <v>76.73</v>
      </c>
      <c r="F1130">
        <v>16.75</v>
      </c>
      <c r="G1130">
        <v>47.68</v>
      </c>
      <c r="H1130">
        <v>4.9400000000000004</v>
      </c>
      <c r="I1130">
        <v>0.83</v>
      </c>
      <c r="J1130">
        <v>5.72</v>
      </c>
      <c r="K1130">
        <f t="shared" si="180"/>
        <v>55.416666666666664</v>
      </c>
      <c r="L1130">
        <f t="shared" si="181"/>
        <v>76.73</v>
      </c>
      <c r="M1130">
        <f t="shared" si="182"/>
        <v>20.9375</v>
      </c>
      <c r="N1130">
        <f t="shared" si="183"/>
        <v>11.92</v>
      </c>
      <c r="O1130">
        <f t="shared" si="184"/>
        <v>6.1750000000000007</v>
      </c>
      <c r="P1130">
        <f t="shared" si="185"/>
        <v>9.4318181818181817</v>
      </c>
      <c r="Q1130">
        <f t="shared" si="186"/>
        <v>5.2962962962962958</v>
      </c>
      <c r="R1130">
        <f t="shared" si="187"/>
        <v>76.73</v>
      </c>
      <c r="S1130" t="str">
        <f t="shared" si="188"/>
        <v>Satisfactory</v>
      </c>
      <c r="T1130" t="str">
        <f t="shared" si="189"/>
        <v>PM10</v>
      </c>
      <c r="U1130">
        <v>23.49</v>
      </c>
      <c r="V1130">
        <v>57.85</v>
      </c>
    </row>
    <row r="1131" spans="1:22" x14ac:dyDescent="0.3">
      <c r="A1131" s="2" t="s">
        <v>15</v>
      </c>
      <c r="B1131">
        <v>560026</v>
      </c>
      <c r="C1131" s="3">
        <v>44628</v>
      </c>
      <c r="D1131">
        <v>56.64</v>
      </c>
      <c r="E1131">
        <v>92.14</v>
      </c>
      <c r="F1131">
        <v>14.98</v>
      </c>
      <c r="G1131">
        <v>54.9</v>
      </c>
      <c r="H1131">
        <v>4.6100000000000003</v>
      </c>
      <c r="I1131">
        <v>0.92</v>
      </c>
      <c r="J1131">
        <v>4.62</v>
      </c>
      <c r="K1131">
        <f t="shared" si="180"/>
        <v>94.4</v>
      </c>
      <c r="L1131">
        <f t="shared" si="181"/>
        <v>92.14</v>
      </c>
      <c r="M1131">
        <f t="shared" si="182"/>
        <v>18.725000000000001</v>
      </c>
      <c r="N1131">
        <f t="shared" si="183"/>
        <v>13.725</v>
      </c>
      <c r="O1131">
        <f t="shared" si="184"/>
        <v>5.7625000000000011</v>
      </c>
      <c r="P1131">
        <f t="shared" si="185"/>
        <v>10.454545454545455</v>
      </c>
      <c r="Q1131">
        <f t="shared" si="186"/>
        <v>4.2777777777777777</v>
      </c>
      <c r="R1131">
        <f t="shared" si="187"/>
        <v>94.4</v>
      </c>
      <c r="S1131" t="str">
        <f t="shared" si="188"/>
        <v>Satisfactory</v>
      </c>
      <c r="T1131" t="str">
        <f t="shared" si="189"/>
        <v>PM2.5</v>
      </c>
      <c r="U1131">
        <v>25.96</v>
      </c>
      <c r="V1131">
        <v>52.16</v>
      </c>
    </row>
    <row r="1132" spans="1:22" x14ac:dyDescent="0.3">
      <c r="A1132" s="2" t="s">
        <v>15</v>
      </c>
      <c r="B1132">
        <v>560026</v>
      </c>
      <c r="C1132" s="3">
        <v>44629</v>
      </c>
      <c r="D1132">
        <v>64.650000000000006</v>
      </c>
      <c r="E1132">
        <v>109.34</v>
      </c>
      <c r="F1132">
        <v>16.32</v>
      </c>
      <c r="G1132">
        <v>53.24</v>
      </c>
      <c r="H1132">
        <v>5.01</v>
      </c>
      <c r="I1132">
        <v>0.92</v>
      </c>
      <c r="J1132">
        <v>7.7</v>
      </c>
      <c r="K1132">
        <f t="shared" si="180"/>
        <v>115.50000000000001</v>
      </c>
      <c r="L1132">
        <f t="shared" si="181"/>
        <v>106.22666666666667</v>
      </c>
      <c r="M1132">
        <f t="shared" si="182"/>
        <v>20.399999999999999</v>
      </c>
      <c r="N1132">
        <f t="shared" si="183"/>
        <v>13.31</v>
      </c>
      <c r="O1132">
        <f t="shared" si="184"/>
        <v>6.2625000000000002</v>
      </c>
      <c r="P1132">
        <f t="shared" si="185"/>
        <v>10.454545454545455</v>
      </c>
      <c r="Q1132">
        <f t="shared" si="186"/>
        <v>7.1296296296296298</v>
      </c>
      <c r="R1132">
        <f t="shared" si="187"/>
        <v>115.50000000000001</v>
      </c>
      <c r="S1132" t="str">
        <f t="shared" si="188"/>
        <v>Moderate</v>
      </c>
      <c r="T1132" t="str">
        <f t="shared" si="189"/>
        <v>PM2.5</v>
      </c>
      <c r="U1132">
        <v>27.4</v>
      </c>
      <c r="V1132">
        <v>43.64</v>
      </c>
    </row>
    <row r="1133" spans="1:22" x14ac:dyDescent="0.3">
      <c r="A1133" s="2" t="s">
        <v>15</v>
      </c>
      <c r="B1133">
        <v>560026</v>
      </c>
      <c r="C1133" s="3">
        <v>44630</v>
      </c>
      <c r="D1133">
        <v>65</v>
      </c>
      <c r="E1133">
        <v>110.88</v>
      </c>
      <c r="F1133">
        <v>17.940000000000001</v>
      </c>
      <c r="G1133">
        <v>57.09</v>
      </c>
      <c r="H1133">
        <v>5.91</v>
      </c>
      <c r="I1133">
        <v>0.77</v>
      </c>
      <c r="J1133">
        <v>9.8000000000000007</v>
      </c>
      <c r="K1133">
        <f t="shared" si="180"/>
        <v>116.66666666666667</v>
      </c>
      <c r="L1133">
        <f t="shared" si="181"/>
        <v>107.25333333333333</v>
      </c>
      <c r="M1133">
        <f t="shared" si="182"/>
        <v>22.425000000000004</v>
      </c>
      <c r="N1133">
        <f t="shared" si="183"/>
        <v>14.272500000000001</v>
      </c>
      <c r="O1133">
        <f t="shared" si="184"/>
        <v>7.3875000000000002</v>
      </c>
      <c r="P1133">
        <f t="shared" si="185"/>
        <v>8.75</v>
      </c>
      <c r="Q1133">
        <f t="shared" si="186"/>
        <v>9.0740740740740744</v>
      </c>
      <c r="R1133">
        <f t="shared" si="187"/>
        <v>116.66666666666667</v>
      </c>
      <c r="S1133" t="str">
        <f t="shared" si="188"/>
        <v>Moderate</v>
      </c>
      <c r="T1133" t="str">
        <f t="shared" si="189"/>
        <v>PM2.5</v>
      </c>
      <c r="U1133">
        <v>27.23</v>
      </c>
      <c r="V1133">
        <v>40.06</v>
      </c>
    </row>
    <row r="1134" spans="1:22" x14ac:dyDescent="0.3">
      <c r="A1134" s="2" t="s">
        <v>15</v>
      </c>
      <c r="B1134">
        <v>560026</v>
      </c>
      <c r="C1134" s="3">
        <v>44631</v>
      </c>
      <c r="D1134">
        <v>65.67</v>
      </c>
      <c r="E1134">
        <v>113.06</v>
      </c>
      <c r="F1134">
        <v>15.08</v>
      </c>
      <c r="G1134">
        <v>87.77</v>
      </c>
      <c r="H1134">
        <v>5.3</v>
      </c>
      <c r="I1134">
        <v>0.9</v>
      </c>
      <c r="J1134">
        <v>6.44</v>
      </c>
      <c r="K1134">
        <f t="shared" si="180"/>
        <v>118.9</v>
      </c>
      <c r="L1134">
        <f t="shared" si="181"/>
        <v>108.70666666666666</v>
      </c>
      <c r="M1134">
        <f t="shared" si="182"/>
        <v>18.850000000000001</v>
      </c>
      <c r="N1134">
        <f t="shared" si="183"/>
        <v>21.942499999999999</v>
      </c>
      <c r="O1134">
        <f t="shared" si="184"/>
        <v>6.625</v>
      </c>
      <c r="P1134">
        <f t="shared" si="185"/>
        <v>10.227272727272727</v>
      </c>
      <c r="Q1134">
        <f t="shared" si="186"/>
        <v>5.9629629629629637</v>
      </c>
      <c r="R1134">
        <f t="shared" si="187"/>
        <v>118.9</v>
      </c>
      <c r="S1134" t="str">
        <f t="shared" si="188"/>
        <v>Moderate</v>
      </c>
      <c r="T1134" t="str">
        <f t="shared" si="189"/>
        <v>PM2.5</v>
      </c>
      <c r="U1134">
        <v>27.64</v>
      </c>
      <c r="V1134">
        <v>31.39</v>
      </c>
    </row>
    <row r="1135" spans="1:22" x14ac:dyDescent="0.3">
      <c r="A1135" s="2" t="s">
        <v>15</v>
      </c>
      <c r="B1135">
        <v>560026</v>
      </c>
      <c r="C1135" s="3">
        <v>44632</v>
      </c>
      <c r="D1135">
        <v>53.94</v>
      </c>
      <c r="E1135">
        <v>109.12</v>
      </c>
      <c r="F1135">
        <v>21.45</v>
      </c>
      <c r="G1135">
        <v>100.94</v>
      </c>
      <c r="H1135">
        <v>4.2699999999999996</v>
      </c>
      <c r="I1135">
        <v>0.65</v>
      </c>
      <c r="J1135">
        <v>10.24</v>
      </c>
      <c r="K1135">
        <f t="shared" si="180"/>
        <v>89.9</v>
      </c>
      <c r="L1135">
        <f t="shared" si="181"/>
        <v>106.08</v>
      </c>
      <c r="M1135">
        <f t="shared" si="182"/>
        <v>26.8125</v>
      </c>
      <c r="N1135">
        <f t="shared" si="183"/>
        <v>25.234999999999999</v>
      </c>
      <c r="O1135">
        <f t="shared" si="184"/>
        <v>5.3374999999999995</v>
      </c>
      <c r="P1135">
        <f t="shared" si="185"/>
        <v>7.3863636363636367</v>
      </c>
      <c r="Q1135">
        <f t="shared" si="186"/>
        <v>9.481481481481481</v>
      </c>
      <c r="R1135">
        <f t="shared" si="187"/>
        <v>106.08</v>
      </c>
      <c r="S1135" t="str">
        <f t="shared" si="188"/>
        <v>Moderate</v>
      </c>
      <c r="T1135" t="str">
        <f t="shared" si="189"/>
        <v>PM10</v>
      </c>
      <c r="U1135">
        <v>23.5</v>
      </c>
      <c r="V1135">
        <v>22.8</v>
      </c>
    </row>
    <row r="1136" spans="1:22" x14ac:dyDescent="0.3">
      <c r="A1136" s="2" t="s">
        <v>15</v>
      </c>
      <c r="B1136">
        <v>560026</v>
      </c>
      <c r="C1136" s="3">
        <v>44633</v>
      </c>
      <c r="D1136">
        <v>73</v>
      </c>
      <c r="E1136">
        <v>109</v>
      </c>
      <c r="F1136">
        <v>1.4</v>
      </c>
      <c r="G1136">
        <v>73.099999999999994</v>
      </c>
      <c r="H1136">
        <v>5.8</v>
      </c>
      <c r="I1136">
        <v>0.66</v>
      </c>
      <c r="J1136">
        <v>12.62</v>
      </c>
      <c r="K1136">
        <f t="shared" si="180"/>
        <v>143.33333333333334</v>
      </c>
      <c r="L1136">
        <f t="shared" si="181"/>
        <v>106</v>
      </c>
      <c r="M1136">
        <f t="shared" si="182"/>
        <v>1.75</v>
      </c>
      <c r="N1136">
        <f t="shared" si="183"/>
        <v>18.274999999999999</v>
      </c>
      <c r="O1136">
        <f t="shared" si="184"/>
        <v>7.25</v>
      </c>
      <c r="P1136">
        <f t="shared" si="185"/>
        <v>7.5</v>
      </c>
      <c r="Q1136">
        <f t="shared" si="186"/>
        <v>11.685185185185185</v>
      </c>
      <c r="R1136">
        <f t="shared" si="187"/>
        <v>143.33333333333334</v>
      </c>
      <c r="S1136" t="str">
        <f t="shared" si="188"/>
        <v>Moderate</v>
      </c>
      <c r="T1136" t="str">
        <f t="shared" si="189"/>
        <v>PM2.5</v>
      </c>
      <c r="U1136">
        <v>30.27</v>
      </c>
      <c r="V1136">
        <v>26.6</v>
      </c>
    </row>
    <row r="1137" spans="1:22" x14ac:dyDescent="0.3">
      <c r="A1137" s="2" t="s">
        <v>15</v>
      </c>
      <c r="B1137">
        <v>560026</v>
      </c>
      <c r="C1137" s="3">
        <v>44635</v>
      </c>
      <c r="D1137">
        <v>80.53</v>
      </c>
      <c r="E1137">
        <v>148.9</v>
      </c>
      <c r="F1137">
        <v>35.770000000000003</v>
      </c>
      <c r="G1137">
        <v>54.74</v>
      </c>
      <c r="H1137">
        <v>6.04</v>
      </c>
      <c r="I1137">
        <v>1.23</v>
      </c>
      <c r="J1137">
        <v>13</v>
      </c>
      <c r="K1137">
        <f t="shared" si="180"/>
        <v>168.43333333333334</v>
      </c>
      <c r="L1137">
        <f t="shared" si="181"/>
        <v>132.60000000000002</v>
      </c>
      <c r="M1137">
        <f t="shared" si="182"/>
        <v>44.712500000000006</v>
      </c>
      <c r="N1137">
        <f t="shared" si="183"/>
        <v>13.685</v>
      </c>
      <c r="O1137">
        <f t="shared" si="184"/>
        <v>7.55</v>
      </c>
      <c r="P1137">
        <f t="shared" si="185"/>
        <v>13.977272727272727</v>
      </c>
      <c r="Q1137">
        <f t="shared" si="186"/>
        <v>12.037037037037036</v>
      </c>
      <c r="R1137">
        <f t="shared" si="187"/>
        <v>168.43333333333334</v>
      </c>
      <c r="S1137" t="str">
        <f t="shared" si="188"/>
        <v>Moderate</v>
      </c>
      <c r="T1137" t="str">
        <f t="shared" si="189"/>
        <v>PM2.5</v>
      </c>
      <c r="U1137">
        <v>28.85</v>
      </c>
      <c r="V1137">
        <v>37.94</v>
      </c>
    </row>
    <row r="1138" spans="1:22" x14ac:dyDescent="0.3">
      <c r="A1138" s="2" t="s">
        <v>15</v>
      </c>
      <c r="B1138">
        <v>560026</v>
      </c>
      <c r="C1138" s="3">
        <v>44638</v>
      </c>
      <c r="D1138">
        <v>69.650000000000006</v>
      </c>
      <c r="E1138">
        <v>121.7</v>
      </c>
      <c r="F1138">
        <v>24.59</v>
      </c>
      <c r="G1138">
        <v>41.78</v>
      </c>
      <c r="H1138">
        <v>5.57</v>
      </c>
      <c r="I1138">
        <v>1.04</v>
      </c>
      <c r="J1138">
        <v>7.61</v>
      </c>
      <c r="K1138">
        <f t="shared" si="180"/>
        <v>132.16666666666669</v>
      </c>
      <c r="L1138">
        <f t="shared" si="181"/>
        <v>114.46666666666667</v>
      </c>
      <c r="M1138">
        <f t="shared" si="182"/>
        <v>30.737500000000001</v>
      </c>
      <c r="N1138">
        <f t="shared" si="183"/>
        <v>10.445</v>
      </c>
      <c r="O1138">
        <f t="shared" si="184"/>
        <v>6.9625000000000004</v>
      </c>
      <c r="P1138">
        <f t="shared" si="185"/>
        <v>11.818181818181818</v>
      </c>
      <c r="Q1138">
        <f t="shared" si="186"/>
        <v>7.0462962962962967</v>
      </c>
      <c r="R1138">
        <f t="shared" si="187"/>
        <v>132.16666666666669</v>
      </c>
      <c r="S1138" t="str">
        <f t="shared" si="188"/>
        <v>Moderate</v>
      </c>
      <c r="T1138" t="str">
        <f t="shared" si="189"/>
        <v>PM2.5</v>
      </c>
      <c r="U1138">
        <v>29.05</v>
      </c>
      <c r="V1138">
        <v>40.69</v>
      </c>
    </row>
    <row r="1139" spans="1:22" x14ac:dyDescent="0.3">
      <c r="A1139" s="2" t="s">
        <v>15</v>
      </c>
      <c r="B1139">
        <v>560026</v>
      </c>
      <c r="C1139" s="3">
        <v>44639</v>
      </c>
      <c r="D1139">
        <v>62.47</v>
      </c>
      <c r="E1139">
        <v>110.74</v>
      </c>
      <c r="F1139">
        <v>17.23</v>
      </c>
      <c r="G1139">
        <v>35.950000000000003</v>
      </c>
      <c r="H1139">
        <v>5.83</v>
      </c>
      <c r="I1139">
        <v>0.84</v>
      </c>
      <c r="J1139">
        <v>5.47</v>
      </c>
      <c r="K1139">
        <f t="shared" si="180"/>
        <v>108.23333333333333</v>
      </c>
      <c r="L1139">
        <f t="shared" si="181"/>
        <v>107.16</v>
      </c>
      <c r="M1139">
        <f t="shared" si="182"/>
        <v>21.537500000000001</v>
      </c>
      <c r="N1139">
        <f t="shared" si="183"/>
        <v>8.9875000000000007</v>
      </c>
      <c r="O1139">
        <f t="shared" si="184"/>
        <v>7.2874999999999996</v>
      </c>
      <c r="P1139">
        <f t="shared" si="185"/>
        <v>9.545454545454545</v>
      </c>
      <c r="Q1139">
        <f t="shared" si="186"/>
        <v>5.0648148148148149</v>
      </c>
      <c r="R1139">
        <f t="shared" si="187"/>
        <v>108.23333333333333</v>
      </c>
      <c r="S1139" t="str">
        <f t="shared" si="188"/>
        <v>Moderate</v>
      </c>
      <c r="T1139" t="str">
        <f t="shared" si="189"/>
        <v>PM2.5</v>
      </c>
      <c r="U1139">
        <v>27.19</v>
      </c>
      <c r="V1139">
        <v>57.57</v>
      </c>
    </row>
    <row r="1140" spans="1:22" x14ac:dyDescent="0.3">
      <c r="A1140" s="2" t="s">
        <v>15</v>
      </c>
      <c r="B1140">
        <v>560026</v>
      </c>
      <c r="C1140" s="3">
        <v>44640</v>
      </c>
      <c r="D1140">
        <v>37.700000000000003</v>
      </c>
      <c r="E1140">
        <v>89.96</v>
      </c>
      <c r="F1140">
        <v>15.13</v>
      </c>
      <c r="G1140">
        <v>46.37</v>
      </c>
      <c r="H1140">
        <v>5.0599999999999996</v>
      </c>
      <c r="I1140">
        <v>0.97</v>
      </c>
      <c r="J1140">
        <v>4.91</v>
      </c>
      <c r="K1140">
        <f t="shared" si="180"/>
        <v>62.833333333333336</v>
      </c>
      <c r="L1140">
        <f t="shared" si="181"/>
        <v>89.96</v>
      </c>
      <c r="M1140">
        <f t="shared" si="182"/>
        <v>18.912500000000001</v>
      </c>
      <c r="N1140">
        <f t="shared" si="183"/>
        <v>11.592499999999999</v>
      </c>
      <c r="O1140">
        <f t="shared" si="184"/>
        <v>6.3249999999999993</v>
      </c>
      <c r="P1140">
        <f t="shared" si="185"/>
        <v>11.022727272727272</v>
      </c>
      <c r="Q1140">
        <f t="shared" si="186"/>
        <v>4.5462962962962967</v>
      </c>
      <c r="R1140">
        <f t="shared" si="187"/>
        <v>89.96</v>
      </c>
      <c r="S1140" t="str">
        <f t="shared" si="188"/>
        <v>Satisfactory</v>
      </c>
      <c r="T1140" t="str">
        <f t="shared" si="189"/>
        <v>PM10</v>
      </c>
      <c r="U1140">
        <v>25.7</v>
      </c>
      <c r="V1140">
        <v>59.75</v>
      </c>
    </row>
    <row r="1141" spans="1:22" x14ac:dyDescent="0.3">
      <c r="A1141" s="2" t="s">
        <v>15</v>
      </c>
      <c r="B1141">
        <v>560026</v>
      </c>
      <c r="C1141" s="3">
        <v>44641</v>
      </c>
      <c r="D1141">
        <v>46.04</v>
      </c>
      <c r="E1141">
        <v>94.72</v>
      </c>
      <c r="F1141">
        <v>17.97</v>
      </c>
      <c r="G1141">
        <v>72.05</v>
      </c>
      <c r="H1141">
        <v>3.81</v>
      </c>
      <c r="I1141">
        <v>0.78</v>
      </c>
      <c r="J1141">
        <v>2.19</v>
      </c>
      <c r="K1141">
        <f t="shared" si="180"/>
        <v>76.733333333333334</v>
      </c>
      <c r="L1141">
        <f t="shared" si="181"/>
        <v>94.72</v>
      </c>
      <c r="M1141">
        <f t="shared" si="182"/>
        <v>22.462499999999999</v>
      </c>
      <c r="N1141">
        <f t="shared" si="183"/>
        <v>18.012499999999999</v>
      </c>
      <c r="O1141">
        <f t="shared" si="184"/>
        <v>4.7625000000000002</v>
      </c>
      <c r="P1141">
        <f t="shared" si="185"/>
        <v>8.8636363636363633</v>
      </c>
      <c r="Q1141">
        <f t="shared" si="186"/>
        <v>2.0277777777777777</v>
      </c>
      <c r="R1141">
        <f t="shared" si="187"/>
        <v>94.72</v>
      </c>
      <c r="S1141" t="str">
        <f t="shared" si="188"/>
        <v>Satisfactory</v>
      </c>
      <c r="T1141" t="str">
        <f t="shared" si="189"/>
        <v>PM10</v>
      </c>
      <c r="U1141">
        <v>26.81</v>
      </c>
      <c r="V1141">
        <v>61.97</v>
      </c>
    </row>
    <row r="1142" spans="1:22" x14ac:dyDescent="0.3">
      <c r="A1142" s="2" t="s">
        <v>15</v>
      </c>
      <c r="B1142">
        <v>560026</v>
      </c>
      <c r="C1142" s="3">
        <v>44642</v>
      </c>
      <c r="D1142">
        <v>47.22</v>
      </c>
      <c r="E1142">
        <v>91.04</v>
      </c>
      <c r="F1142">
        <v>15.92</v>
      </c>
      <c r="G1142">
        <v>63.76</v>
      </c>
      <c r="H1142">
        <v>4.67</v>
      </c>
      <c r="I1142">
        <v>1.1100000000000001</v>
      </c>
      <c r="J1142">
        <v>2.64</v>
      </c>
      <c r="K1142">
        <f t="shared" si="180"/>
        <v>78.7</v>
      </c>
      <c r="L1142">
        <f t="shared" si="181"/>
        <v>91.04</v>
      </c>
      <c r="M1142">
        <f t="shared" si="182"/>
        <v>19.899999999999999</v>
      </c>
      <c r="N1142">
        <f t="shared" si="183"/>
        <v>15.94</v>
      </c>
      <c r="O1142">
        <f t="shared" si="184"/>
        <v>5.8375000000000004</v>
      </c>
      <c r="P1142">
        <f t="shared" si="185"/>
        <v>12.613636363636365</v>
      </c>
      <c r="Q1142">
        <f t="shared" si="186"/>
        <v>2.4444444444444446</v>
      </c>
      <c r="R1142">
        <f t="shared" si="187"/>
        <v>91.04</v>
      </c>
      <c r="S1142" t="str">
        <f t="shared" si="188"/>
        <v>Satisfactory</v>
      </c>
      <c r="T1142" t="str">
        <f t="shared" si="189"/>
        <v>PM10</v>
      </c>
      <c r="U1142">
        <v>26.54</v>
      </c>
      <c r="V1142">
        <v>63.68</v>
      </c>
    </row>
    <row r="1143" spans="1:22" x14ac:dyDescent="0.3">
      <c r="A1143" s="2" t="s">
        <v>15</v>
      </c>
      <c r="B1143">
        <v>560026</v>
      </c>
      <c r="C1143" s="3">
        <v>44643</v>
      </c>
      <c r="D1143">
        <v>64.239999999999995</v>
      </c>
      <c r="E1143">
        <v>130.54</v>
      </c>
      <c r="F1143">
        <v>20.25</v>
      </c>
      <c r="G1143">
        <v>69.08</v>
      </c>
      <c r="H1143">
        <v>4.07</v>
      </c>
      <c r="I1143">
        <v>1.1200000000000001</v>
      </c>
      <c r="J1143">
        <v>3.41</v>
      </c>
      <c r="K1143">
        <f t="shared" si="180"/>
        <v>114.13333333333331</v>
      </c>
      <c r="L1143">
        <f t="shared" si="181"/>
        <v>120.35999999999999</v>
      </c>
      <c r="M1143">
        <f t="shared" si="182"/>
        <v>25.3125</v>
      </c>
      <c r="N1143">
        <f t="shared" si="183"/>
        <v>17.27</v>
      </c>
      <c r="O1143">
        <f t="shared" si="184"/>
        <v>5.0875000000000004</v>
      </c>
      <c r="P1143">
        <f t="shared" si="185"/>
        <v>12.727272727272728</v>
      </c>
      <c r="Q1143">
        <f t="shared" si="186"/>
        <v>3.1574074074074074</v>
      </c>
      <c r="R1143">
        <f t="shared" si="187"/>
        <v>120.35999999999999</v>
      </c>
      <c r="S1143" t="str">
        <f t="shared" si="188"/>
        <v>Moderate</v>
      </c>
      <c r="T1143" t="str">
        <f t="shared" si="189"/>
        <v>PM10</v>
      </c>
      <c r="U1143">
        <v>28.16</v>
      </c>
      <c r="V1143">
        <v>56.62</v>
      </c>
    </row>
    <row r="1144" spans="1:22" x14ac:dyDescent="0.3">
      <c r="A1144" s="2" t="s">
        <v>15</v>
      </c>
      <c r="B1144">
        <v>560026</v>
      </c>
      <c r="C1144" s="3">
        <v>44644</v>
      </c>
      <c r="D1144">
        <v>65.69</v>
      </c>
      <c r="E1144">
        <v>118.8</v>
      </c>
      <c r="F1144">
        <v>15.42</v>
      </c>
      <c r="G1144">
        <v>61.5</v>
      </c>
      <c r="H1144">
        <v>4.67</v>
      </c>
      <c r="I1144">
        <v>0.83</v>
      </c>
      <c r="J1144">
        <v>2.42</v>
      </c>
      <c r="K1144">
        <f t="shared" si="180"/>
        <v>118.96666666666665</v>
      </c>
      <c r="L1144">
        <f t="shared" si="181"/>
        <v>112.53333333333333</v>
      </c>
      <c r="M1144">
        <f t="shared" si="182"/>
        <v>19.274999999999999</v>
      </c>
      <c r="N1144">
        <f t="shared" si="183"/>
        <v>15.375</v>
      </c>
      <c r="O1144">
        <f t="shared" si="184"/>
        <v>5.8375000000000004</v>
      </c>
      <c r="P1144">
        <f t="shared" si="185"/>
        <v>9.4318181818181817</v>
      </c>
      <c r="Q1144">
        <f t="shared" si="186"/>
        <v>2.2407407407407405</v>
      </c>
      <c r="R1144">
        <f t="shared" si="187"/>
        <v>118.96666666666665</v>
      </c>
      <c r="S1144" t="str">
        <f t="shared" si="188"/>
        <v>Moderate</v>
      </c>
      <c r="T1144" t="str">
        <f t="shared" si="189"/>
        <v>PM2.5</v>
      </c>
      <c r="U1144">
        <v>28.07</v>
      </c>
      <c r="V1144">
        <v>55.36</v>
      </c>
    </row>
    <row r="1145" spans="1:22" x14ac:dyDescent="0.3">
      <c r="A1145" s="2" t="s">
        <v>15</v>
      </c>
      <c r="B1145">
        <v>560026</v>
      </c>
      <c r="C1145" s="3">
        <v>44645</v>
      </c>
      <c r="D1145">
        <v>51.02</v>
      </c>
      <c r="E1145">
        <v>94.16</v>
      </c>
      <c r="F1145">
        <v>15.89</v>
      </c>
      <c r="G1145">
        <v>60.29</v>
      </c>
      <c r="H1145">
        <v>4.55</v>
      </c>
      <c r="I1145">
        <v>0.82</v>
      </c>
      <c r="J1145">
        <v>2.33</v>
      </c>
      <c r="K1145">
        <f t="shared" si="180"/>
        <v>85.033333333333331</v>
      </c>
      <c r="L1145">
        <f t="shared" si="181"/>
        <v>94.16</v>
      </c>
      <c r="M1145">
        <f t="shared" si="182"/>
        <v>19.862500000000001</v>
      </c>
      <c r="N1145">
        <f t="shared" si="183"/>
        <v>15.0725</v>
      </c>
      <c r="O1145">
        <f t="shared" si="184"/>
        <v>5.6875</v>
      </c>
      <c r="P1145">
        <f t="shared" si="185"/>
        <v>9.3181818181818166</v>
      </c>
      <c r="Q1145">
        <f t="shared" si="186"/>
        <v>2.1574074074074074</v>
      </c>
      <c r="R1145">
        <f t="shared" si="187"/>
        <v>94.16</v>
      </c>
      <c r="S1145" t="str">
        <f t="shared" si="188"/>
        <v>Satisfactory</v>
      </c>
      <c r="T1145" t="str">
        <f t="shared" si="189"/>
        <v>PM10</v>
      </c>
      <c r="U1145">
        <v>28</v>
      </c>
      <c r="V1145">
        <v>57.03</v>
      </c>
    </row>
    <row r="1146" spans="1:22" x14ac:dyDescent="0.3">
      <c r="A1146" s="2" t="s">
        <v>15</v>
      </c>
      <c r="B1146">
        <v>560026</v>
      </c>
      <c r="C1146" s="3">
        <v>44646</v>
      </c>
      <c r="D1146">
        <v>48.78</v>
      </c>
      <c r="E1146">
        <v>95.87</v>
      </c>
      <c r="F1146">
        <v>15.94</v>
      </c>
      <c r="G1146">
        <v>60.58</v>
      </c>
      <c r="H1146">
        <v>5.01</v>
      </c>
      <c r="I1146">
        <v>1.08</v>
      </c>
      <c r="J1146">
        <v>2.48</v>
      </c>
      <c r="K1146">
        <f t="shared" si="180"/>
        <v>81.3</v>
      </c>
      <c r="L1146">
        <f t="shared" si="181"/>
        <v>95.87</v>
      </c>
      <c r="M1146">
        <f t="shared" si="182"/>
        <v>19.925000000000001</v>
      </c>
      <c r="N1146">
        <f t="shared" si="183"/>
        <v>15.145</v>
      </c>
      <c r="O1146">
        <f t="shared" si="184"/>
        <v>6.2625000000000002</v>
      </c>
      <c r="P1146">
        <f t="shared" si="185"/>
        <v>12.272727272727273</v>
      </c>
      <c r="Q1146">
        <f t="shared" si="186"/>
        <v>2.2962962962962963</v>
      </c>
      <c r="R1146">
        <f t="shared" si="187"/>
        <v>95.87</v>
      </c>
      <c r="S1146" t="str">
        <f t="shared" si="188"/>
        <v>Satisfactory</v>
      </c>
      <c r="T1146" t="str">
        <f t="shared" si="189"/>
        <v>PM10</v>
      </c>
      <c r="U1146">
        <v>28.63</v>
      </c>
      <c r="V1146">
        <v>62.67</v>
      </c>
    </row>
    <row r="1147" spans="1:22" x14ac:dyDescent="0.3">
      <c r="A1147" s="2" t="s">
        <v>15</v>
      </c>
      <c r="B1147">
        <v>560026</v>
      </c>
      <c r="C1147" s="3">
        <v>44647</v>
      </c>
      <c r="D1147">
        <v>59.893571430000001</v>
      </c>
      <c r="E1147">
        <v>110.3903571</v>
      </c>
      <c r="F1147">
        <v>18.941071430000001</v>
      </c>
      <c r="G1147">
        <v>58.90714286</v>
      </c>
      <c r="H1147">
        <v>5.1160714289999998</v>
      </c>
      <c r="I1147">
        <v>0.96392857099999996</v>
      </c>
      <c r="J1147">
        <v>6.5921428569999998</v>
      </c>
      <c r="K1147">
        <f t="shared" si="180"/>
        <v>99.82261905</v>
      </c>
      <c r="L1147">
        <f t="shared" si="181"/>
        <v>106.92690473333333</v>
      </c>
      <c r="M1147">
        <f t="shared" si="182"/>
        <v>23.676339287500003</v>
      </c>
      <c r="N1147">
        <f t="shared" si="183"/>
        <v>14.726785715</v>
      </c>
      <c r="O1147">
        <f t="shared" si="184"/>
        <v>6.3950892862500002</v>
      </c>
      <c r="P1147">
        <f t="shared" si="185"/>
        <v>10.953733761363635</v>
      </c>
      <c r="Q1147">
        <f t="shared" si="186"/>
        <v>6.103835978703704</v>
      </c>
      <c r="R1147">
        <f t="shared" si="187"/>
        <v>106.92690473333333</v>
      </c>
      <c r="S1147" t="str">
        <f t="shared" si="188"/>
        <v>Moderate</v>
      </c>
      <c r="T1147" t="str">
        <f t="shared" si="189"/>
        <v>PM10</v>
      </c>
      <c r="U1147">
        <v>27.25107143</v>
      </c>
      <c r="V1147">
        <v>46.085172409999998</v>
      </c>
    </row>
    <row r="1148" spans="1:22" x14ac:dyDescent="0.3">
      <c r="A1148" s="2" t="s">
        <v>15</v>
      </c>
      <c r="B1148">
        <v>560026</v>
      </c>
      <c r="C1148" s="3">
        <v>44648</v>
      </c>
      <c r="D1148">
        <v>59.893571430000001</v>
      </c>
      <c r="E1148">
        <v>110.3903571</v>
      </c>
      <c r="F1148">
        <v>18.941071430000001</v>
      </c>
      <c r="G1148">
        <v>58.90714286</v>
      </c>
      <c r="H1148">
        <v>5.1160714289999998</v>
      </c>
      <c r="I1148">
        <v>0.96392857099999996</v>
      </c>
      <c r="J1148">
        <v>6.5921428569999998</v>
      </c>
      <c r="K1148">
        <f t="shared" si="180"/>
        <v>99.82261905</v>
      </c>
      <c r="L1148">
        <f t="shared" si="181"/>
        <v>106.92690473333333</v>
      </c>
      <c r="M1148">
        <f t="shared" si="182"/>
        <v>23.676339287500003</v>
      </c>
      <c r="N1148">
        <f t="shared" si="183"/>
        <v>14.726785715</v>
      </c>
      <c r="O1148">
        <f t="shared" si="184"/>
        <v>6.3950892862500002</v>
      </c>
      <c r="P1148">
        <f t="shared" si="185"/>
        <v>10.953733761363635</v>
      </c>
      <c r="Q1148">
        <f t="shared" si="186"/>
        <v>6.103835978703704</v>
      </c>
      <c r="R1148">
        <f t="shared" si="187"/>
        <v>106.92690473333333</v>
      </c>
      <c r="S1148" t="str">
        <f t="shared" si="188"/>
        <v>Moderate</v>
      </c>
      <c r="T1148" t="str">
        <f t="shared" si="189"/>
        <v>PM10</v>
      </c>
      <c r="U1148">
        <v>27.25107143</v>
      </c>
      <c r="V1148">
        <v>46.085172409999998</v>
      </c>
    </row>
    <row r="1149" spans="1:22" x14ac:dyDescent="0.3">
      <c r="A1149" s="2" t="s">
        <v>15</v>
      </c>
      <c r="B1149">
        <v>560026</v>
      </c>
      <c r="C1149" s="3">
        <v>44649</v>
      </c>
      <c r="D1149">
        <v>59.893571430000001</v>
      </c>
      <c r="E1149">
        <v>110.3903571</v>
      </c>
      <c r="F1149">
        <v>18.941071430000001</v>
      </c>
      <c r="G1149">
        <v>58.90714286</v>
      </c>
      <c r="H1149">
        <v>5.1160714289999998</v>
      </c>
      <c r="I1149">
        <v>0.96392857099999996</v>
      </c>
      <c r="J1149">
        <v>6.5921428569999998</v>
      </c>
      <c r="K1149">
        <f t="shared" si="180"/>
        <v>99.82261905</v>
      </c>
      <c r="L1149">
        <f t="shared" si="181"/>
        <v>106.92690473333333</v>
      </c>
      <c r="M1149">
        <f t="shared" si="182"/>
        <v>23.676339287500003</v>
      </c>
      <c r="N1149">
        <f t="shared" si="183"/>
        <v>14.726785715</v>
      </c>
      <c r="O1149">
        <f t="shared" si="184"/>
        <v>6.3950892862500002</v>
      </c>
      <c r="P1149">
        <f t="shared" si="185"/>
        <v>10.953733761363635</v>
      </c>
      <c r="Q1149">
        <f t="shared" si="186"/>
        <v>6.103835978703704</v>
      </c>
      <c r="R1149">
        <f t="shared" si="187"/>
        <v>106.92690473333333</v>
      </c>
      <c r="S1149" t="str">
        <f t="shared" si="188"/>
        <v>Moderate</v>
      </c>
      <c r="T1149" t="str">
        <f t="shared" si="189"/>
        <v>PM10</v>
      </c>
      <c r="U1149">
        <v>27.25107143</v>
      </c>
      <c r="V1149">
        <v>44.61</v>
      </c>
    </row>
    <row r="1150" spans="1:22" x14ac:dyDescent="0.3">
      <c r="A1150" s="2" t="s">
        <v>15</v>
      </c>
      <c r="B1150">
        <v>560026</v>
      </c>
      <c r="C1150" s="3">
        <v>44650</v>
      </c>
      <c r="D1150">
        <v>63.48</v>
      </c>
      <c r="E1150">
        <v>128.69999999999999</v>
      </c>
      <c r="F1150">
        <v>29.39</v>
      </c>
      <c r="G1150">
        <v>32.01</v>
      </c>
      <c r="H1150">
        <v>6.09</v>
      </c>
      <c r="I1150">
        <v>0.9</v>
      </c>
      <c r="J1150">
        <v>10.66</v>
      </c>
      <c r="K1150">
        <f t="shared" si="180"/>
        <v>111.6</v>
      </c>
      <c r="L1150">
        <f t="shared" si="181"/>
        <v>119.13333333333333</v>
      </c>
      <c r="M1150">
        <f t="shared" si="182"/>
        <v>36.737499999999997</v>
      </c>
      <c r="N1150">
        <f t="shared" si="183"/>
        <v>8.0024999999999995</v>
      </c>
      <c r="O1150">
        <f t="shared" si="184"/>
        <v>7.6124999999999998</v>
      </c>
      <c r="P1150">
        <f t="shared" si="185"/>
        <v>10.227272727272727</v>
      </c>
      <c r="Q1150">
        <f t="shared" si="186"/>
        <v>9.8703703703703702</v>
      </c>
      <c r="R1150">
        <f t="shared" si="187"/>
        <v>119.13333333333333</v>
      </c>
      <c r="S1150" t="str">
        <f t="shared" si="188"/>
        <v>Moderate</v>
      </c>
      <c r="T1150" t="str">
        <f t="shared" si="189"/>
        <v>PM10</v>
      </c>
      <c r="U1150">
        <v>28.95</v>
      </c>
      <c r="V1150">
        <v>60.01</v>
      </c>
    </row>
    <row r="1151" spans="1:22" x14ac:dyDescent="0.3">
      <c r="A1151" s="2" t="s">
        <v>15</v>
      </c>
      <c r="B1151">
        <v>560026</v>
      </c>
      <c r="C1151" s="3">
        <v>44651</v>
      </c>
      <c r="D1151">
        <v>64.819999999999993</v>
      </c>
      <c r="E1151">
        <v>123.41</v>
      </c>
      <c r="F1151">
        <v>19.59</v>
      </c>
      <c r="G1151">
        <v>30.63</v>
      </c>
      <c r="H1151">
        <v>6.3</v>
      </c>
      <c r="I1151">
        <v>0.96</v>
      </c>
      <c r="J1151">
        <v>6.13</v>
      </c>
      <c r="K1151">
        <f t="shared" si="180"/>
        <v>116.06666666666665</v>
      </c>
      <c r="L1151">
        <f t="shared" si="181"/>
        <v>115.60666666666667</v>
      </c>
      <c r="M1151">
        <f t="shared" si="182"/>
        <v>24.487500000000001</v>
      </c>
      <c r="N1151">
        <f t="shared" si="183"/>
        <v>7.6574999999999998</v>
      </c>
      <c r="O1151">
        <f t="shared" si="184"/>
        <v>7.875</v>
      </c>
      <c r="P1151">
        <f t="shared" si="185"/>
        <v>10.909090909090908</v>
      </c>
      <c r="Q1151">
        <f t="shared" si="186"/>
        <v>5.6759259259259256</v>
      </c>
      <c r="R1151">
        <f t="shared" si="187"/>
        <v>116.06666666666665</v>
      </c>
      <c r="S1151" t="str">
        <f t="shared" si="188"/>
        <v>Moderate</v>
      </c>
      <c r="T1151" t="str">
        <f t="shared" si="189"/>
        <v>PM2.5</v>
      </c>
      <c r="U1151">
        <v>28.87</v>
      </c>
      <c r="V1151">
        <v>54.93</v>
      </c>
    </row>
    <row r="1152" spans="1:22" x14ac:dyDescent="0.3">
      <c r="A1152" s="2" t="s">
        <v>15</v>
      </c>
      <c r="B1152">
        <v>560026</v>
      </c>
      <c r="C1152" s="3">
        <v>44652</v>
      </c>
      <c r="D1152">
        <v>53.88</v>
      </c>
      <c r="E1152">
        <v>97.15</v>
      </c>
      <c r="F1152">
        <v>14.73</v>
      </c>
      <c r="G1152">
        <v>27.45</v>
      </c>
      <c r="H1152">
        <v>6.18</v>
      </c>
      <c r="I1152">
        <v>0.78</v>
      </c>
      <c r="J1152">
        <v>5.52</v>
      </c>
      <c r="K1152">
        <f t="shared" si="180"/>
        <v>89.800000000000011</v>
      </c>
      <c r="L1152">
        <f t="shared" si="181"/>
        <v>97.15</v>
      </c>
      <c r="M1152">
        <f t="shared" si="182"/>
        <v>18.412500000000001</v>
      </c>
      <c r="N1152">
        <f t="shared" si="183"/>
        <v>6.8624999999999998</v>
      </c>
      <c r="O1152">
        <f t="shared" si="184"/>
        <v>7.7249999999999996</v>
      </c>
      <c r="P1152">
        <f t="shared" si="185"/>
        <v>8.8636363636363633</v>
      </c>
      <c r="Q1152">
        <f t="shared" si="186"/>
        <v>5.1111111111111107</v>
      </c>
      <c r="R1152">
        <f t="shared" si="187"/>
        <v>97.15</v>
      </c>
      <c r="S1152" t="str">
        <f t="shared" si="188"/>
        <v>Satisfactory</v>
      </c>
      <c r="T1152" t="str">
        <f t="shared" si="189"/>
        <v>PM10</v>
      </c>
      <c r="U1152">
        <v>27.74</v>
      </c>
      <c r="V1152">
        <v>63.8</v>
      </c>
    </row>
    <row r="1153" spans="1:22" x14ac:dyDescent="0.3">
      <c r="A1153" s="2" t="s">
        <v>15</v>
      </c>
      <c r="B1153">
        <v>560026</v>
      </c>
      <c r="C1153" s="3">
        <v>44653</v>
      </c>
      <c r="D1153">
        <v>51.43</v>
      </c>
      <c r="E1153">
        <v>81.37</v>
      </c>
      <c r="F1153">
        <v>11.93</v>
      </c>
      <c r="G1153">
        <v>23.49</v>
      </c>
      <c r="H1153">
        <v>5.4</v>
      </c>
      <c r="I1153">
        <v>0.73</v>
      </c>
      <c r="J1153">
        <v>5.31</v>
      </c>
      <c r="K1153">
        <f t="shared" si="180"/>
        <v>85.716666666666669</v>
      </c>
      <c r="L1153">
        <f t="shared" si="181"/>
        <v>81.37</v>
      </c>
      <c r="M1153">
        <f t="shared" si="182"/>
        <v>14.9125</v>
      </c>
      <c r="N1153">
        <f t="shared" si="183"/>
        <v>5.8724999999999996</v>
      </c>
      <c r="O1153">
        <f t="shared" si="184"/>
        <v>6.75</v>
      </c>
      <c r="P1153">
        <f t="shared" si="185"/>
        <v>8.295454545454545</v>
      </c>
      <c r="Q1153">
        <f t="shared" si="186"/>
        <v>4.9166666666666661</v>
      </c>
      <c r="R1153">
        <f t="shared" si="187"/>
        <v>85.716666666666669</v>
      </c>
      <c r="S1153" t="str">
        <f t="shared" si="188"/>
        <v>Satisfactory</v>
      </c>
      <c r="T1153" t="str">
        <f t="shared" si="189"/>
        <v>PM2.5</v>
      </c>
      <c r="U1153">
        <v>27.97</v>
      </c>
      <c r="V1153">
        <v>56.66</v>
      </c>
    </row>
    <row r="1154" spans="1:22" x14ac:dyDescent="0.3">
      <c r="A1154" s="2" t="s">
        <v>15</v>
      </c>
      <c r="B1154">
        <v>560026</v>
      </c>
      <c r="C1154" s="3">
        <v>44654</v>
      </c>
      <c r="D1154">
        <v>54.45</v>
      </c>
      <c r="E1154">
        <v>87</v>
      </c>
      <c r="F1154">
        <v>10.74</v>
      </c>
      <c r="G1154">
        <v>23.53</v>
      </c>
      <c r="H1154">
        <v>6.02</v>
      </c>
      <c r="I1154">
        <v>0.69</v>
      </c>
      <c r="J1154">
        <v>5.17</v>
      </c>
      <c r="K1154">
        <f t="shared" si="180"/>
        <v>90.75</v>
      </c>
      <c r="L1154">
        <f t="shared" si="181"/>
        <v>87</v>
      </c>
      <c r="M1154">
        <f t="shared" si="182"/>
        <v>13.425000000000001</v>
      </c>
      <c r="N1154">
        <f t="shared" si="183"/>
        <v>5.8825000000000003</v>
      </c>
      <c r="O1154">
        <f t="shared" si="184"/>
        <v>7.5250000000000004</v>
      </c>
      <c r="P1154">
        <f t="shared" si="185"/>
        <v>7.8409090909090899</v>
      </c>
      <c r="Q1154">
        <f t="shared" si="186"/>
        <v>4.7870370370370372</v>
      </c>
      <c r="R1154">
        <f t="shared" si="187"/>
        <v>90.75</v>
      </c>
      <c r="S1154" t="str">
        <f t="shared" si="188"/>
        <v>Satisfactory</v>
      </c>
      <c r="T1154" t="str">
        <f t="shared" si="189"/>
        <v>PM2.5</v>
      </c>
      <c r="U1154">
        <v>28.55</v>
      </c>
      <c r="V1154">
        <v>54.02</v>
      </c>
    </row>
    <row r="1155" spans="1:22" x14ac:dyDescent="0.3">
      <c r="A1155" s="2" t="s">
        <v>15</v>
      </c>
      <c r="B1155">
        <v>560026</v>
      </c>
      <c r="C1155" s="3">
        <v>44655</v>
      </c>
      <c r="D1155">
        <v>62.6</v>
      </c>
      <c r="E1155">
        <v>89.59</v>
      </c>
      <c r="F1155">
        <v>13.13</v>
      </c>
      <c r="G1155">
        <v>27.27</v>
      </c>
      <c r="H1155">
        <v>6.24</v>
      </c>
      <c r="I1155">
        <v>0.73</v>
      </c>
      <c r="J1155">
        <v>5.1100000000000003</v>
      </c>
      <c r="K1155">
        <f t="shared" si="180"/>
        <v>108.66666666666667</v>
      </c>
      <c r="L1155">
        <f t="shared" si="181"/>
        <v>89.59</v>
      </c>
      <c r="M1155">
        <f t="shared" si="182"/>
        <v>16.412500000000001</v>
      </c>
      <c r="N1155">
        <f t="shared" si="183"/>
        <v>6.8174999999999999</v>
      </c>
      <c r="O1155">
        <f t="shared" si="184"/>
        <v>7.8</v>
      </c>
      <c r="P1155">
        <f t="shared" si="185"/>
        <v>8.295454545454545</v>
      </c>
      <c r="Q1155">
        <f t="shared" si="186"/>
        <v>4.7314814814814818</v>
      </c>
      <c r="R1155">
        <f t="shared" si="187"/>
        <v>108.66666666666667</v>
      </c>
      <c r="S1155" t="str">
        <f t="shared" si="188"/>
        <v>Moderate</v>
      </c>
      <c r="T1155" t="str">
        <f t="shared" si="189"/>
        <v>PM2.5</v>
      </c>
      <c r="U1155">
        <v>29.3</v>
      </c>
      <c r="V1155">
        <v>48.09</v>
      </c>
    </row>
    <row r="1156" spans="1:22" x14ac:dyDescent="0.3">
      <c r="A1156" s="2" t="s">
        <v>15</v>
      </c>
      <c r="B1156">
        <v>560026</v>
      </c>
      <c r="C1156" s="3">
        <v>44656</v>
      </c>
      <c r="D1156">
        <v>54.78</v>
      </c>
      <c r="E1156">
        <v>82.49</v>
      </c>
      <c r="F1156">
        <v>11.23</v>
      </c>
      <c r="G1156">
        <v>26.87</v>
      </c>
      <c r="H1156">
        <v>5.8</v>
      </c>
      <c r="I1156">
        <v>0.67</v>
      </c>
      <c r="J1156">
        <v>5.14</v>
      </c>
      <c r="K1156">
        <f t="shared" si="180"/>
        <v>91.3</v>
      </c>
      <c r="L1156">
        <f t="shared" si="181"/>
        <v>82.49</v>
      </c>
      <c r="M1156">
        <f t="shared" si="182"/>
        <v>14.0375</v>
      </c>
      <c r="N1156">
        <f t="shared" si="183"/>
        <v>6.7175000000000002</v>
      </c>
      <c r="O1156">
        <f t="shared" si="184"/>
        <v>7.25</v>
      </c>
      <c r="P1156">
        <f t="shared" si="185"/>
        <v>7.6136363636363642</v>
      </c>
      <c r="Q1156">
        <f t="shared" si="186"/>
        <v>4.7592592592592586</v>
      </c>
      <c r="R1156">
        <f t="shared" si="187"/>
        <v>91.3</v>
      </c>
      <c r="S1156" t="str">
        <f t="shared" si="188"/>
        <v>Satisfactory</v>
      </c>
      <c r="T1156" t="str">
        <f t="shared" si="189"/>
        <v>PM2.5</v>
      </c>
      <c r="U1156">
        <v>28.75</v>
      </c>
      <c r="V1156">
        <v>49.86</v>
      </c>
    </row>
    <row r="1157" spans="1:22" x14ac:dyDescent="0.3">
      <c r="A1157" s="2" t="s">
        <v>15</v>
      </c>
      <c r="B1157">
        <v>560026</v>
      </c>
      <c r="C1157" s="3">
        <v>44657</v>
      </c>
      <c r="D1157">
        <v>60.8</v>
      </c>
      <c r="E1157">
        <v>98.16</v>
      </c>
      <c r="F1157">
        <v>14.83</v>
      </c>
      <c r="G1157">
        <v>28.88</v>
      </c>
      <c r="H1157">
        <v>5.72</v>
      </c>
      <c r="I1157">
        <v>0.74</v>
      </c>
      <c r="J1157">
        <v>5.27</v>
      </c>
      <c r="K1157">
        <f t="shared" si="180"/>
        <v>102.66666666666666</v>
      </c>
      <c r="L1157">
        <f t="shared" si="181"/>
        <v>98.16</v>
      </c>
      <c r="M1157">
        <f t="shared" si="182"/>
        <v>18.537500000000001</v>
      </c>
      <c r="N1157">
        <f t="shared" si="183"/>
        <v>7.22</v>
      </c>
      <c r="O1157">
        <f t="shared" si="184"/>
        <v>7.15</v>
      </c>
      <c r="P1157">
        <f t="shared" si="185"/>
        <v>8.4090909090909083</v>
      </c>
      <c r="Q1157">
        <f t="shared" si="186"/>
        <v>4.8796296296296289</v>
      </c>
      <c r="R1157">
        <f t="shared" si="187"/>
        <v>102.66666666666666</v>
      </c>
      <c r="S1157" t="str">
        <f t="shared" si="188"/>
        <v>Moderate</v>
      </c>
      <c r="T1157" t="str">
        <f t="shared" si="189"/>
        <v>PM2.5</v>
      </c>
      <c r="U1157">
        <v>29.57</v>
      </c>
      <c r="V1157">
        <v>44.77</v>
      </c>
    </row>
    <row r="1158" spans="1:22" x14ac:dyDescent="0.3">
      <c r="A1158" s="2" t="s">
        <v>15</v>
      </c>
      <c r="B1158">
        <v>560026</v>
      </c>
      <c r="C1158" s="3">
        <v>44658</v>
      </c>
      <c r="D1158">
        <v>61.85</v>
      </c>
      <c r="E1158">
        <v>107.59</v>
      </c>
      <c r="F1158">
        <v>16.3</v>
      </c>
      <c r="G1158">
        <v>35.14</v>
      </c>
      <c r="H1158">
        <v>6.22</v>
      </c>
      <c r="I1158">
        <v>0.9</v>
      </c>
      <c r="J1158">
        <v>5.26</v>
      </c>
      <c r="K1158">
        <f t="shared" si="180"/>
        <v>106.16666666666667</v>
      </c>
      <c r="L1158">
        <f t="shared" si="181"/>
        <v>105.06</v>
      </c>
      <c r="M1158">
        <f t="shared" si="182"/>
        <v>20.375</v>
      </c>
      <c r="N1158">
        <f t="shared" si="183"/>
        <v>8.7850000000000001</v>
      </c>
      <c r="O1158">
        <f t="shared" si="184"/>
        <v>7.7750000000000004</v>
      </c>
      <c r="P1158">
        <f t="shared" si="185"/>
        <v>10.227272727272727</v>
      </c>
      <c r="Q1158">
        <f t="shared" si="186"/>
        <v>4.8703703703703702</v>
      </c>
      <c r="R1158">
        <f t="shared" si="187"/>
        <v>106.16666666666667</v>
      </c>
      <c r="S1158" t="str">
        <f t="shared" si="188"/>
        <v>Moderate</v>
      </c>
      <c r="T1158" t="str">
        <f t="shared" si="189"/>
        <v>PM2.5</v>
      </c>
      <c r="U1158">
        <v>29.5</v>
      </c>
      <c r="V1158">
        <v>47.55</v>
      </c>
    </row>
    <row r="1159" spans="1:22" x14ac:dyDescent="0.3">
      <c r="A1159" s="2" t="s">
        <v>15</v>
      </c>
      <c r="B1159">
        <v>560026</v>
      </c>
      <c r="C1159" s="3">
        <v>44659</v>
      </c>
      <c r="D1159">
        <v>45.62</v>
      </c>
      <c r="E1159">
        <v>79.959999999999994</v>
      </c>
      <c r="F1159">
        <v>12.05</v>
      </c>
      <c r="G1159">
        <v>35.14</v>
      </c>
      <c r="H1159">
        <v>6.48</v>
      </c>
      <c r="I1159">
        <v>0.78</v>
      </c>
      <c r="J1159">
        <v>5.49</v>
      </c>
      <c r="K1159">
        <f t="shared" si="180"/>
        <v>76.033333333333331</v>
      </c>
      <c r="L1159">
        <f t="shared" si="181"/>
        <v>79.959999999999994</v>
      </c>
      <c r="M1159">
        <f t="shared" si="182"/>
        <v>15.0625</v>
      </c>
      <c r="N1159">
        <f t="shared" si="183"/>
        <v>8.7850000000000001</v>
      </c>
      <c r="O1159">
        <f t="shared" si="184"/>
        <v>8.1</v>
      </c>
      <c r="P1159">
        <f t="shared" si="185"/>
        <v>8.8636363636363633</v>
      </c>
      <c r="Q1159">
        <f t="shared" si="186"/>
        <v>5.0833333333333339</v>
      </c>
      <c r="R1159">
        <f t="shared" si="187"/>
        <v>79.959999999999994</v>
      </c>
      <c r="S1159" t="str">
        <f t="shared" si="188"/>
        <v>Satisfactory</v>
      </c>
      <c r="T1159" t="str">
        <f t="shared" si="189"/>
        <v>PM10</v>
      </c>
      <c r="U1159">
        <v>29.55</v>
      </c>
      <c r="V1159">
        <v>50.3</v>
      </c>
    </row>
    <row r="1160" spans="1:22" x14ac:dyDescent="0.3">
      <c r="A1160" s="2" t="s">
        <v>15</v>
      </c>
      <c r="B1160">
        <v>560026</v>
      </c>
      <c r="C1160" s="3">
        <v>44660</v>
      </c>
      <c r="D1160">
        <v>40.14</v>
      </c>
      <c r="E1160">
        <v>70.709999999999994</v>
      </c>
      <c r="F1160">
        <v>12.14</v>
      </c>
      <c r="G1160">
        <v>35.200000000000003</v>
      </c>
      <c r="H1160">
        <v>5.48</v>
      </c>
      <c r="I1160">
        <v>0.83</v>
      </c>
      <c r="J1160">
        <v>5.23</v>
      </c>
      <c r="K1160">
        <f t="shared" si="180"/>
        <v>66.900000000000006</v>
      </c>
      <c r="L1160">
        <f t="shared" si="181"/>
        <v>70.709999999999994</v>
      </c>
      <c r="M1160">
        <f t="shared" si="182"/>
        <v>15.175000000000001</v>
      </c>
      <c r="N1160">
        <f t="shared" si="183"/>
        <v>8.8000000000000007</v>
      </c>
      <c r="O1160">
        <f t="shared" si="184"/>
        <v>6.85</v>
      </c>
      <c r="P1160">
        <f t="shared" si="185"/>
        <v>9.4318181818181817</v>
      </c>
      <c r="Q1160">
        <f t="shared" si="186"/>
        <v>4.8425925925925934</v>
      </c>
      <c r="R1160">
        <f t="shared" si="187"/>
        <v>70.709999999999994</v>
      </c>
      <c r="S1160" t="str">
        <f t="shared" si="188"/>
        <v>Satisfactory</v>
      </c>
      <c r="T1160" t="str">
        <f t="shared" si="189"/>
        <v>PM10</v>
      </c>
      <c r="U1160">
        <v>29.28</v>
      </c>
      <c r="V1160">
        <v>51.47</v>
      </c>
    </row>
    <row r="1161" spans="1:22" x14ac:dyDescent="0.3">
      <c r="A1161" s="2" t="s">
        <v>15</v>
      </c>
      <c r="B1161">
        <v>560026</v>
      </c>
      <c r="C1161" s="3">
        <v>44661</v>
      </c>
      <c r="D1161">
        <v>40.51</v>
      </c>
      <c r="E1161">
        <v>64.819999999999993</v>
      </c>
      <c r="F1161">
        <v>12.07</v>
      </c>
      <c r="G1161">
        <v>37.659999999999997</v>
      </c>
      <c r="H1161">
        <v>5.24</v>
      </c>
      <c r="I1161">
        <v>0.84</v>
      </c>
      <c r="J1161">
        <v>4.57</v>
      </c>
      <c r="K1161">
        <f t="shared" si="180"/>
        <v>67.516666666666666</v>
      </c>
      <c r="L1161">
        <f t="shared" si="181"/>
        <v>64.819999999999993</v>
      </c>
      <c r="M1161">
        <f t="shared" si="182"/>
        <v>15.0875</v>
      </c>
      <c r="N1161">
        <f t="shared" si="183"/>
        <v>9.4149999999999991</v>
      </c>
      <c r="O1161">
        <f t="shared" si="184"/>
        <v>6.55</v>
      </c>
      <c r="P1161">
        <f t="shared" si="185"/>
        <v>9.545454545454545</v>
      </c>
      <c r="Q1161">
        <f t="shared" si="186"/>
        <v>4.2314814814814818</v>
      </c>
      <c r="R1161">
        <f t="shared" si="187"/>
        <v>67.516666666666666</v>
      </c>
      <c r="S1161" t="str">
        <f t="shared" si="188"/>
        <v>Satisfactory</v>
      </c>
      <c r="T1161" t="str">
        <f t="shared" si="189"/>
        <v>PM2.5</v>
      </c>
      <c r="U1161">
        <v>28.62</v>
      </c>
      <c r="V1161">
        <v>53.16</v>
      </c>
    </row>
    <row r="1162" spans="1:22" x14ac:dyDescent="0.3">
      <c r="A1162" s="2" t="s">
        <v>15</v>
      </c>
      <c r="B1162">
        <v>560026</v>
      </c>
      <c r="C1162" s="3">
        <v>44662</v>
      </c>
      <c r="D1162">
        <v>46.82</v>
      </c>
      <c r="E1162">
        <v>75.25</v>
      </c>
      <c r="F1162">
        <v>14.76</v>
      </c>
      <c r="G1162">
        <v>46.18</v>
      </c>
      <c r="H1162">
        <v>5.3</v>
      </c>
      <c r="I1162">
        <v>0.85</v>
      </c>
      <c r="J1162">
        <v>4.04</v>
      </c>
      <c r="K1162">
        <f t="shared" si="180"/>
        <v>78.033333333333331</v>
      </c>
      <c r="L1162">
        <f t="shared" si="181"/>
        <v>75.25</v>
      </c>
      <c r="M1162">
        <f t="shared" si="182"/>
        <v>18.45</v>
      </c>
      <c r="N1162">
        <f t="shared" si="183"/>
        <v>11.545</v>
      </c>
      <c r="O1162">
        <f t="shared" si="184"/>
        <v>6.625</v>
      </c>
      <c r="P1162">
        <f t="shared" si="185"/>
        <v>9.6590909090909083</v>
      </c>
      <c r="Q1162">
        <f t="shared" si="186"/>
        <v>3.7407407407407409</v>
      </c>
      <c r="R1162">
        <f t="shared" si="187"/>
        <v>78.033333333333331</v>
      </c>
      <c r="S1162" t="str">
        <f t="shared" si="188"/>
        <v>Satisfactory</v>
      </c>
      <c r="T1162" t="str">
        <f t="shared" si="189"/>
        <v>PM2.5</v>
      </c>
      <c r="U1162">
        <v>29.76</v>
      </c>
      <c r="V1162">
        <v>50.54</v>
      </c>
    </row>
    <row r="1163" spans="1:22" x14ac:dyDescent="0.3">
      <c r="A1163" s="2" t="s">
        <v>15</v>
      </c>
      <c r="B1163">
        <v>560026</v>
      </c>
      <c r="C1163" s="3">
        <v>44663</v>
      </c>
      <c r="D1163">
        <v>31.68</v>
      </c>
      <c r="E1163">
        <v>62.14</v>
      </c>
      <c r="F1163">
        <v>12.05</v>
      </c>
      <c r="G1163">
        <v>37.409999999999997</v>
      </c>
      <c r="H1163">
        <v>5.56</v>
      </c>
      <c r="I1163">
        <v>0.78</v>
      </c>
      <c r="J1163">
        <v>3.55</v>
      </c>
      <c r="K1163">
        <f t="shared" si="180"/>
        <v>52.8</v>
      </c>
      <c r="L1163">
        <f t="shared" si="181"/>
        <v>62.14</v>
      </c>
      <c r="M1163">
        <f t="shared" si="182"/>
        <v>15.0625</v>
      </c>
      <c r="N1163">
        <f t="shared" si="183"/>
        <v>9.3524999999999991</v>
      </c>
      <c r="O1163">
        <f t="shared" si="184"/>
        <v>6.95</v>
      </c>
      <c r="P1163">
        <f t="shared" si="185"/>
        <v>8.8636363636363633</v>
      </c>
      <c r="Q1163">
        <f t="shared" si="186"/>
        <v>3.2870370370370368</v>
      </c>
      <c r="R1163">
        <f t="shared" si="187"/>
        <v>62.14</v>
      </c>
      <c r="S1163" t="str">
        <f t="shared" si="188"/>
        <v>Satisfactory</v>
      </c>
      <c r="T1163" t="str">
        <f t="shared" si="189"/>
        <v>PM10</v>
      </c>
      <c r="U1163">
        <v>29.7</v>
      </c>
      <c r="V1163">
        <v>52.26</v>
      </c>
    </row>
    <row r="1164" spans="1:22" x14ac:dyDescent="0.3">
      <c r="A1164" s="2" t="s">
        <v>15</v>
      </c>
      <c r="B1164">
        <v>560026</v>
      </c>
      <c r="C1164" s="3">
        <v>44664</v>
      </c>
      <c r="D1164">
        <v>25.74</v>
      </c>
      <c r="E1164">
        <v>55.24</v>
      </c>
      <c r="F1164">
        <v>11.79</v>
      </c>
      <c r="G1164">
        <v>29.89</v>
      </c>
      <c r="H1164">
        <v>5.03</v>
      </c>
      <c r="I1164">
        <v>0.84</v>
      </c>
      <c r="J1164">
        <v>4.6399999999999997</v>
      </c>
      <c r="K1164">
        <f t="shared" si="180"/>
        <v>42.9</v>
      </c>
      <c r="L1164">
        <f t="shared" si="181"/>
        <v>55.24</v>
      </c>
      <c r="M1164">
        <f t="shared" si="182"/>
        <v>14.737500000000001</v>
      </c>
      <c r="N1164">
        <f t="shared" si="183"/>
        <v>7.4725000000000001</v>
      </c>
      <c r="O1164">
        <f t="shared" si="184"/>
        <v>6.2874999999999996</v>
      </c>
      <c r="P1164">
        <f t="shared" si="185"/>
        <v>9.545454545454545</v>
      </c>
      <c r="Q1164">
        <f t="shared" si="186"/>
        <v>4.2962962962962958</v>
      </c>
      <c r="R1164">
        <f t="shared" si="187"/>
        <v>55.24</v>
      </c>
      <c r="S1164" t="str">
        <f t="shared" si="188"/>
        <v>Satisfactory</v>
      </c>
      <c r="T1164" t="str">
        <f t="shared" si="189"/>
        <v>PM10</v>
      </c>
      <c r="U1164">
        <v>26.52</v>
      </c>
      <c r="V1164">
        <v>67.819999999999993</v>
      </c>
    </row>
    <row r="1165" spans="1:22" x14ac:dyDescent="0.3">
      <c r="A1165" s="2" t="s">
        <v>15</v>
      </c>
      <c r="B1165">
        <v>560026</v>
      </c>
      <c r="C1165" s="3">
        <v>44665</v>
      </c>
      <c r="D1165">
        <v>22.77</v>
      </c>
      <c r="E1165">
        <v>47.68</v>
      </c>
      <c r="F1165">
        <v>14.72</v>
      </c>
      <c r="G1165">
        <v>23.43</v>
      </c>
      <c r="H1165">
        <v>5.2</v>
      </c>
      <c r="I1165">
        <v>0.63</v>
      </c>
      <c r="J1165">
        <v>5.08</v>
      </c>
      <c r="K1165">
        <f t="shared" si="180"/>
        <v>37.950000000000003</v>
      </c>
      <c r="L1165">
        <f t="shared" si="181"/>
        <v>47.68</v>
      </c>
      <c r="M1165">
        <f t="shared" si="182"/>
        <v>18.399999999999999</v>
      </c>
      <c r="N1165">
        <f t="shared" si="183"/>
        <v>5.8574999999999999</v>
      </c>
      <c r="O1165">
        <f t="shared" si="184"/>
        <v>6.5</v>
      </c>
      <c r="P1165">
        <f t="shared" si="185"/>
        <v>7.1590909090909092</v>
      </c>
      <c r="Q1165">
        <f t="shared" si="186"/>
        <v>4.7037037037037042</v>
      </c>
      <c r="R1165">
        <f t="shared" si="187"/>
        <v>47.68</v>
      </c>
      <c r="S1165" t="str">
        <f t="shared" si="188"/>
        <v>Good</v>
      </c>
      <c r="T1165" t="str">
        <f t="shared" si="189"/>
        <v>PM10</v>
      </c>
      <c r="U1165">
        <v>26.05</v>
      </c>
      <c r="V1165">
        <v>68.59</v>
      </c>
    </row>
    <row r="1166" spans="1:22" x14ac:dyDescent="0.3">
      <c r="A1166" s="2" t="s">
        <v>15</v>
      </c>
      <c r="B1166">
        <v>560026</v>
      </c>
      <c r="C1166" s="3">
        <v>44666</v>
      </c>
      <c r="D1166">
        <v>47.547499999999999</v>
      </c>
      <c r="E1166">
        <v>82.912142860000003</v>
      </c>
      <c r="F1166">
        <v>16.079310339999999</v>
      </c>
      <c r="G1166">
        <v>35.038965519999998</v>
      </c>
      <c r="H1166">
        <v>5.5024137929999997</v>
      </c>
      <c r="I1166">
        <v>0.82307692300000002</v>
      </c>
      <c r="J1166">
        <v>0.1</v>
      </c>
      <c r="K1166">
        <f t="shared" si="180"/>
        <v>79.245833333333337</v>
      </c>
      <c r="L1166">
        <f t="shared" si="181"/>
        <v>82.912142860000003</v>
      </c>
      <c r="M1166">
        <f t="shared" si="182"/>
        <v>20.099137925000001</v>
      </c>
      <c r="N1166">
        <f t="shared" si="183"/>
        <v>8.7597413799999995</v>
      </c>
      <c r="O1166">
        <f t="shared" si="184"/>
        <v>6.8780172412499994</v>
      </c>
      <c r="P1166">
        <f t="shared" si="185"/>
        <v>9.3531468522727277</v>
      </c>
      <c r="Q1166">
        <f t="shared" si="186"/>
        <v>9.2592592592592601E-2</v>
      </c>
      <c r="R1166">
        <f t="shared" si="187"/>
        <v>82.912142860000003</v>
      </c>
      <c r="S1166" t="str">
        <f t="shared" si="188"/>
        <v>Satisfactory</v>
      </c>
      <c r="T1166" t="str">
        <f t="shared" si="189"/>
        <v>PM10</v>
      </c>
      <c r="U1166">
        <v>32.5</v>
      </c>
      <c r="V1166">
        <v>54.302413790000003</v>
      </c>
    </row>
    <row r="1167" spans="1:22" x14ac:dyDescent="0.3">
      <c r="A1167" s="2" t="s">
        <v>15</v>
      </c>
      <c r="B1167">
        <v>560026</v>
      </c>
      <c r="C1167" s="3">
        <v>44667</v>
      </c>
      <c r="D1167">
        <v>27.64</v>
      </c>
      <c r="E1167">
        <v>51.29</v>
      </c>
      <c r="F1167">
        <v>28.33</v>
      </c>
      <c r="G1167">
        <v>59.82</v>
      </c>
      <c r="H1167">
        <v>6.05</v>
      </c>
      <c r="I1167">
        <v>0.88</v>
      </c>
      <c r="J1167">
        <v>9.01</v>
      </c>
      <c r="K1167">
        <f t="shared" si="180"/>
        <v>46.06666666666667</v>
      </c>
      <c r="L1167">
        <f t="shared" si="181"/>
        <v>51.29</v>
      </c>
      <c r="M1167">
        <f t="shared" si="182"/>
        <v>35.412500000000001</v>
      </c>
      <c r="N1167">
        <f t="shared" si="183"/>
        <v>14.955</v>
      </c>
      <c r="O1167">
        <f t="shared" si="184"/>
        <v>7.5625</v>
      </c>
      <c r="P1167">
        <f t="shared" si="185"/>
        <v>10</v>
      </c>
      <c r="Q1167">
        <f t="shared" si="186"/>
        <v>8.3425925925925917</v>
      </c>
      <c r="R1167">
        <f t="shared" si="187"/>
        <v>51.29</v>
      </c>
      <c r="S1167" t="str">
        <f t="shared" si="188"/>
        <v>Satisfactory</v>
      </c>
      <c r="T1167" t="str">
        <f t="shared" si="189"/>
        <v>PM10</v>
      </c>
      <c r="U1167">
        <v>25.64</v>
      </c>
      <c r="V1167">
        <v>72.540000000000006</v>
      </c>
    </row>
    <row r="1168" spans="1:22" x14ac:dyDescent="0.3">
      <c r="A1168" s="2" t="s">
        <v>15</v>
      </c>
      <c r="B1168">
        <v>560026</v>
      </c>
      <c r="C1168" s="3">
        <v>44668</v>
      </c>
      <c r="D1168">
        <v>43.48</v>
      </c>
      <c r="E1168">
        <v>74.680000000000007</v>
      </c>
      <c r="F1168">
        <v>17.309999999999999</v>
      </c>
      <c r="G1168">
        <v>42.45</v>
      </c>
      <c r="H1168">
        <v>4.24</v>
      </c>
      <c r="I1168">
        <v>0.73</v>
      </c>
      <c r="J1168">
        <v>7.21</v>
      </c>
      <c r="K1168">
        <f t="shared" si="180"/>
        <v>72.466666666666669</v>
      </c>
      <c r="L1168">
        <f t="shared" si="181"/>
        <v>74.680000000000007</v>
      </c>
      <c r="M1168">
        <f t="shared" si="182"/>
        <v>21.637499999999996</v>
      </c>
      <c r="N1168">
        <f t="shared" si="183"/>
        <v>10.612500000000001</v>
      </c>
      <c r="O1168">
        <f t="shared" si="184"/>
        <v>5.3</v>
      </c>
      <c r="P1168">
        <f t="shared" si="185"/>
        <v>8.295454545454545</v>
      </c>
      <c r="Q1168">
        <f t="shared" si="186"/>
        <v>6.6759259259259256</v>
      </c>
      <c r="R1168">
        <f t="shared" si="187"/>
        <v>74.680000000000007</v>
      </c>
      <c r="S1168" t="str">
        <f t="shared" si="188"/>
        <v>Satisfactory</v>
      </c>
      <c r="T1168" t="str">
        <f t="shared" si="189"/>
        <v>PM10</v>
      </c>
      <c r="U1168">
        <v>26.59</v>
      </c>
      <c r="V1168">
        <v>65.959999999999994</v>
      </c>
    </row>
    <row r="1169" spans="1:22" x14ac:dyDescent="0.3">
      <c r="A1169" s="2" t="s">
        <v>15</v>
      </c>
      <c r="B1169">
        <v>560026</v>
      </c>
      <c r="C1169" s="3">
        <v>44669</v>
      </c>
      <c r="D1169">
        <v>40.4</v>
      </c>
      <c r="E1169">
        <v>69.180000000000007</v>
      </c>
      <c r="F1169">
        <v>20.22</v>
      </c>
      <c r="G1169">
        <v>40.28</v>
      </c>
      <c r="H1169">
        <v>5.29</v>
      </c>
      <c r="I1169">
        <v>1.18</v>
      </c>
      <c r="J1169">
        <v>6.82</v>
      </c>
      <c r="K1169">
        <f t="shared" si="180"/>
        <v>67.333333333333329</v>
      </c>
      <c r="L1169">
        <f t="shared" si="181"/>
        <v>69.180000000000007</v>
      </c>
      <c r="M1169">
        <f t="shared" si="182"/>
        <v>25.274999999999999</v>
      </c>
      <c r="N1169">
        <f t="shared" si="183"/>
        <v>10.07</v>
      </c>
      <c r="O1169">
        <f t="shared" si="184"/>
        <v>6.6124999999999998</v>
      </c>
      <c r="P1169">
        <f t="shared" si="185"/>
        <v>13.409090909090908</v>
      </c>
      <c r="Q1169">
        <f t="shared" si="186"/>
        <v>6.3148148148148149</v>
      </c>
      <c r="R1169">
        <f t="shared" si="187"/>
        <v>69.180000000000007</v>
      </c>
      <c r="S1169" t="str">
        <f t="shared" si="188"/>
        <v>Satisfactory</v>
      </c>
      <c r="T1169" t="str">
        <f t="shared" si="189"/>
        <v>PM10</v>
      </c>
      <c r="U1169">
        <v>25.74</v>
      </c>
      <c r="V1169">
        <v>67.52</v>
      </c>
    </row>
    <row r="1170" spans="1:22" x14ac:dyDescent="0.3">
      <c r="A1170" s="2" t="s">
        <v>15</v>
      </c>
      <c r="B1170">
        <v>560026</v>
      </c>
      <c r="C1170" s="3">
        <v>44670</v>
      </c>
      <c r="D1170">
        <v>50.39</v>
      </c>
      <c r="E1170">
        <v>97.66</v>
      </c>
      <c r="F1170">
        <v>26.79</v>
      </c>
      <c r="G1170">
        <v>44.4</v>
      </c>
      <c r="H1170">
        <v>5.53</v>
      </c>
      <c r="I1170">
        <v>0.93</v>
      </c>
      <c r="J1170">
        <v>6.49</v>
      </c>
      <c r="K1170">
        <f t="shared" si="180"/>
        <v>83.983333333333334</v>
      </c>
      <c r="L1170">
        <f t="shared" si="181"/>
        <v>97.66</v>
      </c>
      <c r="M1170">
        <f t="shared" si="182"/>
        <v>33.487499999999997</v>
      </c>
      <c r="N1170">
        <f t="shared" si="183"/>
        <v>11.1</v>
      </c>
      <c r="O1170">
        <f t="shared" si="184"/>
        <v>6.9124999999999996</v>
      </c>
      <c r="P1170">
        <f t="shared" si="185"/>
        <v>10.568181818181818</v>
      </c>
      <c r="Q1170">
        <f t="shared" si="186"/>
        <v>6.0092592592592595</v>
      </c>
      <c r="R1170">
        <f t="shared" si="187"/>
        <v>97.66</v>
      </c>
      <c r="S1170" t="str">
        <f t="shared" si="188"/>
        <v>Satisfactory</v>
      </c>
      <c r="T1170" t="str">
        <f t="shared" si="189"/>
        <v>PM10</v>
      </c>
      <c r="U1170">
        <v>27.41</v>
      </c>
      <c r="V1170">
        <v>59.43</v>
      </c>
    </row>
    <row r="1171" spans="1:22" x14ac:dyDescent="0.3">
      <c r="A1171" s="2" t="s">
        <v>15</v>
      </c>
      <c r="B1171">
        <v>560026</v>
      </c>
      <c r="C1171" s="3">
        <v>44671</v>
      </c>
      <c r="D1171">
        <v>69.569999999999993</v>
      </c>
      <c r="E1171">
        <v>110.22</v>
      </c>
      <c r="F1171">
        <v>26.94</v>
      </c>
      <c r="G1171">
        <v>41.81</v>
      </c>
      <c r="H1171">
        <v>4.87</v>
      </c>
      <c r="I1171">
        <v>1.17</v>
      </c>
      <c r="J1171">
        <v>6.2</v>
      </c>
      <c r="K1171">
        <f t="shared" si="180"/>
        <v>131.89999999999998</v>
      </c>
      <c r="L1171">
        <f t="shared" si="181"/>
        <v>106.81333333333333</v>
      </c>
      <c r="M1171">
        <f t="shared" si="182"/>
        <v>33.674999999999997</v>
      </c>
      <c r="N1171">
        <f t="shared" si="183"/>
        <v>10.452500000000001</v>
      </c>
      <c r="O1171">
        <f t="shared" si="184"/>
        <v>6.0875000000000004</v>
      </c>
      <c r="P1171">
        <f t="shared" si="185"/>
        <v>13.295454545454545</v>
      </c>
      <c r="Q1171">
        <f t="shared" si="186"/>
        <v>5.7407407407407414</v>
      </c>
      <c r="R1171">
        <f t="shared" si="187"/>
        <v>131.89999999999998</v>
      </c>
      <c r="S1171" t="str">
        <f t="shared" si="188"/>
        <v>Moderate</v>
      </c>
      <c r="T1171" t="str">
        <f t="shared" si="189"/>
        <v>PM2.5</v>
      </c>
      <c r="U1171">
        <v>29.25</v>
      </c>
      <c r="V1171">
        <v>50.59</v>
      </c>
    </row>
    <row r="1172" spans="1:22" x14ac:dyDescent="0.3">
      <c r="A1172" s="2" t="s">
        <v>15</v>
      </c>
      <c r="B1172">
        <v>560026</v>
      </c>
      <c r="C1172" s="3">
        <v>44672</v>
      </c>
      <c r="D1172">
        <v>62.34</v>
      </c>
      <c r="E1172">
        <v>99.92</v>
      </c>
      <c r="F1172">
        <v>17.25</v>
      </c>
      <c r="G1172">
        <v>31.91</v>
      </c>
      <c r="H1172">
        <v>5.16</v>
      </c>
      <c r="I1172">
        <v>0.66</v>
      </c>
      <c r="J1172">
        <v>6.11</v>
      </c>
      <c r="K1172">
        <f t="shared" si="180"/>
        <v>107.80000000000001</v>
      </c>
      <c r="L1172">
        <f t="shared" si="181"/>
        <v>99.92</v>
      </c>
      <c r="M1172">
        <f t="shared" si="182"/>
        <v>21.5625</v>
      </c>
      <c r="N1172">
        <f t="shared" si="183"/>
        <v>7.9775</v>
      </c>
      <c r="O1172">
        <f t="shared" si="184"/>
        <v>6.45</v>
      </c>
      <c r="P1172">
        <f t="shared" si="185"/>
        <v>7.5</v>
      </c>
      <c r="Q1172">
        <f t="shared" si="186"/>
        <v>5.6574074074074074</v>
      </c>
      <c r="R1172">
        <f t="shared" si="187"/>
        <v>107.80000000000001</v>
      </c>
      <c r="S1172" t="str">
        <f t="shared" si="188"/>
        <v>Moderate</v>
      </c>
      <c r="T1172" t="str">
        <f t="shared" si="189"/>
        <v>PM2.5</v>
      </c>
      <c r="U1172">
        <v>30.32</v>
      </c>
      <c r="V1172">
        <v>50.16</v>
      </c>
    </row>
    <row r="1173" spans="1:22" x14ac:dyDescent="0.3">
      <c r="A1173" s="2" t="s">
        <v>15</v>
      </c>
      <c r="B1173">
        <v>560026</v>
      </c>
      <c r="C1173" s="3">
        <v>44673</v>
      </c>
      <c r="D1173">
        <v>50.79</v>
      </c>
      <c r="E1173">
        <v>96.65</v>
      </c>
      <c r="F1173">
        <v>13.01</v>
      </c>
      <c r="G1173">
        <v>34.61</v>
      </c>
      <c r="H1173">
        <v>5.69</v>
      </c>
      <c r="I1173">
        <v>0.63</v>
      </c>
      <c r="J1173">
        <v>5.96</v>
      </c>
      <c r="K1173">
        <f t="shared" si="180"/>
        <v>84.65</v>
      </c>
      <c r="L1173">
        <f t="shared" si="181"/>
        <v>96.65</v>
      </c>
      <c r="M1173">
        <f t="shared" si="182"/>
        <v>16.262499999999999</v>
      </c>
      <c r="N1173">
        <f t="shared" si="183"/>
        <v>8.6524999999999999</v>
      </c>
      <c r="O1173">
        <f t="shared" si="184"/>
        <v>7.1124999999999998</v>
      </c>
      <c r="P1173">
        <f t="shared" si="185"/>
        <v>7.1590909090909092</v>
      </c>
      <c r="Q1173">
        <f t="shared" si="186"/>
        <v>5.5185185185185182</v>
      </c>
      <c r="R1173">
        <f t="shared" si="187"/>
        <v>96.65</v>
      </c>
      <c r="S1173" t="str">
        <f t="shared" si="188"/>
        <v>Satisfactory</v>
      </c>
      <c r="T1173" t="str">
        <f t="shared" si="189"/>
        <v>PM10</v>
      </c>
      <c r="U1173">
        <v>27.27</v>
      </c>
      <c r="V1173">
        <v>61.92</v>
      </c>
    </row>
    <row r="1174" spans="1:22" x14ac:dyDescent="0.3">
      <c r="A1174" s="2" t="s">
        <v>15</v>
      </c>
      <c r="B1174">
        <v>560026</v>
      </c>
      <c r="C1174" s="3">
        <v>44674</v>
      </c>
      <c r="D1174">
        <v>43.41</v>
      </c>
      <c r="E1174">
        <v>70.56</v>
      </c>
      <c r="F1174">
        <v>17.149999999999999</v>
      </c>
      <c r="G1174">
        <v>30.18</v>
      </c>
      <c r="H1174">
        <v>6.18</v>
      </c>
      <c r="I1174">
        <v>0.82307692300000002</v>
      </c>
      <c r="J1174">
        <v>6.11</v>
      </c>
      <c r="K1174">
        <f t="shared" si="180"/>
        <v>72.349999999999994</v>
      </c>
      <c r="L1174">
        <f t="shared" si="181"/>
        <v>70.56</v>
      </c>
      <c r="M1174">
        <f t="shared" si="182"/>
        <v>21.437499999999996</v>
      </c>
      <c r="N1174">
        <f t="shared" si="183"/>
        <v>7.5449999999999999</v>
      </c>
      <c r="O1174">
        <f t="shared" si="184"/>
        <v>7.7249999999999996</v>
      </c>
      <c r="P1174">
        <f t="shared" si="185"/>
        <v>9.3531468522727277</v>
      </c>
      <c r="Q1174">
        <f t="shared" si="186"/>
        <v>5.6574074074074074</v>
      </c>
      <c r="R1174">
        <f t="shared" si="187"/>
        <v>72.349999999999994</v>
      </c>
      <c r="S1174" t="str">
        <f t="shared" si="188"/>
        <v>Satisfactory</v>
      </c>
      <c r="T1174" t="str">
        <f t="shared" si="189"/>
        <v>PM2.5</v>
      </c>
      <c r="U1174">
        <v>30.43</v>
      </c>
      <c r="V1174">
        <v>46.02</v>
      </c>
    </row>
    <row r="1175" spans="1:22" x14ac:dyDescent="0.3">
      <c r="A1175" s="2" t="s">
        <v>15</v>
      </c>
      <c r="B1175">
        <v>560026</v>
      </c>
      <c r="C1175" s="3">
        <v>44675</v>
      </c>
      <c r="D1175">
        <v>42.43</v>
      </c>
      <c r="E1175">
        <v>64.87</v>
      </c>
      <c r="F1175">
        <v>14.03</v>
      </c>
      <c r="G1175">
        <v>27.26</v>
      </c>
      <c r="H1175">
        <v>5.46</v>
      </c>
      <c r="I1175">
        <v>0.82307692300000002</v>
      </c>
      <c r="J1175">
        <v>6.14</v>
      </c>
      <c r="K1175">
        <f t="shared" si="180"/>
        <v>70.716666666666669</v>
      </c>
      <c r="L1175">
        <f t="shared" si="181"/>
        <v>64.87</v>
      </c>
      <c r="M1175">
        <f t="shared" si="182"/>
        <v>17.537500000000001</v>
      </c>
      <c r="N1175">
        <f t="shared" si="183"/>
        <v>6.8150000000000004</v>
      </c>
      <c r="O1175">
        <f t="shared" si="184"/>
        <v>6.8250000000000002</v>
      </c>
      <c r="P1175">
        <f t="shared" si="185"/>
        <v>9.3531468522727277</v>
      </c>
      <c r="Q1175">
        <f t="shared" si="186"/>
        <v>5.6851851851851851</v>
      </c>
      <c r="R1175">
        <f t="shared" si="187"/>
        <v>70.716666666666669</v>
      </c>
      <c r="S1175" t="str">
        <f t="shared" si="188"/>
        <v>Satisfactory</v>
      </c>
      <c r="T1175" t="str">
        <f t="shared" si="189"/>
        <v>PM2.5</v>
      </c>
      <c r="U1175">
        <v>29.55</v>
      </c>
      <c r="V1175">
        <v>51.05</v>
      </c>
    </row>
    <row r="1176" spans="1:22" x14ac:dyDescent="0.3">
      <c r="A1176" s="2" t="s">
        <v>15</v>
      </c>
      <c r="B1176">
        <v>560026</v>
      </c>
      <c r="C1176" s="3">
        <v>44676</v>
      </c>
      <c r="D1176">
        <v>45.79</v>
      </c>
      <c r="E1176">
        <v>83.64</v>
      </c>
      <c r="F1176">
        <v>15.63</v>
      </c>
      <c r="G1176">
        <v>31.22</v>
      </c>
      <c r="H1176">
        <v>5.39</v>
      </c>
      <c r="I1176">
        <v>0.82307692300000002</v>
      </c>
      <c r="J1176">
        <v>6.62</v>
      </c>
      <c r="K1176">
        <f t="shared" si="180"/>
        <v>76.316666666666663</v>
      </c>
      <c r="L1176">
        <f t="shared" si="181"/>
        <v>83.64</v>
      </c>
      <c r="M1176">
        <f t="shared" si="182"/>
        <v>19.537500000000001</v>
      </c>
      <c r="N1176">
        <f t="shared" si="183"/>
        <v>7.8049999999999997</v>
      </c>
      <c r="O1176">
        <f t="shared" si="184"/>
        <v>6.7374999999999998</v>
      </c>
      <c r="P1176">
        <f t="shared" si="185"/>
        <v>9.3531468522727277</v>
      </c>
      <c r="Q1176">
        <f t="shared" si="186"/>
        <v>6.1296296296296298</v>
      </c>
      <c r="R1176">
        <f t="shared" si="187"/>
        <v>83.64</v>
      </c>
      <c r="S1176" t="str">
        <f t="shared" si="188"/>
        <v>Satisfactory</v>
      </c>
      <c r="T1176" t="str">
        <f t="shared" si="189"/>
        <v>PM10</v>
      </c>
      <c r="U1176">
        <v>29.77</v>
      </c>
      <c r="V1176">
        <v>50.84</v>
      </c>
    </row>
    <row r="1177" spans="1:22" x14ac:dyDescent="0.3">
      <c r="A1177" s="2" t="s">
        <v>15</v>
      </c>
      <c r="B1177">
        <v>560026</v>
      </c>
      <c r="C1177" s="3">
        <v>44677</v>
      </c>
      <c r="D1177">
        <v>47.547499999999999</v>
      </c>
      <c r="E1177">
        <v>82.912142860000003</v>
      </c>
      <c r="F1177">
        <v>13.2</v>
      </c>
      <c r="G1177">
        <v>21.8</v>
      </c>
      <c r="H1177">
        <v>5.4</v>
      </c>
      <c r="I1177">
        <v>0.38</v>
      </c>
      <c r="J1177">
        <v>10.75</v>
      </c>
      <c r="K1177">
        <f t="shared" si="180"/>
        <v>79.245833333333337</v>
      </c>
      <c r="L1177">
        <f t="shared" si="181"/>
        <v>82.912142860000003</v>
      </c>
      <c r="M1177">
        <f t="shared" si="182"/>
        <v>16.5</v>
      </c>
      <c r="N1177">
        <f t="shared" si="183"/>
        <v>5.45</v>
      </c>
      <c r="O1177">
        <f t="shared" si="184"/>
        <v>6.75</v>
      </c>
      <c r="P1177">
        <f t="shared" si="185"/>
        <v>4.3181818181818183</v>
      </c>
      <c r="Q1177">
        <f t="shared" si="186"/>
        <v>9.9537037037037042</v>
      </c>
      <c r="R1177">
        <f t="shared" si="187"/>
        <v>82.912142860000003</v>
      </c>
      <c r="S1177" t="str">
        <f t="shared" si="188"/>
        <v>Satisfactory</v>
      </c>
      <c r="T1177" t="str">
        <f t="shared" si="189"/>
        <v>PM10</v>
      </c>
      <c r="U1177">
        <v>28.16</v>
      </c>
      <c r="V1177">
        <v>52.67</v>
      </c>
    </row>
    <row r="1178" spans="1:22" x14ac:dyDescent="0.3">
      <c r="A1178" s="2" t="s">
        <v>15</v>
      </c>
      <c r="B1178">
        <v>560026</v>
      </c>
      <c r="C1178" s="3">
        <v>44678</v>
      </c>
      <c r="D1178">
        <v>56.48</v>
      </c>
      <c r="E1178">
        <v>106.57</v>
      </c>
      <c r="F1178">
        <v>17.77</v>
      </c>
      <c r="G1178">
        <v>49.31</v>
      </c>
      <c r="H1178">
        <v>3.87</v>
      </c>
      <c r="I1178">
        <v>1.28</v>
      </c>
      <c r="J1178">
        <v>8.76</v>
      </c>
      <c r="K1178">
        <f t="shared" si="180"/>
        <v>94.133333333333326</v>
      </c>
      <c r="L1178">
        <f t="shared" si="181"/>
        <v>104.38</v>
      </c>
      <c r="M1178">
        <f t="shared" si="182"/>
        <v>22.212499999999999</v>
      </c>
      <c r="N1178">
        <f t="shared" si="183"/>
        <v>12.327500000000001</v>
      </c>
      <c r="O1178">
        <f t="shared" si="184"/>
        <v>4.8375000000000004</v>
      </c>
      <c r="P1178">
        <f t="shared" si="185"/>
        <v>14.545454545454545</v>
      </c>
      <c r="Q1178">
        <f t="shared" si="186"/>
        <v>8.1111111111111107</v>
      </c>
      <c r="R1178">
        <f t="shared" si="187"/>
        <v>104.38</v>
      </c>
      <c r="S1178" t="str">
        <f t="shared" si="188"/>
        <v>Moderate</v>
      </c>
      <c r="T1178" t="str">
        <f t="shared" si="189"/>
        <v>PM10</v>
      </c>
      <c r="U1178">
        <v>33.04</v>
      </c>
      <c r="V1178">
        <v>35.03</v>
      </c>
    </row>
    <row r="1179" spans="1:22" x14ac:dyDescent="0.3">
      <c r="A1179" s="2" t="s">
        <v>15</v>
      </c>
      <c r="B1179">
        <v>560026</v>
      </c>
      <c r="C1179" s="3">
        <v>44679</v>
      </c>
      <c r="D1179">
        <v>47.63</v>
      </c>
      <c r="E1179">
        <v>90.27</v>
      </c>
      <c r="F1179">
        <v>14.78</v>
      </c>
      <c r="G1179">
        <v>40.08</v>
      </c>
      <c r="H1179">
        <v>5.42</v>
      </c>
      <c r="I1179">
        <v>0.82</v>
      </c>
      <c r="J1179">
        <v>6.87</v>
      </c>
      <c r="K1179">
        <f t="shared" si="180"/>
        <v>79.38333333333334</v>
      </c>
      <c r="L1179">
        <f t="shared" si="181"/>
        <v>90.27</v>
      </c>
      <c r="M1179">
        <f t="shared" si="182"/>
        <v>18.475000000000001</v>
      </c>
      <c r="N1179">
        <f t="shared" si="183"/>
        <v>10.02</v>
      </c>
      <c r="O1179">
        <f t="shared" si="184"/>
        <v>6.7750000000000004</v>
      </c>
      <c r="P1179">
        <f t="shared" si="185"/>
        <v>9.3181818181818166</v>
      </c>
      <c r="Q1179">
        <f t="shared" si="186"/>
        <v>6.3611111111111116</v>
      </c>
      <c r="R1179">
        <f t="shared" si="187"/>
        <v>90.27</v>
      </c>
      <c r="S1179" t="str">
        <f t="shared" si="188"/>
        <v>Satisfactory</v>
      </c>
      <c r="T1179" t="str">
        <f t="shared" si="189"/>
        <v>PM10</v>
      </c>
      <c r="U1179">
        <v>29.98</v>
      </c>
      <c r="V1179">
        <v>49.95</v>
      </c>
    </row>
    <row r="1180" spans="1:22" x14ac:dyDescent="0.3">
      <c r="A1180" s="2" t="s">
        <v>15</v>
      </c>
      <c r="B1180">
        <v>560026</v>
      </c>
      <c r="C1180" s="3">
        <v>44680</v>
      </c>
      <c r="D1180">
        <v>54.03</v>
      </c>
      <c r="E1180">
        <v>118.34</v>
      </c>
      <c r="F1180">
        <v>22.23</v>
      </c>
      <c r="G1180">
        <v>44.6</v>
      </c>
      <c r="H1180">
        <v>5.4</v>
      </c>
      <c r="I1180">
        <v>0.94</v>
      </c>
      <c r="J1180">
        <v>6.34</v>
      </c>
      <c r="K1180">
        <f t="shared" si="180"/>
        <v>90.05</v>
      </c>
      <c r="L1180">
        <f t="shared" si="181"/>
        <v>112.22666666666667</v>
      </c>
      <c r="M1180">
        <f t="shared" si="182"/>
        <v>27.787500000000001</v>
      </c>
      <c r="N1180">
        <f t="shared" si="183"/>
        <v>11.15</v>
      </c>
      <c r="O1180">
        <f t="shared" si="184"/>
        <v>6.75</v>
      </c>
      <c r="P1180">
        <f t="shared" si="185"/>
        <v>10.681818181818182</v>
      </c>
      <c r="Q1180">
        <f t="shared" si="186"/>
        <v>5.8703703703703702</v>
      </c>
      <c r="R1180">
        <f t="shared" si="187"/>
        <v>112.22666666666667</v>
      </c>
      <c r="S1180" t="str">
        <f t="shared" si="188"/>
        <v>Moderate</v>
      </c>
      <c r="T1180" t="str">
        <f t="shared" si="189"/>
        <v>PM10</v>
      </c>
      <c r="U1180">
        <v>30.26</v>
      </c>
      <c r="V1180">
        <v>46.55</v>
      </c>
    </row>
    <row r="1181" spans="1:22" x14ac:dyDescent="0.3">
      <c r="A1181" s="2" t="s">
        <v>15</v>
      </c>
      <c r="B1181">
        <v>560026</v>
      </c>
      <c r="C1181" s="3">
        <v>44681</v>
      </c>
      <c r="D1181">
        <v>43.88</v>
      </c>
      <c r="E1181">
        <v>88.54</v>
      </c>
      <c r="F1181">
        <v>19.190000000000001</v>
      </c>
      <c r="G1181">
        <v>38.86</v>
      </c>
      <c r="H1181">
        <v>5.75</v>
      </c>
      <c r="I1181">
        <v>1.01</v>
      </c>
      <c r="J1181">
        <v>6.23</v>
      </c>
      <c r="K1181">
        <f t="shared" si="180"/>
        <v>73.13333333333334</v>
      </c>
      <c r="L1181">
        <f t="shared" si="181"/>
        <v>88.54</v>
      </c>
      <c r="M1181">
        <f t="shared" si="182"/>
        <v>23.987500000000004</v>
      </c>
      <c r="N1181">
        <f t="shared" si="183"/>
        <v>9.7149999999999999</v>
      </c>
      <c r="O1181">
        <f t="shared" si="184"/>
        <v>7.1875</v>
      </c>
      <c r="P1181">
        <f t="shared" si="185"/>
        <v>11.477272727272727</v>
      </c>
      <c r="Q1181">
        <f t="shared" si="186"/>
        <v>5.768518518518519</v>
      </c>
      <c r="R1181">
        <f t="shared" si="187"/>
        <v>88.54</v>
      </c>
      <c r="S1181" t="str">
        <f t="shared" si="188"/>
        <v>Satisfactory</v>
      </c>
      <c r="T1181" t="str">
        <f t="shared" si="189"/>
        <v>PM10</v>
      </c>
      <c r="U1181">
        <v>28.81</v>
      </c>
      <c r="V1181">
        <v>55.65</v>
      </c>
    </row>
    <row r="1182" spans="1:22" x14ac:dyDescent="0.3">
      <c r="A1182" s="2" t="s">
        <v>15</v>
      </c>
      <c r="B1182">
        <v>560026</v>
      </c>
      <c r="C1182" s="3">
        <v>44682</v>
      </c>
      <c r="D1182">
        <v>46.49</v>
      </c>
      <c r="E1182">
        <v>93.29</v>
      </c>
      <c r="F1182">
        <v>13.95</v>
      </c>
      <c r="G1182">
        <v>35.14</v>
      </c>
      <c r="H1182">
        <v>5.55</v>
      </c>
      <c r="I1182">
        <v>0.97</v>
      </c>
      <c r="J1182">
        <v>7.22</v>
      </c>
      <c r="K1182">
        <f t="shared" si="180"/>
        <v>77.483333333333334</v>
      </c>
      <c r="L1182">
        <f t="shared" si="181"/>
        <v>93.29</v>
      </c>
      <c r="M1182">
        <f t="shared" si="182"/>
        <v>17.4375</v>
      </c>
      <c r="N1182">
        <f t="shared" si="183"/>
        <v>8.7850000000000001</v>
      </c>
      <c r="O1182">
        <f t="shared" si="184"/>
        <v>6.9375</v>
      </c>
      <c r="P1182">
        <f t="shared" si="185"/>
        <v>11.022727272727272</v>
      </c>
      <c r="Q1182">
        <f t="shared" si="186"/>
        <v>6.6851851851851851</v>
      </c>
      <c r="R1182">
        <f t="shared" si="187"/>
        <v>93.29</v>
      </c>
      <c r="S1182" t="str">
        <f t="shared" si="188"/>
        <v>Satisfactory</v>
      </c>
      <c r="T1182" t="str">
        <f t="shared" si="189"/>
        <v>PM10</v>
      </c>
      <c r="U1182">
        <v>23.13</v>
      </c>
      <c r="V1182">
        <v>76.45</v>
      </c>
    </row>
    <row r="1183" spans="1:22" x14ac:dyDescent="0.3">
      <c r="A1183" s="2" t="s">
        <v>15</v>
      </c>
      <c r="B1183">
        <v>560026</v>
      </c>
      <c r="C1183" s="3">
        <v>44683</v>
      </c>
      <c r="D1183">
        <v>32.520000000000003</v>
      </c>
      <c r="E1183">
        <v>75.36</v>
      </c>
      <c r="F1183">
        <v>22.56</v>
      </c>
      <c r="G1183">
        <v>42.81</v>
      </c>
      <c r="H1183">
        <v>5.24</v>
      </c>
      <c r="I1183">
        <v>0.92</v>
      </c>
      <c r="J1183">
        <v>6.56</v>
      </c>
      <c r="K1183">
        <f t="shared" si="180"/>
        <v>54.2</v>
      </c>
      <c r="L1183">
        <f t="shared" si="181"/>
        <v>75.36</v>
      </c>
      <c r="M1183">
        <f t="shared" si="182"/>
        <v>28.2</v>
      </c>
      <c r="N1183">
        <f t="shared" si="183"/>
        <v>10.702500000000001</v>
      </c>
      <c r="O1183">
        <f t="shared" si="184"/>
        <v>6.55</v>
      </c>
      <c r="P1183">
        <f t="shared" si="185"/>
        <v>10.454545454545455</v>
      </c>
      <c r="Q1183">
        <f t="shared" si="186"/>
        <v>6.0740740740740735</v>
      </c>
      <c r="R1183">
        <f t="shared" si="187"/>
        <v>75.36</v>
      </c>
      <c r="S1183" t="str">
        <f t="shared" si="188"/>
        <v>Satisfactory</v>
      </c>
      <c r="T1183" t="str">
        <f t="shared" si="189"/>
        <v>PM10</v>
      </c>
      <c r="U1183">
        <v>27.55</v>
      </c>
      <c r="V1183">
        <v>61.91</v>
      </c>
    </row>
    <row r="1184" spans="1:22" x14ac:dyDescent="0.3">
      <c r="A1184" s="2" t="s">
        <v>15</v>
      </c>
      <c r="B1184">
        <v>560026</v>
      </c>
      <c r="C1184" s="3">
        <v>44684</v>
      </c>
      <c r="D1184">
        <v>32.479999999999997</v>
      </c>
      <c r="E1184">
        <v>66.16</v>
      </c>
      <c r="F1184">
        <v>20.97</v>
      </c>
      <c r="G1184">
        <v>26.06</v>
      </c>
      <c r="H1184">
        <v>6.03</v>
      </c>
      <c r="I1184">
        <v>1.05</v>
      </c>
      <c r="J1184">
        <v>5.92</v>
      </c>
      <c r="K1184">
        <f t="shared" ref="K1184:K1247" si="190">IF(ISTEXT(D1184),0,IF(D1184&lt;=30,D1184*50/30,IF(AND(D1184&gt;30,D1184&lt;=60),50+(D1184-30)*50/30,IF(AND(D1184&gt;60,D1184&lt;=90),100+(D1184-60)*100/30,IF(AND(D1184&gt;90,D1184&lt;=120),200+(D1184-90)*(100/30),IF(AND(D1184&gt;120,D1184&lt;=250),300+(D1184-120)*(100/130),IF(D1184&gt;250,400+(D1184-250)*(100/130))))))))</f>
        <v>54.133333333333326</v>
      </c>
      <c r="L1184">
        <f t="shared" ref="L1184:L1247" si="191">IF(ISTEXT(E1184),0,IF(E1184&lt;=50,E1184,IF(AND(E1184&gt;50,E1184&lt;=100),E1184,IF(AND(E1184&gt;100,E1184&lt;=250),100+(E1184-100)*100/150,IF(AND(E1184&gt;250,E1184&lt;=350),200+(E1184-250),IF(AND(E1184&gt;350,E1184&lt;=430),300+(E1184-350)*(100/80),IF(E1184&gt;430,400+(E1184-430)*(100/80))))))))</f>
        <v>66.16</v>
      </c>
      <c r="M1184">
        <f t="shared" ref="M1184:M1247" si="192">IF(ISTEXT(F1184),0,IF(F1184&lt;=40,F1184*50/40,IF(AND(F1184&gt;40,F1184&lt;=80),50+(F1184-40)*50/40,IF(AND(F1184&gt;80,F1184&lt;=180),100+(F1184-80)*100/100,IF(AND(F1184&gt;180,F1184&lt;=280),200+(F1184-180)*(100/100),IF(AND(F1184&gt;280,F1184&lt;=400),300+(F1184-280)*(100/120),IF(F1184&gt;400,400+(F1184-400)*(100/120))))))))</f>
        <v>26.212499999999999</v>
      </c>
      <c r="N1184">
        <f t="shared" ref="N1184:N1247" si="193">IF(ISTEXT(G1184),0,IF(G1184&lt;=200,G1184*50/200,IF(AND(G1184&gt;200,G1184&lt;=400),50+(G1184-200)*50/200,IF(AND(G1184&gt;400,G1184&lt;=800),100+(G1184-400)*100/400,IF(AND(G1184&gt;800,G1184&lt;=1200),200+(G1184-800)*(100/400),IF(AND(G1184&gt;1200,G1184&lt;=1800),300+(G1184-1200)*(100/600),IF(G1184&gt;1800,400+(G1184-1800)*(100/600))))))))</f>
        <v>6.5149999999999997</v>
      </c>
      <c r="O1184">
        <f t="shared" ref="O1184:O1247" si="194">IF(ISTEXT(H1184),0,IF(H1184&lt;=40,H1184*50/40,IF(AND(H1184&gt;40,H1184&lt;=80),50+(H1184-40)*50/40,IF(AND(H1184&gt;80,H1184&lt;=380),100+(H1184-80)*100/300,IF(AND(H1184&gt;380,H1184&lt;=800),200+(H1184-380)*(100/420),IF(AND(H1184&gt;800,H1184&lt;=1600),300+(H1184-800)*(100/800),IF(H1184&gt;1600,400+(H1184-1600)*(100/800))))))))</f>
        <v>7.5374999999999996</v>
      </c>
      <c r="P1184">
        <f t="shared" ref="P1184:P1247" si="195">IF(I1184&lt;=4.4,(50-0)/(4.4-0)*(I1184-0)+0,
IF(I1184&lt;=9.4,(100-51)/(9.4-4.5)*(I1184-4.5)+51,
IF(I1184&lt;=12.4,(150-101)/(12.4-9.5)*(I1184-9.5)+101,
IF(I1184&lt;=15.4,(200-151)/(15.4-12.5)*(I1184-12.5)+151,
IF(I1184&lt;=30.4,(300-201)/(30.4-15.5)*(I1184-15.5)+201,
(500-301)/(50.4-30.5)*(I1184-30.5)+301)))))</f>
        <v>11.931818181818182</v>
      </c>
      <c r="Q1184">
        <f t="shared" ref="Q1184:Q1247" si="196">IF(J1184&lt;=54,(50-0)/(54-0)*(J1184-0)+0,
IF(J1184&lt;=70,(100-51)/(70-55)*(J1184-55)+51,
IF(J1184&lt;=85,(150-101)/(85-71)*(J1184-71)+101,
IF(J1184&lt;=105,(200-151)/(105-86)*(J1184-86)+151,
IF(J1184&lt;=200,(300-201)/(200-106)*(J1184-106)+201,
(500-301)/(300-201)*(J1184-201)+301)))))</f>
        <v>5.4814814814814818</v>
      </c>
      <c r="R1184">
        <f t="shared" ref="R1184:R1247" si="197">MAX(K1184:Q1184)</f>
        <v>66.16</v>
      </c>
      <c r="S1184" t="str">
        <f t="shared" ref="S1184:S1247" si="198">IF(R1184&lt;=50,"Good",
IF(R1184&lt;=100,"Satisfactory",
IF(R1184&lt;=200,"Moderate",
IF(R1184&lt;=300,"Poor",
IF(R1184&lt;=400,"Very Poor",
"Severe")))))</f>
        <v>Satisfactory</v>
      </c>
      <c r="T1184" t="str">
        <f t="shared" ref="T1184:T1247" si="199">IF(MAX(K1184:Q1184)=K1184,"PM2.5",
IF(MAX(K1184:Q1184)=L1184,"PM10",
IF(MAX(K1184:Q1184)=M1184,"NO2",
IF(MAX(K1184:Q1184)=N1184,"NH3",
IF(MAX(K1184:Q1184)=O1184,"SO2",
IF(MAX(K1184:Q1184)=P1184,"CO",
IF(MAX(K1184:Q1184)=Q1184,"OZONE","")))))))</f>
        <v>PM10</v>
      </c>
      <c r="U1184">
        <v>27.92</v>
      </c>
      <c r="V1184">
        <v>60.34</v>
      </c>
    </row>
    <row r="1185" spans="1:22" x14ac:dyDescent="0.3">
      <c r="A1185" s="2" t="s">
        <v>15</v>
      </c>
      <c r="B1185">
        <v>560026</v>
      </c>
      <c r="C1185" s="3">
        <v>44685</v>
      </c>
      <c r="D1185">
        <v>32.43</v>
      </c>
      <c r="E1185">
        <v>65.41</v>
      </c>
      <c r="F1185">
        <v>25.32</v>
      </c>
      <c r="G1185">
        <v>28.03</v>
      </c>
      <c r="H1185">
        <v>5.61</v>
      </c>
      <c r="I1185">
        <v>0.98</v>
      </c>
      <c r="J1185">
        <v>6.01</v>
      </c>
      <c r="K1185">
        <f t="shared" si="190"/>
        <v>54.05</v>
      </c>
      <c r="L1185">
        <f t="shared" si="191"/>
        <v>65.41</v>
      </c>
      <c r="M1185">
        <f t="shared" si="192"/>
        <v>31.65</v>
      </c>
      <c r="N1185">
        <f t="shared" si="193"/>
        <v>7.0075000000000003</v>
      </c>
      <c r="O1185">
        <f t="shared" si="194"/>
        <v>7.0125000000000002</v>
      </c>
      <c r="P1185">
        <f t="shared" si="195"/>
        <v>11.136363636363637</v>
      </c>
      <c r="Q1185">
        <f t="shared" si="196"/>
        <v>5.5648148148148149</v>
      </c>
      <c r="R1185">
        <f t="shared" si="197"/>
        <v>65.41</v>
      </c>
      <c r="S1185" t="str">
        <f t="shared" si="198"/>
        <v>Satisfactory</v>
      </c>
      <c r="T1185" t="str">
        <f t="shared" si="199"/>
        <v>PM10</v>
      </c>
      <c r="U1185">
        <v>28.27</v>
      </c>
      <c r="V1185">
        <v>57.68</v>
      </c>
    </row>
    <row r="1186" spans="1:22" x14ac:dyDescent="0.3">
      <c r="A1186" s="2" t="s">
        <v>15</v>
      </c>
      <c r="B1186">
        <v>560026</v>
      </c>
      <c r="C1186" s="3">
        <v>44686</v>
      </c>
      <c r="D1186">
        <v>23.58</v>
      </c>
      <c r="E1186">
        <v>63.6</v>
      </c>
      <c r="F1186">
        <v>28.66</v>
      </c>
      <c r="G1186">
        <v>32.68</v>
      </c>
      <c r="H1186">
        <v>5.94</v>
      </c>
      <c r="I1186">
        <v>1.04</v>
      </c>
      <c r="J1186">
        <v>7.79</v>
      </c>
      <c r="K1186">
        <f t="shared" si="190"/>
        <v>39.299999999999997</v>
      </c>
      <c r="L1186">
        <f t="shared" si="191"/>
        <v>63.6</v>
      </c>
      <c r="M1186">
        <f t="shared" si="192"/>
        <v>35.825000000000003</v>
      </c>
      <c r="N1186">
        <f t="shared" si="193"/>
        <v>8.17</v>
      </c>
      <c r="O1186">
        <f t="shared" si="194"/>
        <v>7.4249999999999998</v>
      </c>
      <c r="P1186">
        <f t="shared" si="195"/>
        <v>11.818181818181818</v>
      </c>
      <c r="Q1186">
        <f t="shared" si="196"/>
        <v>7.2129629629629628</v>
      </c>
      <c r="R1186">
        <f t="shared" si="197"/>
        <v>63.6</v>
      </c>
      <c r="S1186" t="str">
        <f t="shared" si="198"/>
        <v>Satisfactory</v>
      </c>
      <c r="T1186" t="str">
        <f t="shared" si="199"/>
        <v>PM10</v>
      </c>
      <c r="U1186">
        <v>26.43</v>
      </c>
      <c r="V1186">
        <v>67.08</v>
      </c>
    </row>
    <row r="1187" spans="1:22" x14ac:dyDescent="0.3">
      <c r="A1187" s="2" t="s">
        <v>15</v>
      </c>
      <c r="B1187">
        <v>560026</v>
      </c>
      <c r="C1187" s="3">
        <v>44687</v>
      </c>
      <c r="D1187">
        <v>33.840000000000003</v>
      </c>
      <c r="E1187">
        <v>67.400000000000006</v>
      </c>
      <c r="F1187">
        <v>23.41</v>
      </c>
      <c r="G1187">
        <v>31.64</v>
      </c>
      <c r="H1187">
        <v>5.59</v>
      </c>
      <c r="I1187">
        <v>0.98</v>
      </c>
      <c r="J1187">
        <v>6.4</v>
      </c>
      <c r="K1187">
        <f t="shared" si="190"/>
        <v>56.400000000000006</v>
      </c>
      <c r="L1187">
        <f t="shared" si="191"/>
        <v>67.400000000000006</v>
      </c>
      <c r="M1187">
        <f t="shared" si="192"/>
        <v>29.262499999999999</v>
      </c>
      <c r="N1187">
        <f t="shared" si="193"/>
        <v>7.91</v>
      </c>
      <c r="O1187">
        <f t="shared" si="194"/>
        <v>6.9874999999999998</v>
      </c>
      <c r="P1187">
        <f t="shared" si="195"/>
        <v>11.136363636363637</v>
      </c>
      <c r="Q1187">
        <f t="shared" si="196"/>
        <v>5.9259259259259265</v>
      </c>
      <c r="R1187">
        <f t="shared" si="197"/>
        <v>67.400000000000006</v>
      </c>
      <c r="S1187" t="str">
        <f t="shared" si="198"/>
        <v>Satisfactory</v>
      </c>
      <c r="T1187" t="str">
        <f t="shared" si="199"/>
        <v>PM10</v>
      </c>
      <c r="U1187">
        <v>26.42</v>
      </c>
      <c r="V1187">
        <v>64.67</v>
      </c>
    </row>
    <row r="1188" spans="1:22" x14ac:dyDescent="0.3">
      <c r="A1188" s="2" t="s">
        <v>15</v>
      </c>
      <c r="B1188">
        <v>560026</v>
      </c>
      <c r="C1188" s="3">
        <v>44688</v>
      </c>
      <c r="D1188">
        <v>38.380000000000003</v>
      </c>
      <c r="E1188">
        <v>83.74</v>
      </c>
      <c r="F1188">
        <v>26.57</v>
      </c>
      <c r="G1188">
        <v>30.25</v>
      </c>
      <c r="H1188">
        <v>5.7</v>
      </c>
      <c r="I1188">
        <v>1</v>
      </c>
      <c r="J1188">
        <v>6.33</v>
      </c>
      <c r="K1188">
        <f t="shared" si="190"/>
        <v>63.966666666666669</v>
      </c>
      <c r="L1188">
        <f t="shared" si="191"/>
        <v>83.74</v>
      </c>
      <c r="M1188">
        <f t="shared" si="192"/>
        <v>33.212499999999999</v>
      </c>
      <c r="N1188">
        <f t="shared" si="193"/>
        <v>7.5625</v>
      </c>
      <c r="O1188">
        <f t="shared" si="194"/>
        <v>7.125</v>
      </c>
      <c r="P1188">
        <f t="shared" si="195"/>
        <v>11.363636363636363</v>
      </c>
      <c r="Q1188">
        <f t="shared" si="196"/>
        <v>5.8611111111111116</v>
      </c>
      <c r="R1188">
        <f t="shared" si="197"/>
        <v>83.74</v>
      </c>
      <c r="S1188" t="str">
        <f t="shared" si="198"/>
        <v>Satisfactory</v>
      </c>
      <c r="T1188" t="str">
        <f t="shared" si="199"/>
        <v>PM10</v>
      </c>
      <c r="U1188">
        <v>27.35</v>
      </c>
      <c r="V1188">
        <v>62.54</v>
      </c>
    </row>
    <row r="1189" spans="1:22" x14ac:dyDescent="0.3">
      <c r="A1189" s="2" t="s">
        <v>15</v>
      </c>
      <c r="B1189">
        <v>560026</v>
      </c>
      <c r="C1189" s="3">
        <v>44689</v>
      </c>
      <c r="D1189">
        <v>26.68</v>
      </c>
      <c r="E1189">
        <v>75.64</v>
      </c>
      <c r="F1189">
        <v>17.25</v>
      </c>
      <c r="G1189">
        <v>22.67</v>
      </c>
      <c r="H1189">
        <v>5.55</v>
      </c>
      <c r="I1189">
        <v>0.97</v>
      </c>
      <c r="J1189">
        <v>6.32</v>
      </c>
      <c r="K1189">
        <f t="shared" si="190"/>
        <v>44.466666666666669</v>
      </c>
      <c r="L1189">
        <f t="shared" si="191"/>
        <v>75.64</v>
      </c>
      <c r="M1189">
        <f t="shared" si="192"/>
        <v>21.5625</v>
      </c>
      <c r="N1189">
        <f t="shared" si="193"/>
        <v>5.6675000000000004</v>
      </c>
      <c r="O1189">
        <f t="shared" si="194"/>
        <v>6.9375</v>
      </c>
      <c r="P1189">
        <f t="shared" si="195"/>
        <v>11.022727272727272</v>
      </c>
      <c r="Q1189">
        <f t="shared" si="196"/>
        <v>5.8518518518518521</v>
      </c>
      <c r="R1189">
        <f t="shared" si="197"/>
        <v>75.64</v>
      </c>
      <c r="S1189" t="str">
        <f t="shared" si="198"/>
        <v>Satisfactory</v>
      </c>
      <c r="T1189" t="str">
        <f t="shared" si="199"/>
        <v>PM10</v>
      </c>
      <c r="U1189">
        <v>26.57</v>
      </c>
      <c r="V1189">
        <v>67.510000000000005</v>
      </c>
    </row>
    <row r="1190" spans="1:22" x14ac:dyDescent="0.3">
      <c r="A1190" s="2" t="s">
        <v>15</v>
      </c>
      <c r="B1190">
        <v>560026</v>
      </c>
      <c r="C1190" s="3">
        <v>44690</v>
      </c>
      <c r="D1190">
        <v>36.409999999999997</v>
      </c>
      <c r="E1190">
        <v>97.11</v>
      </c>
      <c r="F1190">
        <v>17.48</v>
      </c>
      <c r="G1190">
        <v>22.15</v>
      </c>
      <c r="H1190">
        <v>5</v>
      </c>
      <c r="I1190">
        <v>0.87</v>
      </c>
      <c r="J1190">
        <v>6.28</v>
      </c>
      <c r="K1190">
        <f t="shared" si="190"/>
        <v>60.68333333333333</v>
      </c>
      <c r="L1190">
        <f t="shared" si="191"/>
        <v>97.11</v>
      </c>
      <c r="M1190">
        <f t="shared" si="192"/>
        <v>21.85</v>
      </c>
      <c r="N1190">
        <f t="shared" si="193"/>
        <v>5.5374999999999996</v>
      </c>
      <c r="O1190">
        <f t="shared" si="194"/>
        <v>6.25</v>
      </c>
      <c r="P1190">
        <f t="shared" si="195"/>
        <v>9.8863636363636367</v>
      </c>
      <c r="Q1190">
        <f t="shared" si="196"/>
        <v>5.8148148148148149</v>
      </c>
      <c r="R1190">
        <f t="shared" si="197"/>
        <v>97.11</v>
      </c>
      <c r="S1190" t="str">
        <f t="shared" si="198"/>
        <v>Satisfactory</v>
      </c>
      <c r="T1190" t="str">
        <f t="shared" si="199"/>
        <v>PM10</v>
      </c>
      <c r="U1190">
        <v>26.04</v>
      </c>
      <c r="V1190">
        <v>71.489999999999995</v>
      </c>
    </row>
    <row r="1191" spans="1:22" x14ac:dyDescent="0.3">
      <c r="A1191" s="2" t="s">
        <v>15</v>
      </c>
      <c r="B1191">
        <v>560026</v>
      </c>
      <c r="C1191" s="3">
        <v>44691</v>
      </c>
      <c r="D1191">
        <v>26.11</v>
      </c>
      <c r="E1191">
        <v>83.36</v>
      </c>
      <c r="F1191">
        <v>18.98</v>
      </c>
      <c r="G1191">
        <v>24.81</v>
      </c>
      <c r="H1191">
        <v>6.64</v>
      </c>
      <c r="I1191">
        <v>1.1599999999999999</v>
      </c>
      <c r="J1191">
        <v>6.19</v>
      </c>
      <c r="K1191">
        <f t="shared" si="190"/>
        <v>43.516666666666666</v>
      </c>
      <c r="L1191">
        <f t="shared" si="191"/>
        <v>83.36</v>
      </c>
      <c r="M1191">
        <f t="shared" si="192"/>
        <v>23.725000000000001</v>
      </c>
      <c r="N1191">
        <f t="shared" si="193"/>
        <v>6.2024999999999997</v>
      </c>
      <c r="O1191">
        <f t="shared" si="194"/>
        <v>8.3000000000000007</v>
      </c>
      <c r="P1191">
        <f t="shared" si="195"/>
        <v>13.18181818181818</v>
      </c>
      <c r="Q1191">
        <f t="shared" si="196"/>
        <v>5.7314814814814818</v>
      </c>
      <c r="R1191">
        <f t="shared" si="197"/>
        <v>83.36</v>
      </c>
      <c r="S1191" t="str">
        <f t="shared" si="198"/>
        <v>Satisfactory</v>
      </c>
      <c r="T1191" t="str">
        <f t="shared" si="199"/>
        <v>PM10</v>
      </c>
      <c r="U1191">
        <v>23.49</v>
      </c>
      <c r="V1191">
        <v>82.9</v>
      </c>
    </row>
    <row r="1192" spans="1:22" x14ac:dyDescent="0.3">
      <c r="A1192" s="2" t="s">
        <v>15</v>
      </c>
      <c r="B1192">
        <v>560026</v>
      </c>
      <c r="C1192" s="3">
        <v>44692</v>
      </c>
      <c r="D1192">
        <v>22.51</v>
      </c>
      <c r="E1192">
        <v>67.86</v>
      </c>
      <c r="F1192">
        <v>17.79</v>
      </c>
      <c r="G1192">
        <v>19.899999999999999</v>
      </c>
      <c r="H1192">
        <v>5.1100000000000003</v>
      </c>
      <c r="I1192">
        <v>0.89</v>
      </c>
      <c r="J1192">
        <v>6.02</v>
      </c>
      <c r="K1192">
        <f t="shared" si="190"/>
        <v>37.516666666666666</v>
      </c>
      <c r="L1192">
        <f t="shared" si="191"/>
        <v>67.86</v>
      </c>
      <c r="M1192">
        <f t="shared" si="192"/>
        <v>22.237500000000001</v>
      </c>
      <c r="N1192">
        <f t="shared" si="193"/>
        <v>4.9749999999999996</v>
      </c>
      <c r="O1192">
        <f t="shared" si="194"/>
        <v>6.3875000000000011</v>
      </c>
      <c r="P1192">
        <f t="shared" si="195"/>
        <v>10.113636363636363</v>
      </c>
      <c r="Q1192">
        <f t="shared" si="196"/>
        <v>5.5740740740740735</v>
      </c>
      <c r="R1192">
        <f t="shared" si="197"/>
        <v>67.86</v>
      </c>
      <c r="S1192" t="str">
        <f t="shared" si="198"/>
        <v>Satisfactory</v>
      </c>
      <c r="T1192" t="str">
        <f t="shared" si="199"/>
        <v>PM10</v>
      </c>
      <c r="U1192">
        <v>23.64</v>
      </c>
      <c r="V1192">
        <v>78.16</v>
      </c>
    </row>
    <row r="1193" spans="1:22" x14ac:dyDescent="0.3">
      <c r="A1193" s="2" t="s">
        <v>15</v>
      </c>
      <c r="B1193">
        <v>560026</v>
      </c>
      <c r="C1193" s="3">
        <v>44693</v>
      </c>
      <c r="D1193">
        <v>17.53</v>
      </c>
      <c r="E1193">
        <v>45.81</v>
      </c>
      <c r="F1193">
        <v>16.63</v>
      </c>
      <c r="G1193">
        <v>19.96</v>
      </c>
      <c r="H1193">
        <v>5.17</v>
      </c>
      <c r="I1193">
        <v>0.9</v>
      </c>
      <c r="J1193">
        <v>5.89</v>
      </c>
      <c r="K1193">
        <f t="shared" si="190"/>
        <v>29.216666666666665</v>
      </c>
      <c r="L1193">
        <f t="shared" si="191"/>
        <v>45.81</v>
      </c>
      <c r="M1193">
        <f t="shared" si="192"/>
        <v>20.787500000000001</v>
      </c>
      <c r="N1193">
        <f t="shared" si="193"/>
        <v>4.99</v>
      </c>
      <c r="O1193">
        <f t="shared" si="194"/>
        <v>6.4625000000000004</v>
      </c>
      <c r="P1193">
        <f t="shared" si="195"/>
        <v>10.227272727272727</v>
      </c>
      <c r="Q1193">
        <f t="shared" si="196"/>
        <v>5.4537037037037033</v>
      </c>
      <c r="R1193">
        <f t="shared" si="197"/>
        <v>45.81</v>
      </c>
      <c r="S1193" t="str">
        <f t="shared" si="198"/>
        <v>Good</v>
      </c>
      <c r="T1193" t="str">
        <f t="shared" si="199"/>
        <v>PM10</v>
      </c>
      <c r="U1193">
        <v>21.99</v>
      </c>
      <c r="V1193">
        <v>85.73</v>
      </c>
    </row>
    <row r="1194" spans="1:22" x14ac:dyDescent="0.3">
      <c r="A1194" s="2" t="s">
        <v>15</v>
      </c>
      <c r="B1194">
        <v>560026</v>
      </c>
      <c r="C1194" s="3">
        <v>44694</v>
      </c>
      <c r="D1194">
        <v>13.38</v>
      </c>
      <c r="E1194">
        <v>50.22</v>
      </c>
      <c r="F1194">
        <v>14.13</v>
      </c>
      <c r="G1194">
        <v>19.77</v>
      </c>
      <c r="H1194">
        <v>6.79</v>
      </c>
      <c r="I1194">
        <v>1.19</v>
      </c>
      <c r="J1194">
        <v>5.7</v>
      </c>
      <c r="K1194">
        <f t="shared" si="190"/>
        <v>22.3</v>
      </c>
      <c r="L1194">
        <f t="shared" si="191"/>
        <v>50.22</v>
      </c>
      <c r="M1194">
        <f t="shared" si="192"/>
        <v>17.662500000000001</v>
      </c>
      <c r="N1194">
        <f t="shared" si="193"/>
        <v>4.9424999999999999</v>
      </c>
      <c r="O1194">
        <f t="shared" si="194"/>
        <v>8.4875000000000007</v>
      </c>
      <c r="P1194">
        <f t="shared" si="195"/>
        <v>13.522727272727272</v>
      </c>
      <c r="Q1194">
        <f t="shared" si="196"/>
        <v>5.2777777777777777</v>
      </c>
      <c r="R1194">
        <f t="shared" si="197"/>
        <v>50.22</v>
      </c>
      <c r="S1194" t="str">
        <f t="shared" si="198"/>
        <v>Satisfactory</v>
      </c>
      <c r="T1194" t="str">
        <f t="shared" si="199"/>
        <v>PM10</v>
      </c>
      <c r="U1194">
        <v>23.54</v>
      </c>
      <c r="V1194">
        <v>80.39</v>
      </c>
    </row>
    <row r="1195" spans="1:22" x14ac:dyDescent="0.3">
      <c r="A1195" s="2" t="s">
        <v>15</v>
      </c>
      <c r="B1195">
        <v>560026</v>
      </c>
      <c r="C1195" s="3">
        <v>44695</v>
      </c>
      <c r="D1195">
        <v>48.21</v>
      </c>
      <c r="E1195">
        <v>115.9</v>
      </c>
      <c r="F1195">
        <v>14.02</v>
      </c>
      <c r="G1195">
        <v>22.9</v>
      </c>
      <c r="H1195">
        <v>6.58</v>
      </c>
      <c r="I1195">
        <v>1.1499999999999999</v>
      </c>
      <c r="J1195">
        <v>5.36</v>
      </c>
      <c r="K1195">
        <f t="shared" si="190"/>
        <v>80.349999999999994</v>
      </c>
      <c r="L1195">
        <f t="shared" si="191"/>
        <v>110.60000000000001</v>
      </c>
      <c r="M1195">
        <f t="shared" si="192"/>
        <v>17.524999999999999</v>
      </c>
      <c r="N1195">
        <f t="shared" si="193"/>
        <v>5.7249999999999996</v>
      </c>
      <c r="O1195">
        <f t="shared" si="194"/>
        <v>8.2249999999999996</v>
      </c>
      <c r="P1195">
        <f t="shared" si="195"/>
        <v>13.068181818181817</v>
      </c>
      <c r="Q1195">
        <f t="shared" si="196"/>
        <v>4.9629629629629637</v>
      </c>
      <c r="R1195">
        <f t="shared" si="197"/>
        <v>110.60000000000001</v>
      </c>
      <c r="S1195" t="str">
        <f t="shared" si="198"/>
        <v>Moderate</v>
      </c>
      <c r="T1195" t="str">
        <f t="shared" si="199"/>
        <v>PM10</v>
      </c>
      <c r="U1195">
        <v>25.96</v>
      </c>
      <c r="V1195">
        <v>74.61</v>
      </c>
    </row>
    <row r="1196" spans="1:22" x14ac:dyDescent="0.3">
      <c r="A1196" s="2" t="s">
        <v>15</v>
      </c>
      <c r="B1196">
        <v>560026</v>
      </c>
      <c r="C1196" s="3">
        <v>44696</v>
      </c>
      <c r="D1196">
        <v>20.12</v>
      </c>
      <c r="E1196">
        <v>79.400000000000006</v>
      </c>
      <c r="F1196">
        <v>14.92</v>
      </c>
      <c r="G1196">
        <v>19.96</v>
      </c>
      <c r="H1196">
        <v>6.01</v>
      </c>
      <c r="I1196">
        <v>1.05</v>
      </c>
      <c r="J1196">
        <v>5.72</v>
      </c>
      <c r="K1196">
        <f t="shared" si="190"/>
        <v>33.533333333333331</v>
      </c>
      <c r="L1196">
        <f t="shared" si="191"/>
        <v>79.400000000000006</v>
      </c>
      <c r="M1196">
        <f t="shared" si="192"/>
        <v>18.649999999999999</v>
      </c>
      <c r="N1196">
        <f t="shared" si="193"/>
        <v>4.99</v>
      </c>
      <c r="O1196">
        <f t="shared" si="194"/>
        <v>7.5125000000000002</v>
      </c>
      <c r="P1196">
        <f t="shared" si="195"/>
        <v>11.931818181818182</v>
      </c>
      <c r="Q1196">
        <f t="shared" si="196"/>
        <v>5.2962962962962958</v>
      </c>
      <c r="R1196">
        <f t="shared" si="197"/>
        <v>79.400000000000006</v>
      </c>
      <c r="S1196" t="str">
        <f t="shared" si="198"/>
        <v>Satisfactory</v>
      </c>
      <c r="T1196" t="str">
        <f t="shared" si="199"/>
        <v>PM10</v>
      </c>
      <c r="U1196">
        <v>26.32</v>
      </c>
      <c r="V1196">
        <v>72.39</v>
      </c>
    </row>
    <row r="1197" spans="1:22" x14ac:dyDescent="0.3">
      <c r="A1197" s="2" t="s">
        <v>15</v>
      </c>
      <c r="B1197">
        <v>560026</v>
      </c>
      <c r="C1197" s="3">
        <v>44697</v>
      </c>
      <c r="D1197">
        <v>20.350000000000001</v>
      </c>
      <c r="E1197">
        <v>67.55</v>
      </c>
      <c r="F1197">
        <v>15.63</v>
      </c>
      <c r="G1197">
        <v>21.16</v>
      </c>
      <c r="H1197">
        <v>4.5</v>
      </c>
      <c r="I1197">
        <v>0.79</v>
      </c>
      <c r="J1197">
        <v>6.09</v>
      </c>
      <c r="K1197">
        <f t="shared" si="190"/>
        <v>33.916666666666671</v>
      </c>
      <c r="L1197">
        <f t="shared" si="191"/>
        <v>67.55</v>
      </c>
      <c r="M1197">
        <f t="shared" si="192"/>
        <v>19.537500000000001</v>
      </c>
      <c r="N1197">
        <f t="shared" si="193"/>
        <v>5.29</v>
      </c>
      <c r="O1197">
        <f t="shared" si="194"/>
        <v>5.625</v>
      </c>
      <c r="P1197">
        <f t="shared" si="195"/>
        <v>8.9772727272727266</v>
      </c>
      <c r="Q1197">
        <f t="shared" si="196"/>
        <v>5.6388888888888884</v>
      </c>
      <c r="R1197">
        <f t="shared" si="197"/>
        <v>67.55</v>
      </c>
      <c r="S1197" t="str">
        <f t="shared" si="198"/>
        <v>Satisfactory</v>
      </c>
      <c r="T1197" t="str">
        <f t="shared" si="199"/>
        <v>PM10</v>
      </c>
      <c r="U1197">
        <v>25.32</v>
      </c>
      <c r="V1197">
        <v>76.58</v>
      </c>
    </row>
    <row r="1198" spans="1:22" x14ac:dyDescent="0.3">
      <c r="A1198" s="2" t="s">
        <v>15</v>
      </c>
      <c r="B1198">
        <v>560026</v>
      </c>
      <c r="C1198" s="3">
        <v>44698</v>
      </c>
      <c r="D1198">
        <v>22.93</v>
      </c>
      <c r="E1198">
        <v>64.45</v>
      </c>
      <c r="F1198">
        <v>22.76</v>
      </c>
      <c r="G1198">
        <v>29.38</v>
      </c>
      <c r="H1198">
        <v>5.21</v>
      </c>
      <c r="I1198">
        <v>0.91</v>
      </c>
      <c r="J1198">
        <v>5.85</v>
      </c>
      <c r="K1198">
        <f t="shared" si="190"/>
        <v>38.216666666666669</v>
      </c>
      <c r="L1198">
        <f t="shared" si="191"/>
        <v>64.45</v>
      </c>
      <c r="M1198">
        <f t="shared" si="192"/>
        <v>28.45</v>
      </c>
      <c r="N1198">
        <f t="shared" si="193"/>
        <v>7.3449999999999998</v>
      </c>
      <c r="O1198">
        <f t="shared" si="194"/>
        <v>6.5125000000000002</v>
      </c>
      <c r="P1198">
        <f t="shared" si="195"/>
        <v>10.340909090909092</v>
      </c>
      <c r="Q1198">
        <f t="shared" si="196"/>
        <v>5.4166666666666661</v>
      </c>
      <c r="R1198">
        <f t="shared" si="197"/>
        <v>64.45</v>
      </c>
      <c r="S1198" t="str">
        <f t="shared" si="198"/>
        <v>Satisfactory</v>
      </c>
      <c r="T1198" t="str">
        <f t="shared" si="199"/>
        <v>PM10</v>
      </c>
      <c r="U1198">
        <v>25.11</v>
      </c>
      <c r="V1198">
        <v>79.25</v>
      </c>
    </row>
    <row r="1199" spans="1:22" x14ac:dyDescent="0.3">
      <c r="A1199" s="2" t="s">
        <v>15</v>
      </c>
      <c r="B1199">
        <v>560026</v>
      </c>
      <c r="C1199" s="3">
        <v>44699</v>
      </c>
      <c r="D1199">
        <v>15</v>
      </c>
      <c r="E1199">
        <v>45.49</v>
      </c>
      <c r="F1199">
        <v>22.67</v>
      </c>
      <c r="G1199">
        <v>30.42</v>
      </c>
      <c r="H1199">
        <v>5.61</v>
      </c>
      <c r="I1199">
        <v>0.98</v>
      </c>
      <c r="J1199">
        <v>5.59</v>
      </c>
      <c r="K1199">
        <f t="shared" si="190"/>
        <v>25</v>
      </c>
      <c r="L1199">
        <f t="shared" si="191"/>
        <v>45.49</v>
      </c>
      <c r="M1199">
        <f t="shared" si="192"/>
        <v>28.337499999999999</v>
      </c>
      <c r="N1199">
        <f t="shared" si="193"/>
        <v>7.6050000000000004</v>
      </c>
      <c r="O1199">
        <f t="shared" si="194"/>
        <v>7.0125000000000002</v>
      </c>
      <c r="P1199">
        <f t="shared" si="195"/>
        <v>11.136363636363637</v>
      </c>
      <c r="Q1199">
        <f t="shared" si="196"/>
        <v>5.1759259259259256</v>
      </c>
      <c r="R1199">
        <f t="shared" si="197"/>
        <v>45.49</v>
      </c>
      <c r="S1199" t="str">
        <f t="shared" si="198"/>
        <v>Good</v>
      </c>
      <c r="T1199" t="str">
        <f t="shared" si="199"/>
        <v>PM10</v>
      </c>
      <c r="U1199">
        <v>25.51</v>
      </c>
      <c r="V1199">
        <v>78.45</v>
      </c>
    </row>
    <row r="1200" spans="1:22" x14ac:dyDescent="0.3">
      <c r="A1200" s="2" t="s">
        <v>15</v>
      </c>
      <c r="B1200">
        <v>560026</v>
      </c>
      <c r="C1200" s="3">
        <v>44700</v>
      </c>
      <c r="D1200">
        <v>9.2100000000000009</v>
      </c>
      <c r="E1200">
        <v>32.15</v>
      </c>
      <c r="F1200">
        <v>13.91</v>
      </c>
      <c r="G1200">
        <v>16.41</v>
      </c>
      <c r="H1200">
        <v>5.79</v>
      </c>
      <c r="I1200">
        <v>1.01</v>
      </c>
      <c r="J1200">
        <v>5.97</v>
      </c>
      <c r="K1200">
        <f t="shared" si="190"/>
        <v>15.350000000000001</v>
      </c>
      <c r="L1200">
        <f t="shared" si="191"/>
        <v>32.15</v>
      </c>
      <c r="M1200">
        <f t="shared" si="192"/>
        <v>17.387499999999999</v>
      </c>
      <c r="N1200">
        <f t="shared" si="193"/>
        <v>4.1025</v>
      </c>
      <c r="O1200">
        <f t="shared" si="194"/>
        <v>7.2374999999999998</v>
      </c>
      <c r="P1200">
        <f t="shared" si="195"/>
        <v>11.477272727272727</v>
      </c>
      <c r="Q1200">
        <f t="shared" si="196"/>
        <v>5.5277777777777777</v>
      </c>
      <c r="R1200">
        <f t="shared" si="197"/>
        <v>32.15</v>
      </c>
      <c r="S1200" t="str">
        <f t="shared" si="198"/>
        <v>Good</v>
      </c>
      <c r="T1200" t="str">
        <f t="shared" si="199"/>
        <v>PM10</v>
      </c>
      <c r="U1200">
        <v>21.82</v>
      </c>
      <c r="V1200">
        <v>85.33</v>
      </c>
    </row>
    <row r="1201" spans="1:22" x14ac:dyDescent="0.3">
      <c r="A1201" s="2" t="s">
        <v>15</v>
      </c>
      <c r="B1201">
        <v>560026</v>
      </c>
      <c r="C1201" s="3">
        <v>44701</v>
      </c>
      <c r="D1201">
        <v>20.190000000000001</v>
      </c>
      <c r="E1201">
        <v>80.319999999999993</v>
      </c>
      <c r="F1201">
        <v>14.99</v>
      </c>
      <c r="G1201">
        <v>20.53</v>
      </c>
      <c r="H1201">
        <v>4.83</v>
      </c>
      <c r="I1201">
        <v>0.84</v>
      </c>
      <c r="J1201">
        <v>6.07</v>
      </c>
      <c r="K1201">
        <f t="shared" si="190"/>
        <v>33.650000000000006</v>
      </c>
      <c r="L1201">
        <f t="shared" si="191"/>
        <v>80.319999999999993</v>
      </c>
      <c r="M1201">
        <f t="shared" si="192"/>
        <v>18.737500000000001</v>
      </c>
      <c r="N1201">
        <f t="shared" si="193"/>
        <v>5.1325000000000003</v>
      </c>
      <c r="O1201">
        <f t="shared" si="194"/>
        <v>6.0374999999999996</v>
      </c>
      <c r="P1201">
        <f t="shared" si="195"/>
        <v>9.545454545454545</v>
      </c>
      <c r="Q1201">
        <f t="shared" si="196"/>
        <v>5.6203703703703702</v>
      </c>
      <c r="R1201">
        <f t="shared" si="197"/>
        <v>80.319999999999993</v>
      </c>
      <c r="S1201" t="str">
        <f t="shared" si="198"/>
        <v>Satisfactory</v>
      </c>
      <c r="T1201" t="str">
        <f t="shared" si="199"/>
        <v>PM10</v>
      </c>
      <c r="U1201">
        <v>22.73</v>
      </c>
      <c r="V1201">
        <v>78.05</v>
      </c>
    </row>
    <row r="1202" spans="1:22" x14ac:dyDescent="0.3">
      <c r="A1202" s="2" t="s">
        <v>15</v>
      </c>
      <c r="B1202">
        <v>560026</v>
      </c>
      <c r="C1202" s="3">
        <v>44702</v>
      </c>
      <c r="D1202">
        <v>21.23</v>
      </c>
      <c r="E1202">
        <v>86.25</v>
      </c>
      <c r="F1202">
        <v>20.71</v>
      </c>
      <c r="G1202">
        <v>21.81</v>
      </c>
      <c r="H1202">
        <v>5.76</v>
      </c>
      <c r="I1202">
        <v>1.01</v>
      </c>
      <c r="J1202">
        <v>6.13</v>
      </c>
      <c r="K1202">
        <f t="shared" si="190"/>
        <v>35.383333333333333</v>
      </c>
      <c r="L1202">
        <f t="shared" si="191"/>
        <v>86.25</v>
      </c>
      <c r="M1202">
        <f t="shared" si="192"/>
        <v>25.887499999999999</v>
      </c>
      <c r="N1202">
        <f t="shared" si="193"/>
        <v>5.4524999999999997</v>
      </c>
      <c r="O1202">
        <f t="shared" si="194"/>
        <v>7.2</v>
      </c>
      <c r="P1202">
        <f t="shared" si="195"/>
        <v>11.477272727272727</v>
      </c>
      <c r="Q1202">
        <f t="shared" si="196"/>
        <v>5.6759259259259256</v>
      </c>
      <c r="R1202">
        <f t="shared" si="197"/>
        <v>86.25</v>
      </c>
      <c r="S1202" t="str">
        <f t="shared" si="198"/>
        <v>Satisfactory</v>
      </c>
      <c r="T1202" t="str">
        <f t="shared" si="199"/>
        <v>PM10</v>
      </c>
      <c r="U1202">
        <v>23.76</v>
      </c>
      <c r="V1202">
        <v>71.55</v>
      </c>
    </row>
    <row r="1203" spans="1:22" x14ac:dyDescent="0.3">
      <c r="A1203" s="2" t="s">
        <v>15</v>
      </c>
      <c r="B1203">
        <v>560026</v>
      </c>
      <c r="C1203" s="3">
        <v>44703</v>
      </c>
      <c r="D1203">
        <v>14.68</v>
      </c>
      <c r="E1203">
        <v>51.41</v>
      </c>
      <c r="F1203">
        <v>12.69</v>
      </c>
      <c r="G1203">
        <v>15.22</v>
      </c>
      <c r="H1203">
        <v>5.43</v>
      </c>
      <c r="I1203">
        <v>0.95</v>
      </c>
      <c r="J1203">
        <v>5.7</v>
      </c>
      <c r="K1203">
        <f t="shared" si="190"/>
        <v>24.466666666666665</v>
      </c>
      <c r="L1203">
        <f t="shared" si="191"/>
        <v>51.41</v>
      </c>
      <c r="M1203">
        <f t="shared" si="192"/>
        <v>15.862500000000001</v>
      </c>
      <c r="N1203">
        <f t="shared" si="193"/>
        <v>3.8050000000000002</v>
      </c>
      <c r="O1203">
        <f t="shared" si="194"/>
        <v>6.7874999999999996</v>
      </c>
      <c r="P1203">
        <f t="shared" si="195"/>
        <v>10.795454545454545</v>
      </c>
      <c r="Q1203">
        <f t="shared" si="196"/>
        <v>5.2777777777777777</v>
      </c>
      <c r="R1203">
        <f t="shared" si="197"/>
        <v>51.41</v>
      </c>
      <c r="S1203" t="str">
        <f t="shared" si="198"/>
        <v>Satisfactory</v>
      </c>
      <c r="T1203" t="str">
        <f t="shared" si="199"/>
        <v>PM10</v>
      </c>
      <c r="U1203">
        <v>24.56</v>
      </c>
      <c r="V1203">
        <v>73.069999999999993</v>
      </c>
    </row>
    <row r="1204" spans="1:22" x14ac:dyDescent="0.3">
      <c r="A1204" s="2" t="s">
        <v>15</v>
      </c>
      <c r="B1204">
        <v>560026</v>
      </c>
      <c r="C1204" s="3">
        <v>44704</v>
      </c>
      <c r="D1204">
        <v>69.06</v>
      </c>
      <c r="E1204">
        <v>136.13999999999999</v>
      </c>
      <c r="F1204">
        <v>14.3</v>
      </c>
      <c r="G1204">
        <v>21.13</v>
      </c>
      <c r="H1204">
        <v>5.8</v>
      </c>
      <c r="I1204">
        <v>1.01</v>
      </c>
      <c r="J1204">
        <v>5.93</v>
      </c>
      <c r="K1204">
        <f t="shared" si="190"/>
        <v>130.20000000000002</v>
      </c>
      <c r="L1204">
        <f t="shared" si="191"/>
        <v>124.09333333333332</v>
      </c>
      <c r="M1204">
        <f t="shared" si="192"/>
        <v>17.875</v>
      </c>
      <c r="N1204">
        <f t="shared" si="193"/>
        <v>5.2824999999999998</v>
      </c>
      <c r="O1204">
        <f t="shared" si="194"/>
        <v>7.25</v>
      </c>
      <c r="P1204">
        <f t="shared" si="195"/>
        <v>11.477272727272727</v>
      </c>
      <c r="Q1204">
        <f t="shared" si="196"/>
        <v>5.4907407407407405</v>
      </c>
      <c r="R1204">
        <f t="shared" si="197"/>
        <v>130.20000000000002</v>
      </c>
      <c r="S1204" t="str">
        <f t="shared" si="198"/>
        <v>Moderate</v>
      </c>
      <c r="T1204" t="str">
        <f t="shared" si="199"/>
        <v>PM2.5</v>
      </c>
      <c r="U1204">
        <v>26.17</v>
      </c>
      <c r="V1204">
        <v>67.95</v>
      </c>
    </row>
    <row r="1205" spans="1:22" x14ac:dyDescent="0.3">
      <c r="A1205" s="2" t="s">
        <v>15</v>
      </c>
      <c r="B1205">
        <v>560026</v>
      </c>
      <c r="C1205" s="3">
        <v>44705</v>
      </c>
      <c r="D1205">
        <v>44.99</v>
      </c>
      <c r="E1205">
        <v>116.79</v>
      </c>
      <c r="F1205">
        <v>13.71</v>
      </c>
      <c r="G1205">
        <v>23.37</v>
      </c>
      <c r="H1205">
        <v>5.7</v>
      </c>
      <c r="I1205">
        <v>1</v>
      </c>
      <c r="J1205">
        <v>6.16</v>
      </c>
      <c r="K1205">
        <f t="shared" si="190"/>
        <v>74.983333333333334</v>
      </c>
      <c r="L1205">
        <f t="shared" si="191"/>
        <v>111.19333333333334</v>
      </c>
      <c r="M1205">
        <f t="shared" si="192"/>
        <v>17.137499999999999</v>
      </c>
      <c r="N1205">
        <f t="shared" si="193"/>
        <v>5.8425000000000002</v>
      </c>
      <c r="O1205">
        <f t="shared" si="194"/>
        <v>7.125</v>
      </c>
      <c r="P1205">
        <f t="shared" si="195"/>
        <v>11.363636363636363</v>
      </c>
      <c r="Q1205">
        <f t="shared" si="196"/>
        <v>5.7037037037037042</v>
      </c>
      <c r="R1205">
        <f t="shared" si="197"/>
        <v>111.19333333333334</v>
      </c>
      <c r="S1205" t="str">
        <f t="shared" si="198"/>
        <v>Moderate</v>
      </c>
      <c r="T1205" t="str">
        <f t="shared" si="199"/>
        <v>PM10</v>
      </c>
      <c r="U1205">
        <v>27.37</v>
      </c>
      <c r="V1205">
        <v>64.66</v>
      </c>
    </row>
    <row r="1206" spans="1:22" x14ac:dyDescent="0.3">
      <c r="A1206" s="2" t="s">
        <v>15</v>
      </c>
      <c r="B1206">
        <v>560026</v>
      </c>
      <c r="C1206" s="3">
        <v>44706</v>
      </c>
      <c r="D1206">
        <v>40.21</v>
      </c>
      <c r="E1206">
        <v>109.04</v>
      </c>
      <c r="F1206">
        <v>15.8</v>
      </c>
      <c r="G1206">
        <v>24.67</v>
      </c>
      <c r="H1206">
        <v>5.33</v>
      </c>
      <c r="I1206">
        <v>0.93</v>
      </c>
      <c r="J1206">
        <v>5.99</v>
      </c>
      <c r="K1206">
        <f t="shared" si="190"/>
        <v>67.016666666666666</v>
      </c>
      <c r="L1206">
        <f t="shared" si="191"/>
        <v>106.02666666666667</v>
      </c>
      <c r="M1206">
        <f t="shared" si="192"/>
        <v>19.75</v>
      </c>
      <c r="N1206">
        <f t="shared" si="193"/>
        <v>6.1675000000000004</v>
      </c>
      <c r="O1206">
        <f t="shared" si="194"/>
        <v>6.6624999999999996</v>
      </c>
      <c r="P1206">
        <f t="shared" si="195"/>
        <v>10.568181818181818</v>
      </c>
      <c r="Q1206">
        <f t="shared" si="196"/>
        <v>5.5462962962962967</v>
      </c>
      <c r="R1206">
        <f t="shared" si="197"/>
        <v>106.02666666666667</v>
      </c>
      <c r="S1206" t="str">
        <f t="shared" si="198"/>
        <v>Moderate</v>
      </c>
      <c r="T1206" t="str">
        <f t="shared" si="199"/>
        <v>PM10</v>
      </c>
      <c r="U1206">
        <v>26.87</v>
      </c>
      <c r="V1206">
        <v>65.180000000000007</v>
      </c>
    </row>
    <row r="1207" spans="1:22" x14ac:dyDescent="0.3">
      <c r="A1207" s="2" t="s">
        <v>15</v>
      </c>
      <c r="B1207">
        <v>560026</v>
      </c>
      <c r="C1207" s="3">
        <v>44707</v>
      </c>
      <c r="D1207">
        <v>30.81</v>
      </c>
      <c r="E1207">
        <v>92.02</v>
      </c>
      <c r="F1207">
        <v>14.14</v>
      </c>
      <c r="G1207">
        <v>24.96</v>
      </c>
      <c r="H1207">
        <v>5.49</v>
      </c>
      <c r="I1207">
        <v>0.96</v>
      </c>
      <c r="J1207">
        <v>5.76</v>
      </c>
      <c r="K1207">
        <f t="shared" si="190"/>
        <v>51.349999999999994</v>
      </c>
      <c r="L1207">
        <f t="shared" si="191"/>
        <v>92.02</v>
      </c>
      <c r="M1207">
        <f t="shared" si="192"/>
        <v>17.675000000000001</v>
      </c>
      <c r="N1207">
        <f t="shared" si="193"/>
        <v>6.24</v>
      </c>
      <c r="O1207">
        <f t="shared" si="194"/>
        <v>6.8624999999999998</v>
      </c>
      <c r="P1207">
        <f t="shared" si="195"/>
        <v>10.909090909090908</v>
      </c>
      <c r="Q1207">
        <f t="shared" si="196"/>
        <v>5.333333333333333</v>
      </c>
      <c r="R1207">
        <f t="shared" si="197"/>
        <v>92.02</v>
      </c>
      <c r="S1207" t="str">
        <f t="shared" si="198"/>
        <v>Satisfactory</v>
      </c>
      <c r="T1207" t="str">
        <f t="shared" si="199"/>
        <v>PM10</v>
      </c>
      <c r="U1207">
        <v>26.87</v>
      </c>
      <c r="V1207">
        <v>66.86</v>
      </c>
    </row>
    <row r="1208" spans="1:22" x14ac:dyDescent="0.3">
      <c r="A1208" s="2" t="s">
        <v>15</v>
      </c>
      <c r="B1208">
        <v>560026</v>
      </c>
      <c r="C1208" s="3">
        <v>44708</v>
      </c>
      <c r="D1208">
        <v>33.61</v>
      </c>
      <c r="E1208">
        <v>90.41</v>
      </c>
      <c r="F1208">
        <v>15.01</v>
      </c>
      <c r="G1208">
        <v>21.04</v>
      </c>
      <c r="H1208">
        <v>5.35</v>
      </c>
      <c r="I1208">
        <v>0.94</v>
      </c>
      <c r="J1208">
        <v>5.75</v>
      </c>
      <c r="K1208">
        <f t="shared" si="190"/>
        <v>56.016666666666666</v>
      </c>
      <c r="L1208">
        <f t="shared" si="191"/>
        <v>90.41</v>
      </c>
      <c r="M1208">
        <f t="shared" si="192"/>
        <v>18.762499999999999</v>
      </c>
      <c r="N1208">
        <f t="shared" si="193"/>
        <v>5.26</v>
      </c>
      <c r="O1208">
        <f t="shared" si="194"/>
        <v>6.6875</v>
      </c>
      <c r="P1208">
        <f t="shared" si="195"/>
        <v>10.681818181818182</v>
      </c>
      <c r="Q1208">
        <f t="shared" si="196"/>
        <v>5.3240740740740744</v>
      </c>
      <c r="R1208">
        <f t="shared" si="197"/>
        <v>90.41</v>
      </c>
      <c r="S1208" t="str">
        <f t="shared" si="198"/>
        <v>Satisfactory</v>
      </c>
      <c r="T1208" t="str">
        <f t="shared" si="199"/>
        <v>PM10</v>
      </c>
      <c r="U1208">
        <v>26.95</v>
      </c>
      <c r="V1208">
        <v>60.72</v>
      </c>
    </row>
    <row r="1209" spans="1:22" x14ac:dyDescent="0.3">
      <c r="A1209" s="2" t="s">
        <v>15</v>
      </c>
      <c r="B1209">
        <v>560026</v>
      </c>
      <c r="C1209" s="3">
        <v>44709</v>
      </c>
      <c r="D1209">
        <v>28.33</v>
      </c>
      <c r="E1209">
        <v>75.52</v>
      </c>
      <c r="F1209">
        <v>13.74</v>
      </c>
      <c r="G1209">
        <v>18.22</v>
      </c>
      <c r="H1209">
        <v>5.27</v>
      </c>
      <c r="I1209">
        <v>0.92</v>
      </c>
      <c r="J1209">
        <v>5.31</v>
      </c>
      <c r="K1209">
        <f t="shared" si="190"/>
        <v>47.216666666666669</v>
      </c>
      <c r="L1209">
        <f t="shared" si="191"/>
        <v>75.52</v>
      </c>
      <c r="M1209">
        <f t="shared" si="192"/>
        <v>17.175000000000001</v>
      </c>
      <c r="N1209">
        <f t="shared" si="193"/>
        <v>4.5549999999999997</v>
      </c>
      <c r="O1209">
        <f t="shared" si="194"/>
        <v>6.5875000000000004</v>
      </c>
      <c r="P1209">
        <f t="shared" si="195"/>
        <v>10.454545454545455</v>
      </c>
      <c r="Q1209">
        <f t="shared" si="196"/>
        <v>4.9166666666666661</v>
      </c>
      <c r="R1209">
        <f t="shared" si="197"/>
        <v>75.52</v>
      </c>
      <c r="S1209" t="str">
        <f t="shared" si="198"/>
        <v>Satisfactory</v>
      </c>
      <c r="T1209" t="str">
        <f t="shared" si="199"/>
        <v>PM10</v>
      </c>
      <c r="U1209">
        <v>26.51</v>
      </c>
      <c r="V1209">
        <v>63.25</v>
      </c>
    </row>
    <row r="1210" spans="1:22" x14ac:dyDescent="0.3">
      <c r="A1210" s="2" t="s">
        <v>15</v>
      </c>
      <c r="B1210">
        <v>560026</v>
      </c>
      <c r="C1210" s="3">
        <v>44710</v>
      </c>
      <c r="D1210">
        <v>21.9</v>
      </c>
      <c r="E1210">
        <v>54.91</v>
      </c>
      <c r="F1210">
        <v>11.72</v>
      </c>
      <c r="G1210">
        <v>15.47</v>
      </c>
      <c r="H1210">
        <v>5.49</v>
      </c>
      <c r="I1210">
        <v>0.96</v>
      </c>
      <c r="J1210">
        <v>4.97</v>
      </c>
      <c r="K1210">
        <f t="shared" si="190"/>
        <v>36.5</v>
      </c>
      <c r="L1210">
        <f t="shared" si="191"/>
        <v>54.91</v>
      </c>
      <c r="M1210">
        <f t="shared" si="192"/>
        <v>14.65</v>
      </c>
      <c r="N1210">
        <f t="shared" si="193"/>
        <v>3.8675000000000002</v>
      </c>
      <c r="O1210">
        <f t="shared" si="194"/>
        <v>6.8624999999999998</v>
      </c>
      <c r="P1210">
        <f t="shared" si="195"/>
        <v>10.909090909090908</v>
      </c>
      <c r="Q1210">
        <f t="shared" si="196"/>
        <v>4.6018518518518521</v>
      </c>
      <c r="R1210">
        <f t="shared" si="197"/>
        <v>54.91</v>
      </c>
      <c r="S1210" t="str">
        <f t="shared" si="198"/>
        <v>Satisfactory</v>
      </c>
      <c r="T1210" t="str">
        <f t="shared" si="199"/>
        <v>PM10</v>
      </c>
      <c r="U1210">
        <v>26.61</v>
      </c>
      <c r="V1210">
        <v>63.39</v>
      </c>
    </row>
    <row r="1211" spans="1:22" x14ac:dyDescent="0.3">
      <c r="A1211" s="2" t="s">
        <v>15</v>
      </c>
      <c r="B1211">
        <v>560026</v>
      </c>
      <c r="C1211" s="3">
        <v>44711</v>
      </c>
      <c r="D1211">
        <v>24.02</v>
      </c>
      <c r="E1211">
        <v>71.55</v>
      </c>
      <c r="F1211">
        <v>14.1</v>
      </c>
      <c r="G1211">
        <v>20.62</v>
      </c>
      <c r="H1211">
        <v>5.13</v>
      </c>
      <c r="I1211">
        <v>0.9</v>
      </c>
      <c r="J1211">
        <v>4.74</v>
      </c>
      <c r="K1211">
        <f t="shared" si="190"/>
        <v>40.033333333333331</v>
      </c>
      <c r="L1211">
        <f t="shared" si="191"/>
        <v>71.55</v>
      </c>
      <c r="M1211">
        <f t="shared" si="192"/>
        <v>17.625</v>
      </c>
      <c r="N1211">
        <f t="shared" si="193"/>
        <v>5.1550000000000002</v>
      </c>
      <c r="O1211">
        <f t="shared" si="194"/>
        <v>6.4124999999999996</v>
      </c>
      <c r="P1211">
        <f t="shared" si="195"/>
        <v>10.227272727272727</v>
      </c>
      <c r="Q1211">
        <f t="shared" si="196"/>
        <v>4.3888888888888893</v>
      </c>
      <c r="R1211">
        <f t="shared" si="197"/>
        <v>71.55</v>
      </c>
      <c r="S1211" t="str">
        <f t="shared" si="198"/>
        <v>Satisfactory</v>
      </c>
      <c r="T1211" t="str">
        <f t="shared" si="199"/>
        <v>PM10</v>
      </c>
      <c r="U1211">
        <v>26.7</v>
      </c>
      <c r="V1211">
        <v>65.930000000000007</v>
      </c>
    </row>
    <row r="1212" spans="1:22" x14ac:dyDescent="0.3">
      <c r="A1212" s="2" t="s">
        <v>15</v>
      </c>
      <c r="B1212">
        <v>560026</v>
      </c>
      <c r="C1212" s="3">
        <v>44712</v>
      </c>
      <c r="D1212">
        <v>16.77</v>
      </c>
      <c r="E1212">
        <v>49.76</v>
      </c>
      <c r="F1212">
        <v>15.43</v>
      </c>
      <c r="G1212">
        <v>18.52</v>
      </c>
      <c r="H1212">
        <v>5.41</v>
      </c>
      <c r="I1212">
        <v>0.94</v>
      </c>
      <c r="J1212">
        <v>5</v>
      </c>
      <c r="K1212">
        <f t="shared" si="190"/>
        <v>27.95</v>
      </c>
      <c r="L1212">
        <f t="shared" si="191"/>
        <v>49.76</v>
      </c>
      <c r="M1212">
        <f t="shared" si="192"/>
        <v>19.287500000000001</v>
      </c>
      <c r="N1212">
        <f t="shared" si="193"/>
        <v>4.63</v>
      </c>
      <c r="O1212">
        <f t="shared" si="194"/>
        <v>6.7625000000000002</v>
      </c>
      <c r="P1212">
        <f t="shared" si="195"/>
        <v>10.681818181818182</v>
      </c>
      <c r="Q1212">
        <f t="shared" si="196"/>
        <v>4.6296296296296298</v>
      </c>
      <c r="R1212">
        <f t="shared" si="197"/>
        <v>49.76</v>
      </c>
      <c r="S1212" t="str">
        <f t="shared" si="198"/>
        <v>Good</v>
      </c>
      <c r="T1212" t="str">
        <f t="shared" si="199"/>
        <v>PM10</v>
      </c>
      <c r="U1212">
        <v>25.11</v>
      </c>
      <c r="V1212">
        <v>71.489999999999995</v>
      </c>
    </row>
    <row r="1213" spans="1:22" x14ac:dyDescent="0.3">
      <c r="A1213" s="2" t="s">
        <v>15</v>
      </c>
      <c r="B1213">
        <v>560026</v>
      </c>
      <c r="C1213" s="3">
        <v>44713</v>
      </c>
      <c r="D1213">
        <v>24.3</v>
      </c>
      <c r="E1213">
        <v>73.569999999999993</v>
      </c>
      <c r="F1213">
        <v>17.72</v>
      </c>
      <c r="G1213">
        <v>22.73</v>
      </c>
      <c r="H1213">
        <v>5.74</v>
      </c>
      <c r="I1213">
        <v>1</v>
      </c>
      <c r="J1213">
        <v>5.58</v>
      </c>
      <c r="K1213">
        <f t="shared" si="190"/>
        <v>40.5</v>
      </c>
      <c r="L1213">
        <f t="shared" si="191"/>
        <v>73.569999999999993</v>
      </c>
      <c r="M1213">
        <f t="shared" si="192"/>
        <v>22.15</v>
      </c>
      <c r="N1213">
        <f t="shared" si="193"/>
        <v>5.6825000000000001</v>
      </c>
      <c r="O1213">
        <f t="shared" si="194"/>
        <v>7.1749999999999998</v>
      </c>
      <c r="P1213">
        <f t="shared" si="195"/>
        <v>11.363636363636363</v>
      </c>
      <c r="Q1213">
        <f t="shared" si="196"/>
        <v>5.166666666666667</v>
      </c>
      <c r="R1213">
        <f t="shared" si="197"/>
        <v>73.569999999999993</v>
      </c>
      <c r="S1213" t="str">
        <f t="shared" si="198"/>
        <v>Satisfactory</v>
      </c>
      <c r="T1213" t="str">
        <f t="shared" si="199"/>
        <v>PM10</v>
      </c>
      <c r="U1213">
        <v>26</v>
      </c>
      <c r="V1213">
        <v>67.47</v>
      </c>
    </row>
    <row r="1214" spans="1:22" x14ac:dyDescent="0.3">
      <c r="A1214" s="2" t="s">
        <v>15</v>
      </c>
      <c r="B1214">
        <v>560026</v>
      </c>
      <c r="C1214" s="3">
        <v>44714</v>
      </c>
      <c r="D1214">
        <v>25.25</v>
      </c>
      <c r="E1214">
        <v>66.31</v>
      </c>
      <c r="F1214">
        <v>14.84</v>
      </c>
      <c r="G1214">
        <v>17.739999999999998</v>
      </c>
      <c r="H1214">
        <v>4.9400000000000004</v>
      </c>
      <c r="I1214">
        <v>0.87</v>
      </c>
      <c r="J1214">
        <v>5.22</v>
      </c>
      <c r="K1214">
        <f t="shared" si="190"/>
        <v>42.083333333333336</v>
      </c>
      <c r="L1214">
        <f t="shared" si="191"/>
        <v>66.31</v>
      </c>
      <c r="M1214">
        <f t="shared" si="192"/>
        <v>18.55</v>
      </c>
      <c r="N1214">
        <f t="shared" si="193"/>
        <v>4.4349999999999996</v>
      </c>
      <c r="O1214">
        <f t="shared" si="194"/>
        <v>6.1750000000000007</v>
      </c>
      <c r="P1214">
        <f t="shared" si="195"/>
        <v>9.8863636363636367</v>
      </c>
      <c r="Q1214">
        <f t="shared" si="196"/>
        <v>4.833333333333333</v>
      </c>
      <c r="R1214">
        <f t="shared" si="197"/>
        <v>66.31</v>
      </c>
      <c r="S1214" t="str">
        <f t="shared" si="198"/>
        <v>Satisfactory</v>
      </c>
      <c r="T1214" t="str">
        <f t="shared" si="199"/>
        <v>PM10</v>
      </c>
      <c r="U1214">
        <v>26.87</v>
      </c>
      <c r="V1214">
        <v>66.14</v>
      </c>
    </row>
    <row r="1215" spans="1:22" x14ac:dyDescent="0.3">
      <c r="A1215" s="2" t="s">
        <v>15</v>
      </c>
      <c r="B1215">
        <v>560026</v>
      </c>
      <c r="C1215" s="3">
        <v>44715</v>
      </c>
      <c r="D1215">
        <v>21.28</v>
      </c>
      <c r="E1215">
        <v>61.75</v>
      </c>
      <c r="F1215">
        <v>14.99</v>
      </c>
      <c r="G1215">
        <v>17.98</v>
      </c>
      <c r="H1215">
        <v>4.9800000000000004</v>
      </c>
      <c r="I1215">
        <v>0.87</v>
      </c>
      <c r="J1215">
        <v>4.88</v>
      </c>
      <c r="K1215">
        <f t="shared" si="190"/>
        <v>35.466666666666669</v>
      </c>
      <c r="L1215">
        <f t="shared" si="191"/>
        <v>61.75</v>
      </c>
      <c r="M1215">
        <f t="shared" si="192"/>
        <v>18.737500000000001</v>
      </c>
      <c r="N1215">
        <f t="shared" si="193"/>
        <v>4.4950000000000001</v>
      </c>
      <c r="O1215">
        <f t="shared" si="194"/>
        <v>6.2250000000000005</v>
      </c>
      <c r="P1215">
        <f t="shared" si="195"/>
        <v>9.8863636363636367</v>
      </c>
      <c r="Q1215">
        <f t="shared" si="196"/>
        <v>4.5185185185185182</v>
      </c>
      <c r="R1215">
        <f t="shared" si="197"/>
        <v>61.75</v>
      </c>
      <c r="S1215" t="str">
        <f t="shared" si="198"/>
        <v>Satisfactory</v>
      </c>
      <c r="T1215" t="str">
        <f t="shared" si="199"/>
        <v>PM10</v>
      </c>
      <c r="U1215">
        <v>26.08</v>
      </c>
      <c r="V1215">
        <v>69.69</v>
      </c>
    </row>
    <row r="1216" spans="1:22" x14ac:dyDescent="0.3">
      <c r="A1216" s="2" t="s">
        <v>15</v>
      </c>
      <c r="B1216">
        <v>560026</v>
      </c>
      <c r="C1216" s="3">
        <v>44716</v>
      </c>
      <c r="D1216">
        <v>30.35</v>
      </c>
      <c r="E1216">
        <v>70.48</v>
      </c>
      <c r="F1216">
        <v>24.35</v>
      </c>
      <c r="G1216">
        <v>29.75</v>
      </c>
      <c r="H1216">
        <v>5.77</v>
      </c>
      <c r="I1216">
        <v>1.01</v>
      </c>
      <c r="J1216">
        <v>5.04</v>
      </c>
      <c r="K1216">
        <f t="shared" si="190"/>
        <v>50.583333333333336</v>
      </c>
      <c r="L1216">
        <f t="shared" si="191"/>
        <v>70.48</v>
      </c>
      <c r="M1216">
        <f t="shared" si="192"/>
        <v>30.4375</v>
      </c>
      <c r="N1216">
        <f t="shared" si="193"/>
        <v>7.4375</v>
      </c>
      <c r="O1216">
        <f t="shared" si="194"/>
        <v>7.2125000000000004</v>
      </c>
      <c r="P1216">
        <f t="shared" si="195"/>
        <v>11.477272727272727</v>
      </c>
      <c r="Q1216">
        <f t="shared" si="196"/>
        <v>4.666666666666667</v>
      </c>
      <c r="R1216">
        <f t="shared" si="197"/>
        <v>70.48</v>
      </c>
      <c r="S1216" t="str">
        <f t="shared" si="198"/>
        <v>Satisfactory</v>
      </c>
      <c r="T1216" t="str">
        <f t="shared" si="199"/>
        <v>PM10</v>
      </c>
      <c r="U1216">
        <v>26.85</v>
      </c>
      <c r="V1216">
        <v>63.72</v>
      </c>
    </row>
    <row r="1217" spans="1:22" x14ac:dyDescent="0.3">
      <c r="A1217" s="2" t="s">
        <v>15</v>
      </c>
      <c r="B1217">
        <v>560026</v>
      </c>
      <c r="C1217" s="3">
        <v>44717</v>
      </c>
      <c r="D1217">
        <v>20.87</v>
      </c>
      <c r="E1217">
        <v>46.16</v>
      </c>
      <c r="F1217">
        <v>13.36</v>
      </c>
      <c r="G1217">
        <v>20.87</v>
      </c>
      <c r="H1217">
        <v>5.67</v>
      </c>
      <c r="I1217">
        <v>0.94</v>
      </c>
      <c r="J1217">
        <v>5.92</v>
      </c>
      <c r="K1217">
        <f t="shared" si="190"/>
        <v>34.783333333333331</v>
      </c>
      <c r="L1217">
        <f t="shared" si="191"/>
        <v>46.16</v>
      </c>
      <c r="M1217">
        <f t="shared" si="192"/>
        <v>16.7</v>
      </c>
      <c r="N1217">
        <f t="shared" si="193"/>
        <v>5.2175000000000002</v>
      </c>
      <c r="O1217">
        <f t="shared" si="194"/>
        <v>7.0875000000000004</v>
      </c>
      <c r="P1217">
        <f t="shared" si="195"/>
        <v>10.681818181818182</v>
      </c>
      <c r="Q1217">
        <f t="shared" si="196"/>
        <v>5.4814814814814818</v>
      </c>
      <c r="R1217">
        <f t="shared" si="197"/>
        <v>46.16</v>
      </c>
      <c r="S1217" t="str">
        <f t="shared" si="198"/>
        <v>Good</v>
      </c>
      <c r="T1217" t="str">
        <f t="shared" si="199"/>
        <v>PM10</v>
      </c>
      <c r="U1217">
        <v>26.17</v>
      </c>
      <c r="V1217">
        <v>67.069999999999993</v>
      </c>
    </row>
    <row r="1218" spans="1:22" x14ac:dyDescent="0.3">
      <c r="A1218" s="2" t="s">
        <v>15</v>
      </c>
      <c r="B1218">
        <v>560026</v>
      </c>
      <c r="C1218" s="3">
        <v>44718</v>
      </c>
      <c r="D1218">
        <v>21.34</v>
      </c>
      <c r="E1218">
        <v>54.78</v>
      </c>
      <c r="F1218">
        <v>24.85</v>
      </c>
      <c r="G1218">
        <v>29.73</v>
      </c>
      <c r="H1218">
        <v>4.87</v>
      </c>
      <c r="I1218">
        <v>0.53</v>
      </c>
      <c r="J1218">
        <v>7.82</v>
      </c>
      <c r="K1218">
        <f t="shared" si="190"/>
        <v>35.56666666666667</v>
      </c>
      <c r="L1218">
        <f t="shared" si="191"/>
        <v>54.78</v>
      </c>
      <c r="M1218">
        <f t="shared" si="192"/>
        <v>31.0625</v>
      </c>
      <c r="N1218">
        <f t="shared" si="193"/>
        <v>7.4325000000000001</v>
      </c>
      <c r="O1218">
        <f t="shared" si="194"/>
        <v>6.0875000000000004</v>
      </c>
      <c r="P1218">
        <f t="shared" si="195"/>
        <v>6.0227272727272725</v>
      </c>
      <c r="Q1218">
        <f t="shared" si="196"/>
        <v>7.2407407407407414</v>
      </c>
      <c r="R1218">
        <f t="shared" si="197"/>
        <v>54.78</v>
      </c>
      <c r="S1218" t="str">
        <f t="shared" si="198"/>
        <v>Satisfactory</v>
      </c>
      <c r="T1218" t="str">
        <f t="shared" si="199"/>
        <v>PM10</v>
      </c>
      <c r="U1218">
        <v>26.98</v>
      </c>
      <c r="V1218">
        <v>63.24</v>
      </c>
    </row>
    <row r="1219" spans="1:22" x14ac:dyDescent="0.3">
      <c r="A1219" s="2" t="s">
        <v>15</v>
      </c>
      <c r="B1219">
        <v>560026</v>
      </c>
      <c r="C1219" s="3">
        <v>44719</v>
      </c>
      <c r="D1219">
        <v>16.34</v>
      </c>
      <c r="E1219">
        <v>45.26</v>
      </c>
      <c r="F1219">
        <v>13.51</v>
      </c>
      <c r="G1219">
        <v>28.26</v>
      </c>
      <c r="H1219">
        <v>5.34</v>
      </c>
      <c r="I1219">
        <v>0.57999999999999996</v>
      </c>
      <c r="J1219">
        <v>5.91</v>
      </c>
      <c r="K1219">
        <f t="shared" si="190"/>
        <v>27.233333333333334</v>
      </c>
      <c r="L1219">
        <f t="shared" si="191"/>
        <v>45.26</v>
      </c>
      <c r="M1219">
        <f t="shared" si="192"/>
        <v>16.887499999999999</v>
      </c>
      <c r="N1219">
        <f t="shared" si="193"/>
        <v>7.0650000000000004</v>
      </c>
      <c r="O1219">
        <f t="shared" si="194"/>
        <v>6.6749999999999998</v>
      </c>
      <c r="P1219">
        <f t="shared" si="195"/>
        <v>6.5909090909090899</v>
      </c>
      <c r="Q1219">
        <f t="shared" si="196"/>
        <v>5.4722222222222223</v>
      </c>
      <c r="R1219">
        <f t="shared" si="197"/>
        <v>45.26</v>
      </c>
      <c r="S1219" t="str">
        <f t="shared" si="198"/>
        <v>Good</v>
      </c>
      <c r="T1219" t="str">
        <f t="shared" si="199"/>
        <v>PM10</v>
      </c>
      <c r="U1219">
        <v>26.07</v>
      </c>
      <c r="V1219">
        <v>68.319999999999993</v>
      </c>
    </row>
    <row r="1220" spans="1:22" x14ac:dyDescent="0.3">
      <c r="A1220" s="2" t="s">
        <v>15</v>
      </c>
      <c r="B1220">
        <v>560026</v>
      </c>
      <c r="C1220" s="3">
        <v>44720</v>
      </c>
      <c r="D1220">
        <v>15.81</v>
      </c>
      <c r="E1220">
        <v>37.049999999999997</v>
      </c>
      <c r="F1220">
        <v>9.57</v>
      </c>
      <c r="G1220">
        <v>28.98</v>
      </c>
      <c r="H1220">
        <v>5.18</v>
      </c>
      <c r="I1220">
        <v>0.56999999999999995</v>
      </c>
      <c r="J1220">
        <v>6</v>
      </c>
      <c r="K1220">
        <f t="shared" si="190"/>
        <v>26.35</v>
      </c>
      <c r="L1220">
        <f t="shared" si="191"/>
        <v>37.049999999999997</v>
      </c>
      <c r="M1220">
        <f t="shared" si="192"/>
        <v>11.9625</v>
      </c>
      <c r="N1220">
        <f t="shared" si="193"/>
        <v>7.2450000000000001</v>
      </c>
      <c r="O1220">
        <f t="shared" si="194"/>
        <v>6.4749999999999996</v>
      </c>
      <c r="P1220">
        <f t="shared" si="195"/>
        <v>6.4772727272727266</v>
      </c>
      <c r="Q1220">
        <f t="shared" si="196"/>
        <v>5.5555555555555554</v>
      </c>
      <c r="R1220">
        <f t="shared" si="197"/>
        <v>37.049999999999997</v>
      </c>
      <c r="S1220" t="str">
        <f t="shared" si="198"/>
        <v>Good</v>
      </c>
      <c r="T1220" t="str">
        <f t="shared" si="199"/>
        <v>PM10</v>
      </c>
      <c r="U1220">
        <v>25.84</v>
      </c>
      <c r="V1220">
        <v>79.61</v>
      </c>
    </row>
    <row r="1221" spans="1:22" x14ac:dyDescent="0.3">
      <c r="A1221" s="2" t="s">
        <v>15</v>
      </c>
      <c r="B1221">
        <v>560026</v>
      </c>
      <c r="C1221" s="3">
        <v>44721</v>
      </c>
      <c r="D1221">
        <v>31.36</v>
      </c>
      <c r="E1221">
        <v>60.24</v>
      </c>
      <c r="F1221">
        <v>7.06</v>
      </c>
      <c r="G1221">
        <v>28.47</v>
      </c>
      <c r="H1221">
        <v>5.26</v>
      </c>
      <c r="I1221">
        <v>0.57999999999999996</v>
      </c>
      <c r="J1221">
        <v>5.97</v>
      </c>
      <c r="K1221">
        <f t="shared" si="190"/>
        <v>52.266666666666666</v>
      </c>
      <c r="L1221">
        <f t="shared" si="191"/>
        <v>60.24</v>
      </c>
      <c r="M1221">
        <f t="shared" si="192"/>
        <v>8.8249999999999993</v>
      </c>
      <c r="N1221">
        <f t="shared" si="193"/>
        <v>7.1174999999999997</v>
      </c>
      <c r="O1221">
        <f t="shared" si="194"/>
        <v>6.5750000000000002</v>
      </c>
      <c r="P1221">
        <f t="shared" si="195"/>
        <v>6.5909090909090899</v>
      </c>
      <c r="Q1221">
        <f t="shared" si="196"/>
        <v>5.5277777777777777</v>
      </c>
      <c r="R1221">
        <f t="shared" si="197"/>
        <v>60.24</v>
      </c>
      <c r="S1221" t="str">
        <f t="shared" si="198"/>
        <v>Satisfactory</v>
      </c>
      <c r="T1221" t="str">
        <f t="shared" si="199"/>
        <v>PM10</v>
      </c>
      <c r="U1221">
        <v>23</v>
      </c>
      <c r="V1221">
        <v>63.72</v>
      </c>
    </row>
    <row r="1222" spans="1:22" x14ac:dyDescent="0.3">
      <c r="A1222" s="2" t="s">
        <v>15</v>
      </c>
      <c r="B1222">
        <v>560026</v>
      </c>
      <c r="C1222" s="3">
        <v>44722</v>
      </c>
      <c r="D1222">
        <v>19.77689655</v>
      </c>
      <c r="E1222">
        <v>49.415862070000003</v>
      </c>
      <c r="F1222">
        <v>12.281034480000001</v>
      </c>
      <c r="G1222">
        <v>25.493448279999999</v>
      </c>
      <c r="H1222">
        <v>5.260344828</v>
      </c>
      <c r="I1222">
        <v>0.60206896600000004</v>
      </c>
      <c r="J1222">
        <v>6.2468965519999999</v>
      </c>
      <c r="K1222">
        <f t="shared" si="190"/>
        <v>32.961494250000001</v>
      </c>
      <c r="L1222">
        <f t="shared" si="191"/>
        <v>49.415862070000003</v>
      </c>
      <c r="M1222">
        <f t="shared" si="192"/>
        <v>15.351293100000001</v>
      </c>
      <c r="N1222">
        <f t="shared" si="193"/>
        <v>6.3733620699999998</v>
      </c>
      <c r="O1222">
        <f t="shared" si="194"/>
        <v>6.5754310349999994</v>
      </c>
      <c r="P1222">
        <f t="shared" si="195"/>
        <v>6.8416927954545459</v>
      </c>
      <c r="Q1222">
        <f t="shared" si="196"/>
        <v>5.7841634740740737</v>
      </c>
      <c r="R1222">
        <f t="shared" si="197"/>
        <v>49.415862070000003</v>
      </c>
      <c r="S1222" t="str">
        <f t="shared" si="198"/>
        <v>Good</v>
      </c>
      <c r="T1222" t="str">
        <f t="shared" si="199"/>
        <v>PM10</v>
      </c>
      <c r="U1222">
        <v>25.84</v>
      </c>
      <c r="V1222">
        <v>63.72</v>
      </c>
    </row>
    <row r="1223" spans="1:22" x14ac:dyDescent="0.3">
      <c r="A1223" s="2" t="s">
        <v>15</v>
      </c>
      <c r="B1223">
        <v>560026</v>
      </c>
      <c r="C1223" s="3">
        <v>44723</v>
      </c>
      <c r="D1223">
        <v>13.61</v>
      </c>
      <c r="E1223">
        <v>42.11</v>
      </c>
      <c r="F1223">
        <v>12.34</v>
      </c>
      <c r="G1223">
        <v>25.75</v>
      </c>
      <c r="H1223">
        <v>5.91</v>
      </c>
      <c r="I1223">
        <v>0.65</v>
      </c>
      <c r="J1223">
        <v>10.11</v>
      </c>
      <c r="K1223">
        <f t="shared" si="190"/>
        <v>22.683333333333334</v>
      </c>
      <c r="L1223">
        <f t="shared" si="191"/>
        <v>42.11</v>
      </c>
      <c r="M1223">
        <f t="shared" si="192"/>
        <v>15.425000000000001</v>
      </c>
      <c r="N1223">
        <f t="shared" si="193"/>
        <v>6.4375</v>
      </c>
      <c r="O1223">
        <f t="shared" si="194"/>
        <v>7.3875000000000002</v>
      </c>
      <c r="P1223">
        <f t="shared" si="195"/>
        <v>7.3863636363636367</v>
      </c>
      <c r="Q1223">
        <f t="shared" si="196"/>
        <v>9.3611111111111107</v>
      </c>
      <c r="R1223">
        <f t="shared" si="197"/>
        <v>42.11</v>
      </c>
      <c r="S1223" t="str">
        <f t="shared" si="198"/>
        <v>Good</v>
      </c>
      <c r="T1223" t="str">
        <f t="shared" si="199"/>
        <v>PM10</v>
      </c>
      <c r="U1223">
        <v>27.88</v>
      </c>
      <c r="V1223">
        <v>60.47</v>
      </c>
    </row>
    <row r="1224" spans="1:22" x14ac:dyDescent="0.3">
      <c r="A1224" s="2" t="s">
        <v>15</v>
      </c>
      <c r="B1224">
        <v>560026</v>
      </c>
      <c r="C1224" s="3">
        <v>44724</v>
      </c>
      <c r="D1224">
        <v>13.17</v>
      </c>
      <c r="E1224">
        <v>33.590000000000003</v>
      </c>
      <c r="F1224">
        <v>8.1</v>
      </c>
      <c r="G1224">
        <v>27.83</v>
      </c>
      <c r="H1224">
        <v>4.9000000000000004</v>
      </c>
      <c r="I1224">
        <v>0.54</v>
      </c>
      <c r="J1224">
        <v>6.26</v>
      </c>
      <c r="K1224">
        <f t="shared" si="190"/>
        <v>21.95</v>
      </c>
      <c r="L1224">
        <f t="shared" si="191"/>
        <v>33.590000000000003</v>
      </c>
      <c r="M1224">
        <f t="shared" si="192"/>
        <v>10.125</v>
      </c>
      <c r="N1224">
        <f t="shared" si="193"/>
        <v>6.9574999999999996</v>
      </c>
      <c r="O1224">
        <f t="shared" si="194"/>
        <v>6.1250000000000009</v>
      </c>
      <c r="P1224">
        <f t="shared" si="195"/>
        <v>6.1363636363636367</v>
      </c>
      <c r="Q1224">
        <f t="shared" si="196"/>
        <v>5.7962962962962958</v>
      </c>
      <c r="R1224">
        <f t="shared" si="197"/>
        <v>33.590000000000003</v>
      </c>
      <c r="S1224" t="str">
        <f t="shared" si="198"/>
        <v>Good</v>
      </c>
      <c r="T1224" t="str">
        <f t="shared" si="199"/>
        <v>PM10</v>
      </c>
      <c r="U1224">
        <v>25.7</v>
      </c>
      <c r="V1224">
        <v>67.11</v>
      </c>
    </row>
    <row r="1225" spans="1:22" x14ac:dyDescent="0.3">
      <c r="A1225" s="2" t="s">
        <v>15</v>
      </c>
      <c r="B1225">
        <v>560026</v>
      </c>
      <c r="C1225" s="3">
        <v>44725</v>
      </c>
      <c r="D1225">
        <v>20.79</v>
      </c>
      <c r="E1225">
        <v>43.93</v>
      </c>
      <c r="F1225">
        <v>9.34</v>
      </c>
      <c r="G1225">
        <v>37.89</v>
      </c>
      <c r="H1225">
        <v>4.79</v>
      </c>
      <c r="I1225">
        <v>0.52</v>
      </c>
      <c r="J1225">
        <v>6.38</v>
      </c>
      <c r="K1225">
        <f t="shared" si="190"/>
        <v>34.65</v>
      </c>
      <c r="L1225">
        <f t="shared" si="191"/>
        <v>43.93</v>
      </c>
      <c r="M1225">
        <f t="shared" si="192"/>
        <v>11.675000000000001</v>
      </c>
      <c r="N1225">
        <f t="shared" si="193"/>
        <v>9.4725000000000001</v>
      </c>
      <c r="O1225">
        <f t="shared" si="194"/>
        <v>5.9874999999999998</v>
      </c>
      <c r="P1225">
        <f t="shared" si="195"/>
        <v>5.9090909090909092</v>
      </c>
      <c r="Q1225">
        <f t="shared" si="196"/>
        <v>5.9074074074074074</v>
      </c>
      <c r="R1225">
        <f t="shared" si="197"/>
        <v>43.93</v>
      </c>
      <c r="S1225" t="str">
        <f t="shared" si="198"/>
        <v>Good</v>
      </c>
      <c r="T1225" t="str">
        <f t="shared" si="199"/>
        <v>PM10</v>
      </c>
      <c r="U1225">
        <v>25.44</v>
      </c>
      <c r="V1225">
        <v>66.72</v>
      </c>
    </row>
    <row r="1226" spans="1:22" x14ac:dyDescent="0.3">
      <c r="A1226" s="2" t="s">
        <v>15</v>
      </c>
      <c r="B1226">
        <v>560026</v>
      </c>
      <c r="C1226" s="3">
        <v>44726</v>
      </c>
      <c r="D1226">
        <v>16.760000000000002</v>
      </c>
      <c r="E1226">
        <v>41.75</v>
      </c>
      <c r="F1226">
        <v>10.91</v>
      </c>
      <c r="G1226">
        <v>41</v>
      </c>
      <c r="H1226">
        <v>4.55</v>
      </c>
      <c r="I1226">
        <v>0.5</v>
      </c>
      <c r="J1226">
        <v>6.16</v>
      </c>
      <c r="K1226">
        <f t="shared" si="190"/>
        <v>27.933333333333337</v>
      </c>
      <c r="L1226">
        <f t="shared" si="191"/>
        <v>41.75</v>
      </c>
      <c r="M1226">
        <f t="shared" si="192"/>
        <v>13.637499999999999</v>
      </c>
      <c r="N1226">
        <f t="shared" si="193"/>
        <v>10.25</v>
      </c>
      <c r="O1226">
        <f t="shared" si="194"/>
        <v>5.6875</v>
      </c>
      <c r="P1226">
        <f t="shared" si="195"/>
        <v>5.6818181818181817</v>
      </c>
      <c r="Q1226">
        <f t="shared" si="196"/>
        <v>5.7037037037037042</v>
      </c>
      <c r="R1226">
        <f t="shared" si="197"/>
        <v>41.75</v>
      </c>
      <c r="S1226" t="str">
        <f t="shared" si="198"/>
        <v>Good</v>
      </c>
      <c r="T1226" t="str">
        <f t="shared" si="199"/>
        <v>PM10</v>
      </c>
      <c r="U1226">
        <v>26.12</v>
      </c>
      <c r="V1226">
        <v>67.86</v>
      </c>
    </row>
    <row r="1227" spans="1:22" x14ac:dyDescent="0.3">
      <c r="A1227" s="2" t="s">
        <v>15</v>
      </c>
      <c r="B1227">
        <v>560026</v>
      </c>
      <c r="C1227" s="3">
        <v>44727</v>
      </c>
      <c r="D1227">
        <v>14.8</v>
      </c>
      <c r="E1227">
        <v>40.22</v>
      </c>
      <c r="F1227">
        <v>12.25</v>
      </c>
      <c r="G1227">
        <v>33.049999999999997</v>
      </c>
      <c r="H1227">
        <v>4.62</v>
      </c>
      <c r="I1227">
        <v>0.5</v>
      </c>
      <c r="J1227">
        <v>6.45</v>
      </c>
      <c r="K1227">
        <f t="shared" si="190"/>
        <v>24.666666666666668</v>
      </c>
      <c r="L1227">
        <f t="shared" si="191"/>
        <v>40.22</v>
      </c>
      <c r="M1227">
        <f t="shared" si="192"/>
        <v>15.3125</v>
      </c>
      <c r="N1227">
        <f t="shared" si="193"/>
        <v>8.2624999999999993</v>
      </c>
      <c r="O1227">
        <f t="shared" si="194"/>
        <v>5.7750000000000004</v>
      </c>
      <c r="P1227">
        <f t="shared" si="195"/>
        <v>5.6818181818181817</v>
      </c>
      <c r="Q1227">
        <f t="shared" si="196"/>
        <v>5.9722222222222223</v>
      </c>
      <c r="R1227">
        <f t="shared" si="197"/>
        <v>40.22</v>
      </c>
      <c r="S1227" t="str">
        <f t="shared" si="198"/>
        <v>Good</v>
      </c>
      <c r="T1227" t="str">
        <f t="shared" si="199"/>
        <v>PM10</v>
      </c>
      <c r="U1227">
        <v>24.98</v>
      </c>
      <c r="V1227">
        <v>73.66</v>
      </c>
    </row>
    <row r="1228" spans="1:22" x14ac:dyDescent="0.3">
      <c r="A1228" s="2" t="s">
        <v>15</v>
      </c>
      <c r="B1228">
        <v>560026</v>
      </c>
      <c r="C1228" s="3">
        <v>44728</v>
      </c>
      <c r="D1228">
        <v>17.05</v>
      </c>
      <c r="E1228">
        <v>42.84</v>
      </c>
      <c r="F1228">
        <v>10.19</v>
      </c>
      <c r="G1228">
        <v>34.78</v>
      </c>
      <c r="H1228">
        <v>4.95</v>
      </c>
      <c r="I1228">
        <v>0.54</v>
      </c>
      <c r="J1228">
        <v>6.16</v>
      </c>
      <c r="K1228">
        <f t="shared" si="190"/>
        <v>28.416666666666668</v>
      </c>
      <c r="L1228">
        <f t="shared" si="191"/>
        <v>42.84</v>
      </c>
      <c r="M1228">
        <f t="shared" si="192"/>
        <v>12.737500000000001</v>
      </c>
      <c r="N1228">
        <f t="shared" si="193"/>
        <v>8.6950000000000003</v>
      </c>
      <c r="O1228">
        <f t="shared" si="194"/>
        <v>6.1875</v>
      </c>
      <c r="P1228">
        <f t="shared" si="195"/>
        <v>6.1363636363636367</v>
      </c>
      <c r="Q1228">
        <f t="shared" si="196"/>
        <v>5.7037037037037042</v>
      </c>
      <c r="R1228">
        <f t="shared" si="197"/>
        <v>42.84</v>
      </c>
      <c r="S1228" t="str">
        <f t="shared" si="198"/>
        <v>Good</v>
      </c>
      <c r="T1228" t="str">
        <f t="shared" si="199"/>
        <v>PM10</v>
      </c>
      <c r="U1228">
        <v>25.6</v>
      </c>
      <c r="V1228">
        <v>71.81</v>
      </c>
    </row>
    <row r="1229" spans="1:22" x14ac:dyDescent="0.3">
      <c r="A1229" s="2" t="s">
        <v>15</v>
      </c>
      <c r="B1229">
        <v>560026</v>
      </c>
      <c r="C1229" s="3">
        <v>44729</v>
      </c>
      <c r="D1229">
        <v>15.74</v>
      </c>
      <c r="E1229">
        <v>41.21</v>
      </c>
      <c r="F1229">
        <v>13.61</v>
      </c>
      <c r="G1229">
        <v>34.75</v>
      </c>
      <c r="H1229">
        <v>4.47</v>
      </c>
      <c r="I1229">
        <v>0.49</v>
      </c>
      <c r="J1229">
        <v>6.15</v>
      </c>
      <c r="K1229">
        <f t="shared" si="190"/>
        <v>26.233333333333334</v>
      </c>
      <c r="L1229">
        <f t="shared" si="191"/>
        <v>41.21</v>
      </c>
      <c r="M1229">
        <f t="shared" si="192"/>
        <v>17.012499999999999</v>
      </c>
      <c r="N1229">
        <f t="shared" si="193"/>
        <v>8.6875</v>
      </c>
      <c r="O1229">
        <f t="shared" si="194"/>
        <v>5.5875000000000004</v>
      </c>
      <c r="P1229">
        <f t="shared" si="195"/>
        <v>5.5681818181818183</v>
      </c>
      <c r="Q1229">
        <f t="shared" si="196"/>
        <v>5.6944444444444446</v>
      </c>
      <c r="R1229">
        <f t="shared" si="197"/>
        <v>41.21</v>
      </c>
      <c r="S1229" t="str">
        <f t="shared" si="198"/>
        <v>Good</v>
      </c>
      <c r="T1229" t="str">
        <f t="shared" si="199"/>
        <v>PM10</v>
      </c>
      <c r="U1229">
        <v>25.51</v>
      </c>
      <c r="V1229">
        <v>72.37</v>
      </c>
    </row>
    <row r="1230" spans="1:22" x14ac:dyDescent="0.3">
      <c r="A1230" s="2" t="s">
        <v>15</v>
      </c>
      <c r="B1230">
        <v>560026</v>
      </c>
      <c r="C1230" s="3">
        <v>44730</v>
      </c>
      <c r="D1230">
        <v>13.2</v>
      </c>
      <c r="E1230">
        <v>38.15</v>
      </c>
      <c r="F1230">
        <v>14.69</v>
      </c>
      <c r="G1230">
        <v>26.12</v>
      </c>
      <c r="H1230">
        <v>5.66</v>
      </c>
      <c r="I1230">
        <v>0.62</v>
      </c>
      <c r="J1230">
        <v>5.92</v>
      </c>
      <c r="K1230">
        <f t="shared" si="190"/>
        <v>22</v>
      </c>
      <c r="L1230">
        <f t="shared" si="191"/>
        <v>38.15</v>
      </c>
      <c r="M1230">
        <f t="shared" si="192"/>
        <v>18.362500000000001</v>
      </c>
      <c r="N1230">
        <f t="shared" si="193"/>
        <v>6.53</v>
      </c>
      <c r="O1230">
        <f t="shared" si="194"/>
        <v>7.0750000000000002</v>
      </c>
      <c r="P1230">
        <f t="shared" si="195"/>
        <v>7.045454545454545</v>
      </c>
      <c r="Q1230">
        <f t="shared" si="196"/>
        <v>5.4814814814814818</v>
      </c>
      <c r="R1230">
        <f t="shared" si="197"/>
        <v>38.15</v>
      </c>
      <c r="S1230" t="str">
        <f t="shared" si="198"/>
        <v>Good</v>
      </c>
      <c r="T1230" t="str">
        <f t="shared" si="199"/>
        <v>PM10</v>
      </c>
      <c r="U1230">
        <v>25.25</v>
      </c>
      <c r="V1230">
        <v>76.03</v>
      </c>
    </row>
    <row r="1231" spans="1:22" x14ac:dyDescent="0.3">
      <c r="A1231" s="2" t="s">
        <v>15</v>
      </c>
      <c r="B1231">
        <v>560026</v>
      </c>
      <c r="C1231" s="3">
        <v>44731</v>
      </c>
      <c r="D1231">
        <v>5.29</v>
      </c>
      <c r="E1231">
        <v>24.73</v>
      </c>
      <c r="F1231">
        <v>10.79</v>
      </c>
      <c r="G1231">
        <v>18.690000000000001</v>
      </c>
      <c r="H1231">
        <v>4.62</v>
      </c>
      <c r="I1231">
        <v>0.51</v>
      </c>
      <c r="J1231">
        <v>5.91</v>
      </c>
      <c r="K1231">
        <f t="shared" si="190"/>
        <v>8.8166666666666664</v>
      </c>
      <c r="L1231">
        <f t="shared" si="191"/>
        <v>24.73</v>
      </c>
      <c r="M1231">
        <f t="shared" si="192"/>
        <v>13.487500000000001</v>
      </c>
      <c r="N1231">
        <f t="shared" si="193"/>
        <v>4.6725000000000003</v>
      </c>
      <c r="O1231">
        <f t="shared" si="194"/>
        <v>5.7750000000000004</v>
      </c>
      <c r="P1231">
        <f t="shared" si="195"/>
        <v>5.795454545454545</v>
      </c>
      <c r="Q1231">
        <f t="shared" si="196"/>
        <v>5.4722222222222223</v>
      </c>
      <c r="R1231">
        <f t="shared" si="197"/>
        <v>24.73</v>
      </c>
      <c r="S1231" t="str">
        <f t="shared" si="198"/>
        <v>Good</v>
      </c>
      <c r="T1231" t="str">
        <f t="shared" si="199"/>
        <v>PM10</v>
      </c>
      <c r="U1231">
        <v>25.3</v>
      </c>
      <c r="V1231">
        <v>73.900000000000006</v>
      </c>
    </row>
    <row r="1232" spans="1:22" x14ac:dyDescent="0.3">
      <c r="A1232" s="2" t="s">
        <v>15</v>
      </c>
      <c r="B1232">
        <v>560026</v>
      </c>
      <c r="C1232" s="3">
        <v>44732</v>
      </c>
      <c r="D1232">
        <v>13.36</v>
      </c>
      <c r="E1232">
        <v>36.86</v>
      </c>
      <c r="F1232">
        <v>11.13</v>
      </c>
      <c r="G1232">
        <v>21.31</v>
      </c>
      <c r="H1232">
        <v>4.93</v>
      </c>
      <c r="I1232">
        <v>0.54</v>
      </c>
      <c r="J1232">
        <v>7.05</v>
      </c>
      <c r="K1232">
        <f t="shared" si="190"/>
        <v>22.266666666666666</v>
      </c>
      <c r="L1232">
        <f t="shared" si="191"/>
        <v>36.86</v>
      </c>
      <c r="M1232">
        <f t="shared" si="192"/>
        <v>13.9125</v>
      </c>
      <c r="N1232">
        <f t="shared" si="193"/>
        <v>5.3274999999999997</v>
      </c>
      <c r="O1232">
        <f t="shared" si="194"/>
        <v>6.1624999999999996</v>
      </c>
      <c r="P1232">
        <f t="shared" si="195"/>
        <v>6.1363636363636367</v>
      </c>
      <c r="Q1232">
        <f t="shared" si="196"/>
        <v>6.5277777777777777</v>
      </c>
      <c r="R1232">
        <f t="shared" si="197"/>
        <v>36.86</v>
      </c>
      <c r="S1232" t="str">
        <f t="shared" si="198"/>
        <v>Good</v>
      </c>
      <c r="T1232" t="str">
        <f t="shared" si="199"/>
        <v>PM10</v>
      </c>
      <c r="U1232">
        <v>24.64</v>
      </c>
      <c r="V1232">
        <v>76.150000000000006</v>
      </c>
    </row>
    <row r="1233" spans="1:22" x14ac:dyDescent="0.3">
      <c r="A1233" s="2" t="s">
        <v>15</v>
      </c>
      <c r="B1233">
        <v>560026</v>
      </c>
      <c r="C1233" s="3">
        <v>44733</v>
      </c>
      <c r="D1233">
        <v>17.010000000000002</v>
      </c>
      <c r="E1233">
        <v>37.979999999999997</v>
      </c>
      <c r="F1233">
        <v>11.88</v>
      </c>
      <c r="G1233">
        <v>21.05</v>
      </c>
      <c r="H1233">
        <v>5.46</v>
      </c>
      <c r="I1233">
        <v>0.56999999999999995</v>
      </c>
      <c r="J1233">
        <v>6.54</v>
      </c>
      <c r="K1233">
        <f t="shared" si="190"/>
        <v>28.350000000000005</v>
      </c>
      <c r="L1233">
        <f t="shared" si="191"/>
        <v>37.979999999999997</v>
      </c>
      <c r="M1233">
        <f t="shared" si="192"/>
        <v>14.85</v>
      </c>
      <c r="N1233">
        <f t="shared" si="193"/>
        <v>5.2625000000000002</v>
      </c>
      <c r="O1233">
        <f t="shared" si="194"/>
        <v>6.8250000000000002</v>
      </c>
      <c r="P1233">
        <f t="shared" si="195"/>
        <v>6.4772727272727266</v>
      </c>
      <c r="Q1233">
        <f t="shared" si="196"/>
        <v>6.0555555555555554</v>
      </c>
      <c r="R1233">
        <f t="shared" si="197"/>
        <v>37.979999999999997</v>
      </c>
      <c r="S1233" t="str">
        <f t="shared" si="198"/>
        <v>Good</v>
      </c>
      <c r="T1233" t="str">
        <f t="shared" si="199"/>
        <v>PM10</v>
      </c>
      <c r="U1233">
        <v>24.04</v>
      </c>
      <c r="V1233">
        <v>76.569999999999993</v>
      </c>
    </row>
    <row r="1234" spans="1:22" x14ac:dyDescent="0.3">
      <c r="A1234" s="2" t="s">
        <v>15</v>
      </c>
      <c r="B1234">
        <v>560026</v>
      </c>
      <c r="C1234" s="3">
        <v>44734</v>
      </c>
      <c r="D1234">
        <v>20.59</v>
      </c>
      <c r="E1234">
        <v>49.68</v>
      </c>
      <c r="F1234">
        <v>11.35</v>
      </c>
      <c r="G1234">
        <v>22.88</v>
      </c>
      <c r="H1234">
        <v>5.37</v>
      </c>
      <c r="I1234">
        <v>0.55000000000000004</v>
      </c>
      <c r="J1234">
        <v>6.45</v>
      </c>
      <c r="K1234">
        <f t="shared" si="190"/>
        <v>34.31666666666667</v>
      </c>
      <c r="L1234">
        <f t="shared" si="191"/>
        <v>49.68</v>
      </c>
      <c r="M1234">
        <f t="shared" si="192"/>
        <v>14.1875</v>
      </c>
      <c r="N1234">
        <f t="shared" si="193"/>
        <v>5.72</v>
      </c>
      <c r="O1234">
        <f t="shared" si="194"/>
        <v>6.7125000000000004</v>
      </c>
      <c r="P1234">
        <f t="shared" si="195"/>
        <v>6.25</v>
      </c>
      <c r="Q1234">
        <f t="shared" si="196"/>
        <v>5.9722222222222223</v>
      </c>
      <c r="R1234">
        <f t="shared" si="197"/>
        <v>49.68</v>
      </c>
      <c r="S1234" t="str">
        <f t="shared" si="198"/>
        <v>Good</v>
      </c>
      <c r="T1234" t="str">
        <f t="shared" si="199"/>
        <v>PM10</v>
      </c>
      <c r="U1234">
        <v>23.42</v>
      </c>
      <c r="V1234">
        <v>78.930000000000007</v>
      </c>
    </row>
    <row r="1235" spans="1:22" x14ac:dyDescent="0.3">
      <c r="A1235" s="2" t="s">
        <v>15</v>
      </c>
      <c r="B1235">
        <v>560026</v>
      </c>
      <c r="C1235" s="3">
        <v>44735</v>
      </c>
      <c r="D1235">
        <v>41.59</v>
      </c>
      <c r="E1235">
        <v>78.31</v>
      </c>
      <c r="F1235">
        <v>11.79</v>
      </c>
      <c r="G1235">
        <v>20.2</v>
      </c>
      <c r="H1235">
        <v>4.67</v>
      </c>
      <c r="I1235">
        <v>0.56000000000000005</v>
      </c>
      <c r="J1235">
        <v>6.89</v>
      </c>
      <c r="K1235">
        <f t="shared" si="190"/>
        <v>69.316666666666677</v>
      </c>
      <c r="L1235">
        <f t="shared" si="191"/>
        <v>78.31</v>
      </c>
      <c r="M1235">
        <f t="shared" si="192"/>
        <v>14.737500000000001</v>
      </c>
      <c r="N1235">
        <f t="shared" si="193"/>
        <v>5.05</v>
      </c>
      <c r="O1235">
        <f t="shared" si="194"/>
        <v>5.8375000000000004</v>
      </c>
      <c r="P1235">
        <f t="shared" si="195"/>
        <v>6.3636363636363642</v>
      </c>
      <c r="Q1235">
        <f t="shared" si="196"/>
        <v>6.3796296296296298</v>
      </c>
      <c r="R1235">
        <f t="shared" si="197"/>
        <v>78.31</v>
      </c>
      <c r="S1235" t="str">
        <f t="shared" si="198"/>
        <v>Satisfactory</v>
      </c>
      <c r="T1235" t="str">
        <f t="shared" si="199"/>
        <v>PM10</v>
      </c>
      <c r="U1235">
        <v>23.88</v>
      </c>
      <c r="V1235">
        <v>77.2</v>
      </c>
    </row>
    <row r="1236" spans="1:22" x14ac:dyDescent="0.3">
      <c r="A1236" s="2" t="s">
        <v>15</v>
      </c>
      <c r="B1236">
        <v>560026</v>
      </c>
      <c r="C1236" s="3">
        <v>44736</v>
      </c>
      <c r="D1236">
        <v>25.53</v>
      </c>
      <c r="E1236">
        <v>52.74</v>
      </c>
      <c r="F1236">
        <v>9.41</v>
      </c>
      <c r="G1236">
        <v>17.75</v>
      </c>
      <c r="H1236">
        <v>6.65</v>
      </c>
      <c r="I1236">
        <v>0.47</v>
      </c>
      <c r="J1236">
        <v>6.27</v>
      </c>
      <c r="K1236">
        <f t="shared" si="190"/>
        <v>42.55</v>
      </c>
      <c r="L1236">
        <f t="shared" si="191"/>
        <v>52.74</v>
      </c>
      <c r="M1236">
        <f t="shared" si="192"/>
        <v>11.762499999999999</v>
      </c>
      <c r="N1236">
        <f t="shared" si="193"/>
        <v>4.4375</v>
      </c>
      <c r="O1236">
        <f t="shared" si="194"/>
        <v>8.3125</v>
      </c>
      <c r="P1236">
        <f t="shared" si="195"/>
        <v>5.3409090909090908</v>
      </c>
      <c r="Q1236">
        <f t="shared" si="196"/>
        <v>5.8055555555555554</v>
      </c>
      <c r="R1236">
        <f t="shared" si="197"/>
        <v>52.74</v>
      </c>
      <c r="S1236" t="str">
        <f t="shared" si="198"/>
        <v>Satisfactory</v>
      </c>
      <c r="T1236" t="str">
        <f t="shared" si="199"/>
        <v>PM10</v>
      </c>
      <c r="U1236">
        <v>25.02</v>
      </c>
      <c r="V1236">
        <v>70.95</v>
      </c>
    </row>
    <row r="1237" spans="1:22" x14ac:dyDescent="0.3">
      <c r="A1237" s="2" t="s">
        <v>15</v>
      </c>
      <c r="B1237">
        <v>560026</v>
      </c>
      <c r="C1237" s="3">
        <v>44737</v>
      </c>
      <c r="D1237">
        <v>23.15</v>
      </c>
      <c r="E1237">
        <v>57.35</v>
      </c>
      <c r="F1237">
        <v>9.48</v>
      </c>
      <c r="G1237">
        <v>18.79</v>
      </c>
      <c r="H1237">
        <v>6.87</v>
      </c>
      <c r="I1237">
        <v>0.54</v>
      </c>
      <c r="J1237">
        <v>6.2</v>
      </c>
      <c r="K1237">
        <f t="shared" si="190"/>
        <v>38.583333333333336</v>
      </c>
      <c r="L1237">
        <f t="shared" si="191"/>
        <v>57.35</v>
      </c>
      <c r="M1237">
        <f t="shared" si="192"/>
        <v>11.85</v>
      </c>
      <c r="N1237">
        <f t="shared" si="193"/>
        <v>4.6974999999999998</v>
      </c>
      <c r="O1237">
        <f t="shared" si="194"/>
        <v>8.5875000000000004</v>
      </c>
      <c r="P1237">
        <f t="shared" si="195"/>
        <v>6.1363636363636367</v>
      </c>
      <c r="Q1237">
        <f t="shared" si="196"/>
        <v>5.7407407407407414</v>
      </c>
      <c r="R1237">
        <f t="shared" si="197"/>
        <v>57.35</v>
      </c>
      <c r="S1237" t="str">
        <f t="shared" si="198"/>
        <v>Satisfactory</v>
      </c>
      <c r="T1237" t="str">
        <f t="shared" si="199"/>
        <v>PM10</v>
      </c>
      <c r="U1237">
        <v>23.98</v>
      </c>
      <c r="V1237">
        <v>75.040000000000006</v>
      </c>
    </row>
    <row r="1238" spans="1:22" x14ac:dyDescent="0.3">
      <c r="A1238" s="2" t="s">
        <v>15</v>
      </c>
      <c r="B1238">
        <v>560026</v>
      </c>
      <c r="C1238" s="3">
        <v>44738</v>
      </c>
      <c r="D1238">
        <v>20.81</v>
      </c>
      <c r="E1238">
        <v>59.7</v>
      </c>
      <c r="F1238">
        <v>9.08</v>
      </c>
      <c r="G1238">
        <v>20.14</v>
      </c>
      <c r="H1238">
        <v>6.28</v>
      </c>
      <c r="I1238">
        <v>0.5</v>
      </c>
      <c r="J1238">
        <v>6.39</v>
      </c>
      <c r="K1238">
        <f t="shared" si="190"/>
        <v>34.68333333333333</v>
      </c>
      <c r="L1238">
        <f t="shared" si="191"/>
        <v>59.7</v>
      </c>
      <c r="M1238">
        <f t="shared" si="192"/>
        <v>11.35</v>
      </c>
      <c r="N1238">
        <f t="shared" si="193"/>
        <v>5.0350000000000001</v>
      </c>
      <c r="O1238">
        <f t="shared" si="194"/>
        <v>7.85</v>
      </c>
      <c r="P1238">
        <f t="shared" si="195"/>
        <v>5.6818181818181817</v>
      </c>
      <c r="Q1238">
        <f t="shared" si="196"/>
        <v>5.9166666666666661</v>
      </c>
      <c r="R1238">
        <f t="shared" si="197"/>
        <v>59.7</v>
      </c>
      <c r="S1238" t="str">
        <f t="shared" si="198"/>
        <v>Satisfactory</v>
      </c>
      <c r="T1238" t="str">
        <f t="shared" si="199"/>
        <v>PM10</v>
      </c>
      <c r="U1238">
        <v>24.5</v>
      </c>
      <c r="V1238">
        <v>71.62</v>
      </c>
    </row>
    <row r="1239" spans="1:22" x14ac:dyDescent="0.3">
      <c r="A1239" s="2" t="s">
        <v>15</v>
      </c>
      <c r="B1239">
        <v>560026</v>
      </c>
      <c r="C1239" s="3">
        <v>44739</v>
      </c>
      <c r="D1239">
        <v>17.440000000000001</v>
      </c>
      <c r="E1239">
        <v>53.34</v>
      </c>
      <c r="F1239">
        <v>9.69</v>
      </c>
      <c r="G1239">
        <v>22.09</v>
      </c>
      <c r="H1239">
        <v>5.48</v>
      </c>
      <c r="I1239">
        <v>0.44</v>
      </c>
      <c r="J1239">
        <v>6.32</v>
      </c>
      <c r="K1239">
        <f t="shared" si="190"/>
        <v>29.06666666666667</v>
      </c>
      <c r="L1239">
        <f t="shared" si="191"/>
        <v>53.34</v>
      </c>
      <c r="M1239">
        <f t="shared" si="192"/>
        <v>12.112500000000001</v>
      </c>
      <c r="N1239">
        <f t="shared" si="193"/>
        <v>5.5225</v>
      </c>
      <c r="O1239">
        <f t="shared" si="194"/>
        <v>6.85</v>
      </c>
      <c r="P1239">
        <f t="shared" si="195"/>
        <v>5</v>
      </c>
      <c r="Q1239">
        <f t="shared" si="196"/>
        <v>5.8518518518518521</v>
      </c>
      <c r="R1239">
        <f t="shared" si="197"/>
        <v>53.34</v>
      </c>
      <c r="S1239" t="str">
        <f t="shared" si="198"/>
        <v>Satisfactory</v>
      </c>
      <c r="T1239" t="str">
        <f t="shared" si="199"/>
        <v>PM10</v>
      </c>
      <c r="U1239">
        <v>24.26</v>
      </c>
      <c r="V1239">
        <v>74.39</v>
      </c>
    </row>
    <row r="1240" spans="1:22" x14ac:dyDescent="0.3">
      <c r="A1240" s="2" t="s">
        <v>15</v>
      </c>
      <c r="B1240">
        <v>560026</v>
      </c>
      <c r="C1240" s="3">
        <v>44740</v>
      </c>
      <c r="D1240">
        <v>26.12</v>
      </c>
      <c r="E1240">
        <v>61.27</v>
      </c>
      <c r="F1240">
        <v>10.119999999999999</v>
      </c>
      <c r="G1240">
        <v>23.99</v>
      </c>
      <c r="H1240">
        <v>5.1100000000000003</v>
      </c>
      <c r="I1240">
        <v>0.45</v>
      </c>
      <c r="J1240">
        <v>6.25</v>
      </c>
      <c r="K1240">
        <f t="shared" si="190"/>
        <v>43.533333333333331</v>
      </c>
      <c r="L1240">
        <f t="shared" si="191"/>
        <v>61.27</v>
      </c>
      <c r="M1240">
        <f t="shared" si="192"/>
        <v>12.649999999999999</v>
      </c>
      <c r="N1240">
        <f t="shared" si="193"/>
        <v>5.9974999999999996</v>
      </c>
      <c r="O1240">
        <f t="shared" si="194"/>
        <v>6.3875000000000011</v>
      </c>
      <c r="P1240">
        <f t="shared" si="195"/>
        <v>5.1136363636363633</v>
      </c>
      <c r="Q1240">
        <f t="shared" si="196"/>
        <v>5.7870370370370372</v>
      </c>
      <c r="R1240">
        <f t="shared" si="197"/>
        <v>61.27</v>
      </c>
      <c r="S1240" t="str">
        <f t="shared" si="198"/>
        <v>Satisfactory</v>
      </c>
      <c r="T1240" t="str">
        <f t="shared" si="199"/>
        <v>PM10</v>
      </c>
      <c r="U1240">
        <v>24.82</v>
      </c>
      <c r="V1240">
        <v>72.75</v>
      </c>
    </row>
    <row r="1241" spans="1:22" x14ac:dyDescent="0.3">
      <c r="A1241" s="2" t="s">
        <v>15</v>
      </c>
      <c r="B1241">
        <v>560026</v>
      </c>
      <c r="C1241" s="3">
        <v>44741</v>
      </c>
      <c r="D1241">
        <v>17.510000000000002</v>
      </c>
      <c r="E1241">
        <v>43.76</v>
      </c>
      <c r="F1241">
        <v>9.17</v>
      </c>
      <c r="G1241">
        <v>23.06</v>
      </c>
      <c r="H1241">
        <v>4.9400000000000004</v>
      </c>
      <c r="I1241">
        <v>0.53</v>
      </c>
      <c r="J1241">
        <v>5.7</v>
      </c>
      <c r="K1241">
        <f t="shared" si="190"/>
        <v>29.183333333333337</v>
      </c>
      <c r="L1241">
        <f t="shared" si="191"/>
        <v>43.76</v>
      </c>
      <c r="M1241">
        <f t="shared" si="192"/>
        <v>11.4625</v>
      </c>
      <c r="N1241">
        <f t="shared" si="193"/>
        <v>5.7649999999999997</v>
      </c>
      <c r="O1241">
        <f t="shared" si="194"/>
        <v>6.1750000000000007</v>
      </c>
      <c r="P1241">
        <f t="shared" si="195"/>
        <v>6.0227272727272725</v>
      </c>
      <c r="Q1241">
        <f t="shared" si="196"/>
        <v>5.2777777777777777</v>
      </c>
      <c r="R1241">
        <f t="shared" si="197"/>
        <v>43.76</v>
      </c>
      <c r="S1241" t="str">
        <f t="shared" si="198"/>
        <v>Good</v>
      </c>
      <c r="T1241" t="str">
        <f t="shared" si="199"/>
        <v>PM10</v>
      </c>
      <c r="U1241">
        <v>25.01</v>
      </c>
      <c r="V1241">
        <v>75.53</v>
      </c>
    </row>
    <row r="1242" spans="1:22" x14ac:dyDescent="0.3">
      <c r="A1242" s="2" t="s">
        <v>15</v>
      </c>
      <c r="B1242">
        <v>560026</v>
      </c>
      <c r="C1242" s="3">
        <v>44742</v>
      </c>
      <c r="D1242">
        <v>13.11</v>
      </c>
      <c r="E1242">
        <v>37.94</v>
      </c>
      <c r="F1242">
        <v>10.58</v>
      </c>
      <c r="G1242">
        <v>23.68</v>
      </c>
      <c r="H1242">
        <v>4.57</v>
      </c>
      <c r="I1242">
        <v>0.49</v>
      </c>
      <c r="J1242">
        <v>5.26</v>
      </c>
      <c r="K1242">
        <f t="shared" si="190"/>
        <v>21.85</v>
      </c>
      <c r="L1242">
        <f t="shared" si="191"/>
        <v>37.94</v>
      </c>
      <c r="M1242">
        <f t="shared" si="192"/>
        <v>13.225</v>
      </c>
      <c r="N1242">
        <f t="shared" si="193"/>
        <v>5.92</v>
      </c>
      <c r="O1242">
        <f t="shared" si="194"/>
        <v>5.7125000000000004</v>
      </c>
      <c r="P1242">
        <f t="shared" si="195"/>
        <v>5.5681818181818183</v>
      </c>
      <c r="Q1242">
        <f t="shared" si="196"/>
        <v>4.8703703703703702</v>
      </c>
      <c r="R1242">
        <f t="shared" si="197"/>
        <v>37.94</v>
      </c>
      <c r="S1242" t="str">
        <f t="shared" si="198"/>
        <v>Good</v>
      </c>
      <c r="T1242" t="str">
        <f t="shared" si="199"/>
        <v>PM10</v>
      </c>
      <c r="U1242">
        <v>23.74</v>
      </c>
      <c r="V1242">
        <v>83.83</v>
      </c>
    </row>
    <row r="1243" spans="1:22" x14ac:dyDescent="0.3">
      <c r="A1243" s="2" t="s">
        <v>15</v>
      </c>
      <c r="B1243">
        <v>560026</v>
      </c>
      <c r="C1243" s="3">
        <v>44743</v>
      </c>
      <c r="D1243">
        <v>26.68</v>
      </c>
      <c r="E1243">
        <v>64.400000000000006</v>
      </c>
      <c r="F1243">
        <v>10.050000000000001</v>
      </c>
      <c r="G1243">
        <v>26.38</v>
      </c>
      <c r="H1243">
        <v>5.26</v>
      </c>
      <c r="I1243">
        <v>0.6</v>
      </c>
      <c r="J1243">
        <v>5.28</v>
      </c>
      <c r="K1243">
        <f t="shared" si="190"/>
        <v>44.466666666666669</v>
      </c>
      <c r="L1243">
        <f t="shared" si="191"/>
        <v>64.400000000000006</v>
      </c>
      <c r="M1243">
        <f t="shared" si="192"/>
        <v>12.562500000000002</v>
      </c>
      <c r="N1243">
        <f t="shared" si="193"/>
        <v>6.5949999999999998</v>
      </c>
      <c r="O1243">
        <f t="shared" si="194"/>
        <v>6.5750000000000002</v>
      </c>
      <c r="P1243">
        <f t="shared" si="195"/>
        <v>6.8181818181818175</v>
      </c>
      <c r="Q1243">
        <f t="shared" si="196"/>
        <v>4.8888888888888893</v>
      </c>
      <c r="R1243">
        <f t="shared" si="197"/>
        <v>64.400000000000006</v>
      </c>
      <c r="S1243" t="str">
        <f t="shared" si="198"/>
        <v>Satisfactory</v>
      </c>
      <c r="T1243" t="str">
        <f t="shared" si="199"/>
        <v>PM10</v>
      </c>
      <c r="U1243">
        <v>24.41</v>
      </c>
      <c r="V1243">
        <v>80.459999999999994</v>
      </c>
    </row>
    <row r="1244" spans="1:22" x14ac:dyDescent="0.3">
      <c r="A1244" s="2" t="s">
        <v>15</v>
      </c>
      <c r="B1244">
        <v>560026</v>
      </c>
      <c r="C1244" s="3">
        <v>44744</v>
      </c>
      <c r="D1244">
        <v>34.770000000000003</v>
      </c>
      <c r="E1244">
        <v>88.03</v>
      </c>
      <c r="F1244">
        <v>10.64</v>
      </c>
      <c r="G1244">
        <v>28.56</v>
      </c>
      <c r="H1244">
        <v>5.0999999999999996</v>
      </c>
      <c r="I1244">
        <v>0.77</v>
      </c>
      <c r="J1244">
        <v>5.28</v>
      </c>
      <c r="K1244">
        <f t="shared" si="190"/>
        <v>57.95</v>
      </c>
      <c r="L1244">
        <f t="shared" si="191"/>
        <v>88.03</v>
      </c>
      <c r="M1244">
        <f t="shared" si="192"/>
        <v>13.3</v>
      </c>
      <c r="N1244">
        <f t="shared" si="193"/>
        <v>7.14</v>
      </c>
      <c r="O1244">
        <f t="shared" si="194"/>
        <v>6.3749999999999991</v>
      </c>
      <c r="P1244">
        <f t="shared" si="195"/>
        <v>8.75</v>
      </c>
      <c r="Q1244">
        <f t="shared" si="196"/>
        <v>4.8888888888888893</v>
      </c>
      <c r="R1244">
        <f t="shared" si="197"/>
        <v>88.03</v>
      </c>
      <c r="S1244" t="str">
        <f t="shared" si="198"/>
        <v>Satisfactory</v>
      </c>
      <c r="T1244" t="str">
        <f t="shared" si="199"/>
        <v>PM10</v>
      </c>
      <c r="U1244">
        <v>24.63</v>
      </c>
      <c r="V1244">
        <v>79.56</v>
      </c>
    </row>
    <row r="1245" spans="1:22" x14ac:dyDescent="0.3">
      <c r="A1245" s="2" t="s">
        <v>15</v>
      </c>
      <c r="B1245">
        <v>560026</v>
      </c>
      <c r="C1245" s="3">
        <v>44745</v>
      </c>
      <c r="D1245">
        <v>17.34</v>
      </c>
      <c r="E1245">
        <v>56.02</v>
      </c>
      <c r="F1245">
        <v>8.1199999999999992</v>
      </c>
      <c r="G1245">
        <v>19.8</v>
      </c>
      <c r="H1245">
        <v>5.44</v>
      </c>
      <c r="I1245">
        <v>0.39</v>
      </c>
      <c r="J1245">
        <v>5.53</v>
      </c>
      <c r="K1245">
        <f t="shared" si="190"/>
        <v>28.9</v>
      </c>
      <c r="L1245">
        <f t="shared" si="191"/>
        <v>56.02</v>
      </c>
      <c r="M1245">
        <f t="shared" si="192"/>
        <v>10.149999999999999</v>
      </c>
      <c r="N1245">
        <f t="shared" si="193"/>
        <v>4.95</v>
      </c>
      <c r="O1245">
        <f t="shared" si="194"/>
        <v>6.8</v>
      </c>
      <c r="P1245">
        <f t="shared" si="195"/>
        <v>4.4318181818181817</v>
      </c>
      <c r="Q1245">
        <f t="shared" si="196"/>
        <v>5.1203703703703702</v>
      </c>
      <c r="R1245">
        <f t="shared" si="197"/>
        <v>56.02</v>
      </c>
      <c r="S1245" t="str">
        <f t="shared" si="198"/>
        <v>Satisfactory</v>
      </c>
      <c r="T1245" t="str">
        <f t="shared" si="199"/>
        <v>PM10</v>
      </c>
      <c r="U1245">
        <v>24.27</v>
      </c>
      <c r="V1245">
        <v>82.07</v>
      </c>
    </row>
    <row r="1246" spans="1:22" x14ac:dyDescent="0.3">
      <c r="A1246" s="2" t="s">
        <v>15</v>
      </c>
      <c r="B1246">
        <v>560026</v>
      </c>
      <c r="C1246" s="3">
        <v>44746</v>
      </c>
      <c r="D1246">
        <v>12.85</v>
      </c>
      <c r="E1246">
        <v>34.75</v>
      </c>
      <c r="F1246">
        <v>8.41</v>
      </c>
      <c r="G1246">
        <v>17.79</v>
      </c>
      <c r="H1246">
        <v>3.71</v>
      </c>
      <c r="I1246">
        <v>0.39</v>
      </c>
      <c r="J1246">
        <v>5</v>
      </c>
      <c r="K1246">
        <f t="shared" si="190"/>
        <v>21.416666666666668</v>
      </c>
      <c r="L1246">
        <f t="shared" si="191"/>
        <v>34.75</v>
      </c>
      <c r="M1246">
        <f t="shared" si="192"/>
        <v>10.512499999999999</v>
      </c>
      <c r="N1246">
        <f t="shared" si="193"/>
        <v>4.4474999999999998</v>
      </c>
      <c r="O1246">
        <f t="shared" si="194"/>
        <v>4.6375000000000002</v>
      </c>
      <c r="P1246">
        <f t="shared" si="195"/>
        <v>4.4318181818181817</v>
      </c>
      <c r="Q1246">
        <f t="shared" si="196"/>
        <v>4.6296296296296298</v>
      </c>
      <c r="R1246">
        <f t="shared" si="197"/>
        <v>34.75</v>
      </c>
      <c r="S1246" t="str">
        <f t="shared" si="198"/>
        <v>Good</v>
      </c>
      <c r="T1246" t="str">
        <f t="shared" si="199"/>
        <v>PM10</v>
      </c>
      <c r="U1246">
        <v>23.42</v>
      </c>
      <c r="V1246">
        <v>82.03</v>
      </c>
    </row>
    <row r="1247" spans="1:22" x14ac:dyDescent="0.3">
      <c r="A1247" s="2" t="s">
        <v>15</v>
      </c>
      <c r="B1247">
        <v>560026</v>
      </c>
      <c r="C1247" s="3">
        <v>44747</v>
      </c>
      <c r="D1247">
        <v>27.67</v>
      </c>
      <c r="E1247">
        <v>52.6</v>
      </c>
      <c r="F1247">
        <v>9.0299999999999994</v>
      </c>
      <c r="G1247">
        <v>17.940000000000001</v>
      </c>
      <c r="H1247">
        <v>4.5199999999999996</v>
      </c>
      <c r="I1247">
        <v>0.49</v>
      </c>
      <c r="J1247">
        <v>5.41</v>
      </c>
      <c r="K1247">
        <f t="shared" si="190"/>
        <v>46.116666666666667</v>
      </c>
      <c r="L1247">
        <f t="shared" si="191"/>
        <v>52.6</v>
      </c>
      <c r="M1247">
        <f t="shared" si="192"/>
        <v>11.287499999999998</v>
      </c>
      <c r="N1247">
        <f t="shared" si="193"/>
        <v>4.4850000000000003</v>
      </c>
      <c r="O1247">
        <f t="shared" si="194"/>
        <v>5.6499999999999995</v>
      </c>
      <c r="P1247">
        <f t="shared" si="195"/>
        <v>5.5681818181818183</v>
      </c>
      <c r="Q1247">
        <f t="shared" si="196"/>
        <v>5.0092592592592595</v>
      </c>
      <c r="R1247">
        <f t="shared" si="197"/>
        <v>52.6</v>
      </c>
      <c r="S1247" t="str">
        <f t="shared" si="198"/>
        <v>Satisfactory</v>
      </c>
      <c r="T1247" t="str">
        <f t="shared" si="199"/>
        <v>PM10</v>
      </c>
      <c r="U1247">
        <v>23.19</v>
      </c>
      <c r="V1247">
        <v>83.05</v>
      </c>
    </row>
    <row r="1248" spans="1:22" x14ac:dyDescent="0.3">
      <c r="A1248" s="2" t="s">
        <v>15</v>
      </c>
      <c r="B1248">
        <v>560026</v>
      </c>
      <c r="C1248" s="3">
        <v>44748</v>
      </c>
      <c r="D1248">
        <v>34.96</v>
      </c>
      <c r="E1248">
        <v>65.319999999999993</v>
      </c>
      <c r="F1248">
        <v>8.75</v>
      </c>
      <c r="G1248">
        <v>22.12</v>
      </c>
      <c r="H1248">
        <v>4.4400000000000004</v>
      </c>
      <c r="I1248">
        <v>0.56000000000000005</v>
      </c>
      <c r="J1248">
        <v>5.45</v>
      </c>
      <c r="K1248">
        <f t="shared" ref="K1248:K1311" si="200">IF(ISTEXT(D1248),0,IF(D1248&lt;=30,D1248*50/30,IF(AND(D1248&gt;30,D1248&lt;=60),50+(D1248-30)*50/30,IF(AND(D1248&gt;60,D1248&lt;=90),100+(D1248-60)*100/30,IF(AND(D1248&gt;90,D1248&lt;=120),200+(D1248-90)*(100/30),IF(AND(D1248&gt;120,D1248&lt;=250),300+(D1248-120)*(100/130),IF(D1248&gt;250,400+(D1248-250)*(100/130))))))))</f>
        <v>58.266666666666666</v>
      </c>
      <c r="L1248">
        <f t="shared" ref="L1248:L1311" si="201">IF(ISTEXT(E1248),0,IF(E1248&lt;=50,E1248,IF(AND(E1248&gt;50,E1248&lt;=100),E1248,IF(AND(E1248&gt;100,E1248&lt;=250),100+(E1248-100)*100/150,IF(AND(E1248&gt;250,E1248&lt;=350),200+(E1248-250),IF(AND(E1248&gt;350,E1248&lt;=430),300+(E1248-350)*(100/80),IF(E1248&gt;430,400+(E1248-430)*(100/80))))))))</f>
        <v>65.319999999999993</v>
      </c>
      <c r="M1248">
        <f t="shared" ref="M1248:M1311" si="202">IF(ISTEXT(F1248),0,IF(F1248&lt;=40,F1248*50/40,IF(AND(F1248&gt;40,F1248&lt;=80),50+(F1248-40)*50/40,IF(AND(F1248&gt;80,F1248&lt;=180),100+(F1248-80)*100/100,IF(AND(F1248&gt;180,F1248&lt;=280),200+(F1248-180)*(100/100),IF(AND(F1248&gt;280,F1248&lt;=400),300+(F1248-280)*(100/120),IF(F1248&gt;400,400+(F1248-400)*(100/120))))))))</f>
        <v>10.9375</v>
      </c>
      <c r="N1248">
        <f t="shared" ref="N1248:N1311" si="203">IF(ISTEXT(G1248),0,IF(G1248&lt;=200,G1248*50/200,IF(AND(G1248&gt;200,G1248&lt;=400),50+(G1248-200)*50/200,IF(AND(G1248&gt;400,G1248&lt;=800),100+(G1248-400)*100/400,IF(AND(G1248&gt;800,G1248&lt;=1200),200+(G1248-800)*(100/400),IF(AND(G1248&gt;1200,G1248&lt;=1800),300+(G1248-1200)*(100/600),IF(G1248&gt;1800,400+(G1248-1800)*(100/600))))))))</f>
        <v>5.53</v>
      </c>
      <c r="O1248">
        <f t="shared" ref="O1248:O1311" si="204">IF(ISTEXT(H1248),0,IF(H1248&lt;=40,H1248*50/40,IF(AND(H1248&gt;40,H1248&lt;=80),50+(H1248-40)*50/40,IF(AND(H1248&gt;80,H1248&lt;=380),100+(H1248-80)*100/300,IF(AND(H1248&gt;380,H1248&lt;=800),200+(H1248-380)*(100/420),IF(AND(H1248&gt;800,H1248&lt;=1600),300+(H1248-800)*(100/800),IF(H1248&gt;1600,400+(H1248-1600)*(100/800))))))))</f>
        <v>5.5500000000000007</v>
      </c>
      <c r="P1248">
        <f t="shared" ref="P1248:P1311" si="205">IF(I1248&lt;=4.4,(50-0)/(4.4-0)*(I1248-0)+0,
IF(I1248&lt;=9.4,(100-51)/(9.4-4.5)*(I1248-4.5)+51,
IF(I1248&lt;=12.4,(150-101)/(12.4-9.5)*(I1248-9.5)+101,
IF(I1248&lt;=15.4,(200-151)/(15.4-12.5)*(I1248-12.5)+151,
IF(I1248&lt;=30.4,(300-201)/(30.4-15.5)*(I1248-15.5)+201,
(500-301)/(50.4-30.5)*(I1248-30.5)+301)))))</f>
        <v>6.3636363636363642</v>
      </c>
      <c r="Q1248">
        <f t="shared" ref="Q1248:Q1311" si="206">IF(J1248&lt;=54,(50-0)/(54-0)*(J1248-0)+0,
IF(J1248&lt;=70,(100-51)/(70-55)*(J1248-55)+51,
IF(J1248&lt;=85,(150-101)/(85-71)*(J1248-71)+101,
IF(J1248&lt;=105,(200-151)/(105-86)*(J1248-86)+151,
IF(J1248&lt;=200,(300-201)/(200-106)*(J1248-106)+201,
(500-301)/(300-201)*(J1248-201)+301)))))</f>
        <v>5.0462962962962967</v>
      </c>
      <c r="R1248">
        <f t="shared" ref="R1248:R1311" si="207">MAX(K1248:Q1248)</f>
        <v>65.319999999999993</v>
      </c>
      <c r="S1248" t="str">
        <f t="shared" ref="S1248:S1311" si="208">IF(R1248&lt;=50,"Good",
IF(R1248&lt;=100,"Satisfactory",
IF(R1248&lt;=200,"Moderate",
IF(R1248&lt;=300,"Poor",
IF(R1248&lt;=400,"Very Poor",
"Severe")))))</f>
        <v>Satisfactory</v>
      </c>
      <c r="T1248" t="str">
        <f t="shared" ref="T1248:T1311" si="209">IF(MAX(K1248:Q1248)=K1248,"PM2.5",
IF(MAX(K1248:Q1248)=L1248,"PM10",
IF(MAX(K1248:Q1248)=M1248,"NO2",
IF(MAX(K1248:Q1248)=N1248,"NH3",
IF(MAX(K1248:Q1248)=O1248,"SO2",
IF(MAX(K1248:Q1248)=P1248,"CO",
IF(MAX(K1248:Q1248)=Q1248,"OZONE","")))))))</f>
        <v>PM10</v>
      </c>
      <c r="U1248">
        <v>22.83</v>
      </c>
      <c r="V1248">
        <v>85.97</v>
      </c>
    </row>
    <row r="1249" spans="1:22" x14ac:dyDescent="0.3">
      <c r="A1249" s="2" t="s">
        <v>15</v>
      </c>
      <c r="B1249">
        <v>560026</v>
      </c>
      <c r="C1249" s="3">
        <v>44749</v>
      </c>
      <c r="D1249">
        <v>13.36</v>
      </c>
      <c r="E1249">
        <v>36.78</v>
      </c>
      <c r="F1249">
        <v>8.36</v>
      </c>
      <c r="G1249">
        <v>20.07</v>
      </c>
      <c r="H1249">
        <v>4.63</v>
      </c>
      <c r="I1249">
        <v>0.48</v>
      </c>
      <c r="J1249">
        <v>5.36</v>
      </c>
      <c r="K1249">
        <f t="shared" si="200"/>
        <v>22.266666666666666</v>
      </c>
      <c r="L1249">
        <f t="shared" si="201"/>
        <v>36.78</v>
      </c>
      <c r="M1249">
        <f t="shared" si="202"/>
        <v>10.45</v>
      </c>
      <c r="N1249">
        <f t="shared" si="203"/>
        <v>5.0175000000000001</v>
      </c>
      <c r="O1249">
        <f t="shared" si="204"/>
        <v>5.7874999999999996</v>
      </c>
      <c r="P1249">
        <f t="shared" si="205"/>
        <v>5.4545454545454541</v>
      </c>
      <c r="Q1249">
        <f t="shared" si="206"/>
        <v>4.9629629629629637</v>
      </c>
      <c r="R1249">
        <f t="shared" si="207"/>
        <v>36.78</v>
      </c>
      <c r="S1249" t="str">
        <f t="shared" si="208"/>
        <v>Good</v>
      </c>
      <c r="T1249" t="str">
        <f t="shared" si="209"/>
        <v>PM10</v>
      </c>
      <c r="U1249">
        <v>22.19</v>
      </c>
      <c r="V1249">
        <v>87.72</v>
      </c>
    </row>
    <row r="1250" spans="1:22" x14ac:dyDescent="0.3">
      <c r="A1250" s="2" t="s">
        <v>15</v>
      </c>
      <c r="B1250">
        <v>560026</v>
      </c>
      <c r="C1250" s="3">
        <v>44750</v>
      </c>
      <c r="D1250">
        <v>23.26</v>
      </c>
      <c r="E1250">
        <v>53.58</v>
      </c>
      <c r="F1250">
        <v>10.210000000000001</v>
      </c>
      <c r="G1250">
        <v>22.46</v>
      </c>
      <c r="H1250">
        <v>4.68</v>
      </c>
      <c r="I1250">
        <v>0.63</v>
      </c>
      <c r="J1250">
        <v>5.24</v>
      </c>
      <c r="K1250">
        <f t="shared" si="200"/>
        <v>38.766666666666666</v>
      </c>
      <c r="L1250">
        <f t="shared" si="201"/>
        <v>53.58</v>
      </c>
      <c r="M1250">
        <f t="shared" si="202"/>
        <v>12.762500000000001</v>
      </c>
      <c r="N1250">
        <f t="shared" si="203"/>
        <v>5.6150000000000002</v>
      </c>
      <c r="O1250">
        <f t="shared" si="204"/>
        <v>5.85</v>
      </c>
      <c r="P1250">
        <f t="shared" si="205"/>
        <v>7.1590909090909092</v>
      </c>
      <c r="Q1250">
        <f t="shared" si="206"/>
        <v>4.8518518518518521</v>
      </c>
      <c r="R1250">
        <f t="shared" si="207"/>
        <v>53.58</v>
      </c>
      <c r="S1250" t="str">
        <f t="shared" si="208"/>
        <v>Satisfactory</v>
      </c>
      <c r="T1250" t="str">
        <f t="shared" si="209"/>
        <v>PM10</v>
      </c>
      <c r="U1250">
        <v>22.81</v>
      </c>
      <c r="V1250">
        <v>82.55</v>
      </c>
    </row>
    <row r="1251" spans="1:22" x14ac:dyDescent="0.3">
      <c r="A1251" s="2" t="s">
        <v>15</v>
      </c>
      <c r="B1251">
        <v>560026</v>
      </c>
      <c r="C1251" s="3">
        <v>44751</v>
      </c>
      <c r="D1251">
        <v>15.18</v>
      </c>
      <c r="E1251">
        <v>39.51</v>
      </c>
      <c r="F1251">
        <v>24.38</v>
      </c>
      <c r="G1251">
        <v>21.85</v>
      </c>
      <c r="H1251">
        <v>4.3499999999999996</v>
      </c>
      <c r="I1251">
        <v>0.5</v>
      </c>
      <c r="J1251">
        <v>7.59</v>
      </c>
      <c r="K1251">
        <f t="shared" si="200"/>
        <v>25.3</v>
      </c>
      <c r="L1251">
        <f t="shared" si="201"/>
        <v>39.51</v>
      </c>
      <c r="M1251">
        <f t="shared" si="202"/>
        <v>30.475000000000001</v>
      </c>
      <c r="N1251">
        <f t="shared" si="203"/>
        <v>5.4625000000000004</v>
      </c>
      <c r="O1251">
        <f t="shared" si="204"/>
        <v>5.4374999999999991</v>
      </c>
      <c r="P1251">
        <f t="shared" si="205"/>
        <v>5.6818181818181817</v>
      </c>
      <c r="Q1251">
        <f t="shared" si="206"/>
        <v>7.0277777777777777</v>
      </c>
      <c r="R1251">
        <f t="shared" si="207"/>
        <v>39.51</v>
      </c>
      <c r="S1251" t="str">
        <f t="shared" si="208"/>
        <v>Good</v>
      </c>
      <c r="T1251" t="str">
        <f t="shared" si="209"/>
        <v>PM10</v>
      </c>
      <c r="U1251">
        <v>22.55</v>
      </c>
      <c r="V1251">
        <v>88.36</v>
      </c>
    </row>
    <row r="1252" spans="1:22" x14ac:dyDescent="0.3">
      <c r="A1252" s="2" t="s">
        <v>15</v>
      </c>
      <c r="B1252">
        <v>560026</v>
      </c>
      <c r="C1252" s="3">
        <v>44752</v>
      </c>
      <c r="D1252">
        <v>9.31</v>
      </c>
      <c r="E1252">
        <v>30.81</v>
      </c>
      <c r="F1252">
        <v>26.72</v>
      </c>
      <c r="G1252">
        <v>19.829999999999998</v>
      </c>
      <c r="H1252">
        <v>3.81</v>
      </c>
      <c r="I1252">
        <v>0.36</v>
      </c>
      <c r="J1252">
        <v>7.58</v>
      </c>
      <c r="K1252">
        <f t="shared" si="200"/>
        <v>15.516666666666667</v>
      </c>
      <c r="L1252">
        <f t="shared" si="201"/>
        <v>30.81</v>
      </c>
      <c r="M1252">
        <f t="shared" si="202"/>
        <v>33.4</v>
      </c>
      <c r="N1252">
        <f t="shared" si="203"/>
        <v>4.9574999999999996</v>
      </c>
      <c r="O1252">
        <f t="shared" si="204"/>
        <v>4.7625000000000002</v>
      </c>
      <c r="P1252">
        <f t="shared" si="205"/>
        <v>4.0909090909090908</v>
      </c>
      <c r="Q1252">
        <f t="shared" si="206"/>
        <v>7.018518518518519</v>
      </c>
      <c r="R1252">
        <f t="shared" si="207"/>
        <v>33.4</v>
      </c>
      <c r="S1252" t="str">
        <f t="shared" si="208"/>
        <v>Good</v>
      </c>
      <c r="T1252" t="str">
        <f t="shared" si="209"/>
        <v>NO2</v>
      </c>
      <c r="U1252">
        <v>23.39</v>
      </c>
      <c r="V1252">
        <v>83.06</v>
      </c>
    </row>
    <row r="1253" spans="1:22" x14ac:dyDescent="0.3">
      <c r="A1253" s="2" t="s">
        <v>15</v>
      </c>
      <c r="B1253">
        <v>560026</v>
      </c>
      <c r="C1253" s="3">
        <v>44753</v>
      </c>
      <c r="D1253">
        <v>12.52</v>
      </c>
      <c r="E1253">
        <v>31.28</v>
      </c>
      <c r="F1253">
        <v>28.29</v>
      </c>
      <c r="G1253">
        <v>19.46</v>
      </c>
      <c r="H1253">
        <v>4.42</v>
      </c>
      <c r="I1253">
        <v>0.48</v>
      </c>
      <c r="J1253">
        <v>7.59</v>
      </c>
      <c r="K1253">
        <f t="shared" si="200"/>
        <v>20.866666666666667</v>
      </c>
      <c r="L1253">
        <f t="shared" si="201"/>
        <v>31.28</v>
      </c>
      <c r="M1253">
        <f t="shared" si="202"/>
        <v>35.362499999999997</v>
      </c>
      <c r="N1253">
        <f t="shared" si="203"/>
        <v>4.8650000000000002</v>
      </c>
      <c r="O1253">
        <f t="shared" si="204"/>
        <v>5.5250000000000004</v>
      </c>
      <c r="P1253">
        <f t="shared" si="205"/>
        <v>5.4545454545454541</v>
      </c>
      <c r="Q1253">
        <f t="shared" si="206"/>
        <v>7.0277777777777777</v>
      </c>
      <c r="R1253">
        <f t="shared" si="207"/>
        <v>35.362499999999997</v>
      </c>
      <c r="S1253" t="str">
        <f t="shared" si="208"/>
        <v>Good</v>
      </c>
      <c r="T1253" t="str">
        <f t="shared" si="209"/>
        <v>NO2</v>
      </c>
      <c r="U1253">
        <v>22.22</v>
      </c>
      <c r="V1253">
        <v>88.47</v>
      </c>
    </row>
    <row r="1254" spans="1:22" x14ac:dyDescent="0.3">
      <c r="A1254" s="2" t="s">
        <v>15</v>
      </c>
      <c r="B1254">
        <v>560026</v>
      </c>
      <c r="C1254" s="3">
        <v>44754</v>
      </c>
      <c r="D1254">
        <v>25.17</v>
      </c>
      <c r="E1254">
        <v>58.98</v>
      </c>
      <c r="F1254">
        <v>28.1</v>
      </c>
      <c r="G1254">
        <v>17.600000000000001</v>
      </c>
      <c r="H1254">
        <v>4.9800000000000004</v>
      </c>
      <c r="I1254">
        <v>0.43</v>
      </c>
      <c r="J1254">
        <v>7.45</v>
      </c>
      <c r="K1254">
        <f t="shared" si="200"/>
        <v>41.95</v>
      </c>
      <c r="L1254">
        <f t="shared" si="201"/>
        <v>58.98</v>
      </c>
      <c r="M1254">
        <f t="shared" si="202"/>
        <v>35.125</v>
      </c>
      <c r="N1254">
        <f t="shared" si="203"/>
        <v>4.4000000000000004</v>
      </c>
      <c r="O1254">
        <f t="shared" si="204"/>
        <v>6.2250000000000005</v>
      </c>
      <c r="P1254">
        <f t="shared" si="205"/>
        <v>4.8863636363636358</v>
      </c>
      <c r="Q1254">
        <f t="shared" si="206"/>
        <v>6.8981481481481479</v>
      </c>
      <c r="R1254">
        <f t="shared" si="207"/>
        <v>58.98</v>
      </c>
      <c r="S1254" t="str">
        <f t="shared" si="208"/>
        <v>Satisfactory</v>
      </c>
      <c r="T1254" t="str">
        <f t="shared" si="209"/>
        <v>PM10</v>
      </c>
      <c r="U1254">
        <v>23.67</v>
      </c>
      <c r="V1254">
        <v>79.7</v>
      </c>
    </row>
    <row r="1255" spans="1:22" x14ac:dyDescent="0.3">
      <c r="A1255" s="2" t="s">
        <v>15</v>
      </c>
      <c r="B1255">
        <v>560026</v>
      </c>
      <c r="C1255" s="3">
        <v>44755</v>
      </c>
      <c r="D1255">
        <v>20.010000000000002</v>
      </c>
      <c r="E1255">
        <v>45.07</v>
      </c>
      <c r="F1255">
        <v>27.31</v>
      </c>
      <c r="G1255">
        <v>17.559999999999999</v>
      </c>
      <c r="H1255">
        <v>4.63</v>
      </c>
      <c r="I1255">
        <v>0.44</v>
      </c>
      <c r="J1255">
        <v>6.98</v>
      </c>
      <c r="K1255">
        <f t="shared" si="200"/>
        <v>33.35</v>
      </c>
      <c r="L1255">
        <f t="shared" si="201"/>
        <v>45.07</v>
      </c>
      <c r="M1255">
        <f t="shared" si="202"/>
        <v>34.137500000000003</v>
      </c>
      <c r="N1255">
        <f t="shared" si="203"/>
        <v>4.3899999999999997</v>
      </c>
      <c r="O1255">
        <f t="shared" si="204"/>
        <v>5.7874999999999996</v>
      </c>
      <c r="P1255">
        <f t="shared" si="205"/>
        <v>5</v>
      </c>
      <c r="Q1255">
        <f t="shared" si="206"/>
        <v>6.4629629629629637</v>
      </c>
      <c r="R1255">
        <f t="shared" si="207"/>
        <v>45.07</v>
      </c>
      <c r="S1255" t="str">
        <f t="shared" si="208"/>
        <v>Good</v>
      </c>
      <c r="T1255" t="str">
        <f t="shared" si="209"/>
        <v>PM10</v>
      </c>
      <c r="U1255">
        <v>22.69</v>
      </c>
      <c r="V1255">
        <v>84.55</v>
      </c>
    </row>
    <row r="1256" spans="1:22" x14ac:dyDescent="0.3">
      <c r="A1256" s="2" t="s">
        <v>15</v>
      </c>
      <c r="B1256">
        <v>560026</v>
      </c>
      <c r="C1256" s="3">
        <v>44757</v>
      </c>
      <c r="D1256">
        <v>54.24</v>
      </c>
      <c r="E1256">
        <v>94.68</v>
      </c>
      <c r="F1256">
        <v>19.78</v>
      </c>
      <c r="G1256">
        <v>24.57</v>
      </c>
      <c r="H1256">
        <v>4.49</v>
      </c>
      <c r="I1256">
        <v>0.6</v>
      </c>
      <c r="J1256">
        <v>8.51</v>
      </c>
      <c r="K1256">
        <f t="shared" si="200"/>
        <v>90.4</v>
      </c>
      <c r="L1256">
        <f t="shared" si="201"/>
        <v>94.68</v>
      </c>
      <c r="M1256">
        <f t="shared" si="202"/>
        <v>24.725000000000001</v>
      </c>
      <c r="N1256">
        <f t="shared" si="203"/>
        <v>6.1425000000000001</v>
      </c>
      <c r="O1256">
        <f t="shared" si="204"/>
        <v>5.6124999999999998</v>
      </c>
      <c r="P1256">
        <f t="shared" si="205"/>
        <v>6.8181818181818175</v>
      </c>
      <c r="Q1256">
        <f t="shared" si="206"/>
        <v>7.8796296296296298</v>
      </c>
      <c r="R1256">
        <f t="shared" si="207"/>
        <v>94.68</v>
      </c>
      <c r="S1256" t="str">
        <f t="shared" si="208"/>
        <v>Satisfactory</v>
      </c>
      <c r="T1256" t="str">
        <f t="shared" si="209"/>
        <v>PM10</v>
      </c>
      <c r="U1256">
        <v>22.85</v>
      </c>
      <c r="V1256">
        <v>82.88</v>
      </c>
    </row>
    <row r="1257" spans="1:22" x14ac:dyDescent="0.3">
      <c r="A1257" s="2" t="s">
        <v>15</v>
      </c>
      <c r="B1257">
        <v>560026</v>
      </c>
      <c r="C1257" s="3">
        <v>44758</v>
      </c>
      <c r="D1257">
        <v>23.99</v>
      </c>
      <c r="E1257">
        <v>53.66</v>
      </c>
      <c r="F1257">
        <v>7.28</v>
      </c>
      <c r="G1257">
        <v>25.89</v>
      </c>
      <c r="H1257">
        <v>4.3899999999999997</v>
      </c>
      <c r="I1257">
        <v>0.7</v>
      </c>
      <c r="J1257">
        <v>9.76</v>
      </c>
      <c r="K1257">
        <f t="shared" si="200"/>
        <v>39.983333333333334</v>
      </c>
      <c r="L1257">
        <f t="shared" si="201"/>
        <v>53.66</v>
      </c>
      <c r="M1257">
        <f t="shared" si="202"/>
        <v>9.1</v>
      </c>
      <c r="N1257">
        <f t="shared" si="203"/>
        <v>6.4725000000000001</v>
      </c>
      <c r="O1257">
        <f t="shared" si="204"/>
        <v>5.4874999999999989</v>
      </c>
      <c r="P1257">
        <f t="shared" si="205"/>
        <v>7.9545454545454541</v>
      </c>
      <c r="Q1257">
        <f t="shared" si="206"/>
        <v>9.0370370370370363</v>
      </c>
      <c r="R1257">
        <f t="shared" si="207"/>
        <v>53.66</v>
      </c>
      <c r="S1257" t="str">
        <f t="shared" si="208"/>
        <v>Satisfactory</v>
      </c>
      <c r="T1257" t="str">
        <f t="shared" si="209"/>
        <v>PM10</v>
      </c>
      <c r="U1257">
        <v>23.09</v>
      </c>
      <c r="V1257">
        <v>85.01</v>
      </c>
    </row>
    <row r="1258" spans="1:22" x14ac:dyDescent="0.3">
      <c r="A1258" s="2" t="s">
        <v>15</v>
      </c>
      <c r="B1258">
        <v>560026</v>
      </c>
      <c r="C1258" s="3">
        <v>44759</v>
      </c>
      <c r="D1258">
        <v>10.55</v>
      </c>
      <c r="E1258">
        <v>34.72</v>
      </c>
      <c r="F1258">
        <v>7.34</v>
      </c>
      <c r="G1258">
        <v>17.47</v>
      </c>
      <c r="H1258">
        <v>4.79</v>
      </c>
      <c r="I1258">
        <v>0.48</v>
      </c>
      <c r="J1258">
        <v>11.36</v>
      </c>
      <c r="K1258">
        <f t="shared" si="200"/>
        <v>17.583333333333332</v>
      </c>
      <c r="L1258">
        <f t="shared" si="201"/>
        <v>34.72</v>
      </c>
      <c r="M1258">
        <f t="shared" si="202"/>
        <v>9.1750000000000007</v>
      </c>
      <c r="N1258">
        <f t="shared" si="203"/>
        <v>4.3674999999999997</v>
      </c>
      <c r="O1258">
        <f t="shared" si="204"/>
        <v>5.9874999999999998</v>
      </c>
      <c r="P1258">
        <f t="shared" si="205"/>
        <v>5.4545454545454541</v>
      </c>
      <c r="Q1258">
        <f t="shared" si="206"/>
        <v>10.518518518518517</v>
      </c>
      <c r="R1258">
        <f t="shared" si="207"/>
        <v>34.72</v>
      </c>
      <c r="S1258" t="str">
        <f t="shared" si="208"/>
        <v>Good</v>
      </c>
      <c r="T1258" t="str">
        <f t="shared" si="209"/>
        <v>PM10</v>
      </c>
      <c r="U1258">
        <v>23.97</v>
      </c>
      <c r="V1258">
        <v>82.51</v>
      </c>
    </row>
    <row r="1259" spans="1:22" x14ac:dyDescent="0.3">
      <c r="A1259" s="2" t="s">
        <v>15</v>
      </c>
      <c r="B1259">
        <v>560026</v>
      </c>
      <c r="C1259" s="3">
        <v>44760</v>
      </c>
      <c r="D1259">
        <v>11.77</v>
      </c>
      <c r="E1259">
        <v>37.86</v>
      </c>
      <c r="F1259">
        <v>7.03</v>
      </c>
      <c r="G1259">
        <v>19.78</v>
      </c>
      <c r="H1259">
        <v>5</v>
      </c>
      <c r="I1259">
        <v>0.54</v>
      </c>
      <c r="J1259">
        <v>10.43</v>
      </c>
      <c r="K1259">
        <f t="shared" si="200"/>
        <v>19.616666666666667</v>
      </c>
      <c r="L1259">
        <f t="shared" si="201"/>
        <v>37.86</v>
      </c>
      <c r="M1259">
        <f t="shared" si="202"/>
        <v>8.7874999999999996</v>
      </c>
      <c r="N1259">
        <f t="shared" si="203"/>
        <v>4.9450000000000003</v>
      </c>
      <c r="O1259">
        <f t="shared" si="204"/>
        <v>6.25</v>
      </c>
      <c r="P1259">
        <f t="shared" si="205"/>
        <v>6.1363636363636367</v>
      </c>
      <c r="Q1259">
        <f t="shared" si="206"/>
        <v>9.6574074074074066</v>
      </c>
      <c r="R1259">
        <f t="shared" si="207"/>
        <v>37.86</v>
      </c>
      <c r="S1259" t="str">
        <f t="shared" si="208"/>
        <v>Good</v>
      </c>
      <c r="T1259" t="str">
        <f t="shared" si="209"/>
        <v>PM10</v>
      </c>
      <c r="U1259">
        <v>23.42</v>
      </c>
      <c r="V1259">
        <v>85.72</v>
      </c>
    </row>
    <row r="1260" spans="1:22" x14ac:dyDescent="0.3">
      <c r="A1260" s="2" t="s">
        <v>15</v>
      </c>
      <c r="B1260">
        <v>560026</v>
      </c>
      <c r="C1260" s="3">
        <v>44761</v>
      </c>
      <c r="D1260">
        <v>16.93</v>
      </c>
      <c r="E1260">
        <v>51.32</v>
      </c>
      <c r="F1260">
        <v>7.72</v>
      </c>
      <c r="G1260">
        <v>20.29</v>
      </c>
      <c r="H1260">
        <v>5.1100000000000003</v>
      </c>
      <c r="I1260">
        <v>0.55000000000000004</v>
      </c>
      <c r="J1260">
        <v>13.62</v>
      </c>
      <c r="K1260">
        <f t="shared" si="200"/>
        <v>28.216666666666665</v>
      </c>
      <c r="L1260">
        <f t="shared" si="201"/>
        <v>51.32</v>
      </c>
      <c r="M1260">
        <f t="shared" si="202"/>
        <v>9.65</v>
      </c>
      <c r="N1260">
        <f t="shared" si="203"/>
        <v>5.0724999999999998</v>
      </c>
      <c r="O1260">
        <f t="shared" si="204"/>
        <v>6.3875000000000011</v>
      </c>
      <c r="P1260">
        <f t="shared" si="205"/>
        <v>6.25</v>
      </c>
      <c r="Q1260">
        <f t="shared" si="206"/>
        <v>12.611111111111111</v>
      </c>
      <c r="R1260">
        <f t="shared" si="207"/>
        <v>51.32</v>
      </c>
      <c r="S1260" t="str">
        <f t="shared" si="208"/>
        <v>Satisfactory</v>
      </c>
      <c r="T1260" t="str">
        <f t="shared" si="209"/>
        <v>PM10</v>
      </c>
      <c r="U1260">
        <v>25.39</v>
      </c>
      <c r="V1260">
        <v>75.97</v>
      </c>
    </row>
    <row r="1261" spans="1:22" x14ac:dyDescent="0.3">
      <c r="A1261" s="2" t="s">
        <v>15</v>
      </c>
      <c r="B1261">
        <v>560026</v>
      </c>
      <c r="C1261" s="3">
        <v>44762</v>
      </c>
      <c r="D1261">
        <v>44.91</v>
      </c>
      <c r="E1261">
        <v>96.44</v>
      </c>
      <c r="F1261">
        <v>8.9600000000000009</v>
      </c>
      <c r="G1261">
        <v>27.36</v>
      </c>
      <c r="H1261">
        <v>4.7300000000000004</v>
      </c>
      <c r="I1261">
        <v>0.83</v>
      </c>
      <c r="J1261">
        <v>15.62</v>
      </c>
      <c r="K1261">
        <f t="shared" si="200"/>
        <v>74.849999999999994</v>
      </c>
      <c r="L1261">
        <f t="shared" si="201"/>
        <v>96.44</v>
      </c>
      <c r="M1261">
        <f t="shared" si="202"/>
        <v>11.200000000000001</v>
      </c>
      <c r="N1261">
        <f t="shared" si="203"/>
        <v>6.84</v>
      </c>
      <c r="O1261">
        <f t="shared" si="204"/>
        <v>5.9125000000000005</v>
      </c>
      <c r="P1261">
        <f t="shared" si="205"/>
        <v>9.4318181818181817</v>
      </c>
      <c r="Q1261">
        <f t="shared" si="206"/>
        <v>14.462962962962962</v>
      </c>
      <c r="R1261">
        <f t="shared" si="207"/>
        <v>96.44</v>
      </c>
      <c r="S1261" t="str">
        <f t="shared" si="208"/>
        <v>Satisfactory</v>
      </c>
      <c r="T1261" t="str">
        <f t="shared" si="209"/>
        <v>PM10</v>
      </c>
      <c r="U1261">
        <v>26.29</v>
      </c>
      <c r="V1261">
        <v>72.16</v>
      </c>
    </row>
    <row r="1262" spans="1:22" x14ac:dyDescent="0.3">
      <c r="A1262" s="2" t="s">
        <v>15</v>
      </c>
      <c r="B1262">
        <v>560026</v>
      </c>
      <c r="C1262" s="3">
        <v>44763</v>
      </c>
      <c r="D1262">
        <v>75.89</v>
      </c>
      <c r="E1262">
        <v>130.53</v>
      </c>
      <c r="F1262">
        <v>8.44</v>
      </c>
      <c r="G1262">
        <v>26.45</v>
      </c>
      <c r="H1262">
        <v>5.21</v>
      </c>
      <c r="I1262">
        <v>0.98</v>
      </c>
      <c r="J1262">
        <v>12.39</v>
      </c>
      <c r="K1262">
        <f t="shared" si="200"/>
        <v>152.96666666666667</v>
      </c>
      <c r="L1262">
        <f t="shared" si="201"/>
        <v>120.35333333333332</v>
      </c>
      <c r="M1262">
        <f t="shared" si="202"/>
        <v>10.55</v>
      </c>
      <c r="N1262">
        <f t="shared" si="203"/>
        <v>6.6124999999999998</v>
      </c>
      <c r="O1262">
        <f t="shared" si="204"/>
        <v>6.5125000000000002</v>
      </c>
      <c r="P1262">
        <f t="shared" si="205"/>
        <v>11.136363636363637</v>
      </c>
      <c r="Q1262">
        <f t="shared" si="206"/>
        <v>11.472222222222223</v>
      </c>
      <c r="R1262">
        <f t="shared" si="207"/>
        <v>152.96666666666667</v>
      </c>
      <c r="S1262" t="str">
        <f t="shared" si="208"/>
        <v>Moderate</v>
      </c>
      <c r="T1262" t="str">
        <f t="shared" si="209"/>
        <v>PM2.5</v>
      </c>
      <c r="U1262">
        <v>25.49</v>
      </c>
      <c r="V1262">
        <v>76.7</v>
      </c>
    </row>
    <row r="1263" spans="1:22" x14ac:dyDescent="0.3">
      <c r="A1263" s="2" t="s">
        <v>15</v>
      </c>
      <c r="B1263">
        <v>560026</v>
      </c>
      <c r="C1263" s="3">
        <v>44764</v>
      </c>
      <c r="D1263">
        <v>42.3</v>
      </c>
      <c r="E1263">
        <v>97.92</v>
      </c>
      <c r="F1263">
        <v>8.4600000000000009</v>
      </c>
      <c r="G1263">
        <v>27.52</v>
      </c>
      <c r="H1263">
        <v>5.68</v>
      </c>
      <c r="I1263">
        <v>0.92</v>
      </c>
      <c r="J1263">
        <v>11.27</v>
      </c>
      <c r="K1263">
        <f t="shared" si="200"/>
        <v>70.5</v>
      </c>
      <c r="L1263">
        <f t="shared" si="201"/>
        <v>97.92</v>
      </c>
      <c r="M1263">
        <f t="shared" si="202"/>
        <v>10.575000000000001</v>
      </c>
      <c r="N1263">
        <f t="shared" si="203"/>
        <v>6.88</v>
      </c>
      <c r="O1263">
        <f t="shared" si="204"/>
        <v>7.1</v>
      </c>
      <c r="P1263">
        <f t="shared" si="205"/>
        <v>10.454545454545455</v>
      </c>
      <c r="Q1263">
        <f t="shared" si="206"/>
        <v>10.435185185185185</v>
      </c>
      <c r="R1263">
        <f t="shared" si="207"/>
        <v>97.92</v>
      </c>
      <c r="S1263" t="str">
        <f t="shared" si="208"/>
        <v>Satisfactory</v>
      </c>
      <c r="T1263" t="str">
        <f t="shared" si="209"/>
        <v>PM10</v>
      </c>
      <c r="U1263">
        <v>24.42</v>
      </c>
      <c r="V1263">
        <v>78.28</v>
      </c>
    </row>
    <row r="1264" spans="1:22" x14ac:dyDescent="0.3">
      <c r="A1264" s="2" t="s">
        <v>15</v>
      </c>
      <c r="B1264">
        <v>560026</v>
      </c>
      <c r="C1264" s="3">
        <v>44765</v>
      </c>
      <c r="D1264">
        <v>30.07</v>
      </c>
      <c r="E1264">
        <v>70.23</v>
      </c>
      <c r="F1264">
        <v>7.91</v>
      </c>
      <c r="G1264">
        <v>24.57</v>
      </c>
      <c r="H1264">
        <v>5.49</v>
      </c>
      <c r="I1264">
        <v>0.81</v>
      </c>
      <c r="J1264">
        <v>10.48</v>
      </c>
      <c r="K1264">
        <f t="shared" si="200"/>
        <v>50.116666666666667</v>
      </c>
      <c r="L1264">
        <f t="shared" si="201"/>
        <v>70.23</v>
      </c>
      <c r="M1264">
        <f t="shared" si="202"/>
        <v>9.8874999999999993</v>
      </c>
      <c r="N1264">
        <f t="shared" si="203"/>
        <v>6.1425000000000001</v>
      </c>
      <c r="O1264">
        <f t="shared" si="204"/>
        <v>6.8624999999999998</v>
      </c>
      <c r="P1264">
        <f t="shared" si="205"/>
        <v>9.204545454545455</v>
      </c>
      <c r="Q1264">
        <f t="shared" si="206"/>
        <v>9.7037037037037042</v>
      </c>
      <c r="R1264">
        <f t="shared" si="207"/>
        <v>70.23</v>
      </c>
      <c r="S1264" t="str">
        <f t="shared" si="208"/>
        <v>Satisfactory</v>
      </c>
      <c r="T1264" t="str">
        <f t="shared" si="209"/>
        <v>PM10</v>
      </c>
      <c r="U1264">
        <v>23.91</v>
      </c>
      <c r="V1264">
        <v>80.930000000000007</v>
      </c>
    </row>
    <row r="1265" spans="1:22" x14ac:dyDescent="0.3">
      <c r="A1265" s="2" t="s">
        <v>15</v>
      </c>
      <c r="B1265">
        <v>560026</v>
      </c>
      <c r="C1265" s="3">
        <v>44766</v>
      </c>
      <c r="D1265">
        <v>26.11</v>
      </c>
      <c r="E1265">
        <v>59.64</v>
      </c>
      <c r="F1265">
        <v>7.51</v>
      </c>
      <c r="G1265">
        <v>21.62</v>
      </c>
      <c r="H1265">
        <v>5.51</v>
      </c>
      <c r="I1265">
        <v>0.63</v>
      </c>
      <c r="J1265">
        <v>12.15</v>
      </c>
      <c r="K1265">
        <f t="shared" si="200"/>
        <v>43.516666666666666</v>
      </c>
      <c r="L1265">
        <f t="shared" si="201"/>
        <v>59.64</v>
      </c>
      <c r="M1265">
        <f t="shared" si="202"/>
        <v>9.3874999999999993</v>
      </c>
      <c r="N1265">
        <f t="shared" si="203"/>
        <v>5.4050000000000002</v>
      </c>
      <c r="O1265">
        <f t="shared" si="204"/>
        <v>6.8875000000000002</v>
      </c>
      <c r="P1265">
        <f t="shared" si="205"/>
        <v>7.1590909090909092</v>
      </c>
      <c r="Q1265">
        <f t="shared" si="206"/>
        <v>11.25</v>
      </c>
      <c r="R1265">
        <f t="shared" si="207"/>
        <v>59.64</v>
      </c>
      <c r="S1265" t="str">
        <f t="shared" si="208"/>
        <v>Satisfactory</v>
      </c>
      <c r="T1265" t="str">
        <f t="shared" si="209"/>
        <v>PM10</v>
      </c>
      <c r="U1265">
        <v>23.77</v>
      </c>
      <c r="V1265">
        <v>80.05</v>
      </c>
    </row>
    <row r="1266" spans="1:22" x14ac:dyDescent="0.3">
      <c r="A1266" s="2" t="s">
        <v>15</v>
      </c>
      <c r="B1266">
        <v>560026</v>
      </c>
      <c r="C1266" s="3">
        <v>44767</v>
      </c>
      <c r="D1266">
        <v>30.39</v>
      </c>
      <c r="E1266">
        <v>73.760000000000005</v>
      </c>
      <c r="F1266">
        <v>7.5</v>
      </c>
      <c r="G1266">
        <v>28.43</v>
      </c>
      <c r="H1266">
        <v>4.8499999999999996</v>
      </c>
      <c r="I1266">
        <v>0.78</v>
      </c>
      <c r="J1266">
        <v>10.58</v>
      </c>
      <c r="K1266">
        <f t="shared" si="200"/>
        <v>50.65</v>
      </c>
      <c r="L1266">
        <f t="shared" si="201"/>
        <v>73.760000000000005</v>
      </c>
      <c r="M1266">
        <f t="shared" si="202"/>
        <v>9.375</v>
      </c>
      <c r="N1266">
        <f t="shared" si="203"/>
        <v>7.1074999999999999</v>
      </c>
      <c r="O1266">
        <f t="shared" si="204"/>
        <v>6.0624999999999991</v>
      </c>
      <c r="P1266">
        <f t="shared" si="205"/>
        <v>8.8636363636363633</v>
      </c>
      <c r="Q1266">
        <f t="shared" si="206"/>
        <v>9.7962962962962958</v>
      </c>
      <c r="R1266">
        <f t="shared" si="207"/>
        <v>73.760000000000005</v>
      </c>
      <c r="S1266" t="str">
        <f t="shared" si="208"/>
        <v>Satisfactory</v>
      </c>
      <c r="T1266" t="str">
        <f t="shared" si="209"/>
        <v>PM10</v>
      </c>
      <c r="U1266">
        <v>24.94</v>
      </c>
      <c r="V1266">
        <v>72.260000000000005</v>
      </c>
    </row>
    <row r="1267" spans="1:22" x14ac:dyDescent="0.3">
      <c r="A1267" s="2" t="s">
        <v>15</v>
      </c>
      <c r="B1267">
        <v>560026</v>
      </c>
      <c r="C1267" s="3">
        <v>44768</v>
      </c>
      <c r="D1267">
        <v>22.05</v>
      </c>
      <c r="E1267">
        <v>69.430000000000007</v>
      </c>
      <c r="F1267">
        <v>6.1</v>
      </c>
      <c r="G1267">
        <v>26.59</v>
      </c>
      <c r="H1267">
        <v>4.1500000000000004</v>
      </c>
      <c r="I1267">
        <v>0.79</v>
      </c>
      <c r="J1267">
        <v>11.42</v>
      </c>
      <c r="K1267">
        <f t="shared" si="200"/>
        <v>36.75</v>
      </c>
      <c r="L1267">
        <f t="shared" si="201"/>
        <v>69.430000000000007</v>
      </c>
      <c r="M1267">
        <f t="shared" si="202"/>
        <v>7.625</v>
      </c>
      <c r="N1267">
        <f t="shared" si="203"/>
        <v>6.6475</v>
      </c>
      <c r="O1267">
        <f t="shared" si="204"/>
        <v>5.1875000000000009</v>
      </c>
      <c r="P1267">
        <f t="shared" si="205"/>
        <v>8.9772727272727266</v>
      </c>
      <c r="Q1267">
        <f t="shared" si="206"/>
        <v>10.574074074074074</v>
      </c>
      <c r="R1267">
        <f t="shared" si="207"/>
        <v>69.430000000000007</v>
      </c>
      <c r="S1267" t="str">
        <f t="shared" si="208"/>
        <v>Satisfactory</v>
      </c>
      <c r="T1267" t="str">
        <f t="shared" si="209"/>
        <v>PM10</v>
      </c>
      <c r="U1267">
        <v>24.98</v>
      </c>
      <c r="V1267">
        <v>71.849999999999994</v>
      </c>
    </row>
    <row r="1268" spans="1:22" x14ac:dyDescent="0.3">
      <c r="A1268" s="2" t="s">
        <v>15</v>
      </c>
      <c r="B1268">
        <v>560026</v>
      </c>
      <c r="C1268" s="3">
        <v>44769</v>
      </c>
      <c r="D1268">
        <v>33.72</v>
      </c>
      <c r="E1268">
        <v>68.48</v>
      </c>
      <c r="F1268">
        <v>9.23</v>
      </c>
      <c r="G1268">
        <v>37.15</v>
      </c>
      <c r="H1268">
        <v>3.9</v>
      </c>
      <c r="I1268">
        <v>0.97</v>
      </c>
      <c r="J1268">
        <v>10.94</v>
      </c>
      <c r="K1268">
        <f t="shared" si="200"/>
        <v>56.199999999999996</v>
      </c>
      <c r="L1268">
        <f t="shared" si="201"/>
        <v>68.48</v>
      </c>
      <c r="M1268">
        <f t="shared" si="202"/>
        <v>11.5375</v>
      </c>
      <c r="N1268">
        <f t="shared" si="203"/>
        <v>9.2874999999999996</v>
      </c>
      <c r="O1268">
        <f t="shared" si="204"/>
        <v>4.875</v>
      </c>
      <c r="P1268">
        <f t="shared" si="205"/>
        <v>11.022727272727272</v>
      </c>
      <c r="Q1268">
        <f t="shared" si="206"/>
        <v>10.12962962962963</v>
      </c>
      <c r="R1268">
        <f t="shared" si="207"/>
        <v>68.48</v>
      </c>
      <c r="S1268" t="str">
        <f t="shared" si="208"/>
        <v>Satisfactory</v>
      </c>
      <c r="T1268" t="str">
        <f t="shared" si="209"/>
        <v>PM10</v>
      </c>
      <c r="U1268">
        <v>25.58</v>
      </c>
      <c r="V1268">
        <v>75.27</v>
      </c>
    </row>
    <row r="1269" spans="1:22" x14ac:dyDescent="0.3">
      <c r="A1269" s="2" t="s">
        <v>15</v>
      </c>
      <c r="B1269">
        <v>560026</v>
      </c>
      <c r="C1269" s="3">
        <v>44770</v>
      </c>
      <c r="D1269">
        <v>34.32</v>
      </c>
      <c r="E1269">
        <v>69.61</v>
      </c>
      <c r="F1269">
        <v>11.26</v>
      </c>
      <c r="G1269">
        <v>35.799999999999997</v>
      </c>
      <c r="H1269">
        <v>4.57</v>
      </c>
      <c r="I1269">
        <v>1</v>
      </c>
      <c r="J1269">
        <v>29.77</v>
      </c>
      <c r="K1269">
        <f t="shared" si="200"/>
        <v>57.2</v>
      </c>
      <c r="L1269">
        <f t="shared" si="201"/>
        <v>69.61</v>
      </c>
      <c r="M1269">
        <f t="shared" si="202"/>
        <v>14.074999999999999</v>
      </c>
      <c r="N1269">
        <f t="shared" si="203"/>
        <v>8.9499999999999993</v>
      </c>
      <c r="O1269">
        <f t="shared" si="204"/>
        <v>5.7125000000000004</v>
      </c>
      <c r="P1269">
        <f t="shared" si="205"/>
        <v>11.363636363636363</v>
      </c>
      <c r="Q1269">
        <f t="shared" si="206"/>
        <v>27.564814814814813</v>
      </c>
      <c r="R1269">
        <f t="shared" si="207"/>
        <v>69.61</v>
      </c>
      <c r="S1269" t="str">
        <f t="shared" si="208"/>
        <v>Satisfactory</v>
      </c>
      <c r="T1269" t="str">
        <f t="shared" si="209"/>
        <v>PM10</v>
      </c>
      <c r="U1269">
        <v>26.24</v>
      </c>
      <c r="V1269">
        <v>73.599999999999994</v>
      </c>
    </row>
    <row r="1270" spans="1:22" x14ac:dyDescent="0.3">
      <c r="A1270" s="2" t="s">
        <v>15</v>
      </c>
      <c r="B1270">
        <v>560026</v>
      </c>
      <c r="C1270" s="3">
        <v>44771</v>
      </c>
      <c r="D1270">
        <v>60.92</v>
      </c>
      <c r="E1270">
        <v>100.59</v>
      </c>
      <c r="F1270">
        <v>12.72</v>
      </c>
      <c r="G1270">
        <v>37.380000000000003</v>
      </c>
      <c r="H1270">
        <v>5.18</v>
      </c>
      <c r="I1270">
        <v>0.85</v>
      </c>
      <c r="J1270">
        <v>17.62</v>
      </c>
      <c r="K1270">
        <f t="shared" si="200"/>
        <v>103.06666666666668</v>
      </c>
      <c r="L1270">
        <f t="shared" si="201"/>
        <v>100.39333333333333</v>
      </c>
      <c r="M1270">
        <f t="shared" si="202"/>
        <v>15.9</v>
      </c>
      <c r="N1270">
        <f t="shared" si="203"/>
        <v>9.3450000000000006</v>
      </c>
      <c r="O1270">
        <f t="shared" si="204"/>
        <v>6.4749999999999996</v>
      </c>
      <c r="P1270">
        <f t="shared" si="205"/>
        <v>9.6590909090909083</v>
      </c>
      <c r="Q1270">
        <f t="shared" si="206"/>
        <v>16.314814814814817</v>
      </c>
      <c r="R1270">
        <f t="shared" si="207"/>
        <v>103.06666666666668</v>
      </c>
      <c r="S1270" t="str">
        <f t="shared" si="208"/>
        <v>Moderate</v>
      </c>
      <c r="T1270" t="str">
        <f t="shared" si="209"/>
        <v>PM2.5</v>
      </c>
      <c r="U1270">
        <v>28.05</v>
      </c>
      <c r="V1270">
        <v>66.510000000000005</v>
      </c>
    </row>
    <row r="1271" spans="1:22" x14ac:dyDescent="0.3">
      <c r="A1271" s="2" t="s">
        <v>15</v>
      </c>
      <c r="B1271">
        <v>560026</v>
      </c>
      <c r="C1271" s="3">
        <v>44772</v>
      </c>
      <c r="D1271">
        <v>37.26</v>
      </c>
      <c r="E1271">
        <v>75.599999999999994</v>
      </c>
      <c r="F1271">
        <v>12.95</v>
      </c>
      <c r="G1271">
        <v>33.85</v>
      </c>
      <c r="H1271">
        <v>4.42</v>
      </c>
      <c r="I1271">
        <v>0.87</v>
      </c>
      <c r="J1271">
        <v>18.57</v>
      </c>
      <c r="K1271">
        <f t="shared" si="200"/>
        <v>62.099999999999994</v>
      </c>
      <c r="L1271">
        <f t="shared" si="201"/>
        <v>75.599999999999994</v>
      </c>
      <c r="M1271">
        <f t="shared" si="202"/>
        <v>16.1875</v>
      </c>
      <c r="N1271">
        <f t="shared" si="203"/>
        <v>8.4625000000000004</v>
      </c>
      <c r="O1271">
        <f t="shared" si="204"/>
        <v>5.5250000000000004</v>
      </c>
      <c r="P1271">
        <f t="shared" si="205"/>
        <v>9.8863636363636367</v>
      </c>
      <c r="Q1271">
        <f t="shared" si="206"/>
        <v>17.194444444444446</v>
      </c>
      <c r="R1271">
        <f t="shared" si="207"/>
        <v>75.599999999999994</v>
      </c>
      <c r="S1271" t="str">
        <f t="shared" si="208"/>
        <v>Satisfactory</v>
      </c>
      <c r="T1271" t="str">
        <f t="shared" si="209"/>
        <v>PM10</v>
      </c>
      <c r="U1271">
        <v>26.45</v>
      </c>
      <c r="V1271">
        <v>70.23</v>
      </c>
    </row>
    <row r="1272" spans="1:22" x14ac:dyDescent="0.3">
      <c r="A1272" s="2" t="s">
        <v>15</v>
      </c>
      <c r="B1272">
        <v>560026</v>
      </c>
      <c r="C1272" s="3">
        <v>44773</v>
      </c>
      <c r="D1272">
        <v>22.96</v>
      </c>
      <c r="E1272">
        <v>50.55</v>
      </c>
      <c r="F1272">
        <v>13.82</v>
      </c>
      <c r="G1272">
        <v>32.69</v>
      </c>
      <c r="H1272">
        <v>4.83</v>
      </c>
      <c r="I1272">
        <v>0.94</v>
      </c>
      <c r="J1272">
        <v>15.91</v>
      </c>
      <c r="K1272">
        <f t="shared" si="200"/>
        <v>38.266666666666666</v>
      </c>
      <c r="L1272">
        <f t="shared" si="201"/>
        <v>50.55</v>
      </c>
      <c r="M1272">
        <f t="shared" si="202"/>
        <v>17.274999999999999</v>
      </c>
      <c r="N1272">
        <f t="shared" si="203"/>
        <v>8.1724999999999994</v>
      </c>
      <c r="O1272">
        <f t="shared" si="204"/>
        <v>6.0374999999999996</v>
      </c>
      <c r="P1272">
        <f t="shared" si="205"/>
        <v>10.681818181818182</v>
      </c>
      <c r="Q1272">
        <f t="shared" si="206"/>
        <v>14.731481481481481</v>
      </c>
      <c r="R1272">
        <f t="shared" si="207"/>
        <v>50.55</v>
      </c>
      <c r="S1272" t="str">
        <f t="shared" si="208"/>
        <v>Satisfactory</v>
      </c>
      <c r="T1272" t="str">
        <f t="shared" si="209"/>
        <v>PM10</v>
      </c>
      <c r="U1272">
        <v>24.81</v>
      </c>
      <c r="V1272">
        <v>80.680000000000007</v>
      </c>
    </row>
    <row r="1273" spans="1:22" x14ac:dyDescent="0.3">
      <c r="A1273" s="2" t="s">
        <v>15</v>
      </c>
      <c r="B1273">
        <v>560026</v>
      </c>
      <c r="C1273" s="3">
        <v>44774</v>
      </c>
      <c r="D1273">
        <v>25.69</v>
      </c>
      <c r="E1273">
        <v>56.81</v>
      </c>
      <c r="F1273">
        <v>15.87</v>
      </c>
      <c r="G1273">
        <v>33.549999999999997</v>
      </c>
      <c r="H1273">
        <v>4.26</v>
      </c>
      <c r="I1273">
        <v>0.96</v>
      </c>
      <c r="J1273">
        <v>15.04</v>
      </c>
      <c r="K1273">
        <f t="shared" si="200"/>
        <v>42.81666666666667</v>
      </c>
      <c r="L1273">
        <f t="shared" si="201"/>
        <v>56.81</v>
      </c>
      <c r="M1273">
        <f t="shared" si="202"/>
        <v>19.837499999999999</v>
      </c>
      <c r="N1273">
        <f t="shared" si="203"/>
        <v>8.3874999999999993</v>
      </c>
      <c r="O1273">
        <f t="shared" si="204"/>
        <v>5.3250000000000002</v>
      </c>
      <c r="P1273">
        <f t="shared" si="205"/>
        <v>10.909090909090908</v>
      </c>
      <c r="Q1273">
        <f t="shared" si="206"/>
        <v>13.925925925925926</v>
      </c>
      <c r="R1273">
        <f t="shared" si="207"/>
        <v>56.81</v>
      </c>
      <c r="S1273" t="str">
        <f t="shared" si="208"/>
        <v>Satisfactory</v>
      </c>
      <c r="T1273" t="str">
        <f t="shared" si="209"/>
        <v>PM10</v>
      </c>
      <c r="U1273">
        <v>25.91</v>
      </c>
      <c r="V1273">
        <v>75.42</v>
      </c>
    </row>
    <row r="1274" spans="1:22" x14ac:dyDescent="0.3">
      <c r="A1274" s="2" t="s">
        <v>15</v>
      </c>
      <c r="B1274">
        <v>560026</v>
      </c>
      <c r="C1274" s="3">
        <v>44775</v>
      </c>
      <c r="D1274">
        <v>20.64</v>
      </c>
      <c r="E1274">
        <v>42.71</v>
      </c>
      <c r="F1274">
        <v>15.05</v>
      </c>
      <c r="G1274">
        <v>34.61</v>
      </c>
      <c r="H1274">
        <v>5.07</v>
      </c>
      <c r="I1274">
        <v>0.9</v>
      </c>
      <c r="J1274">
        <v>15.98</v>
      </c>
      <c r="K1274">
        <f t="shared" si="200"/>
        <v>34.4</v>
      </c>
      <c r="L1274">
        <f t="shared" si="201"/>
        <v>42.71</v>
      </c>
      <c r="M1274">
        <f t="shared" si="202"/>
        <v>18.8125</v>
      </c>
      <c r="N1274">
        <f t="shared" si="203"/>
        <v>8.6524999999999999</v>
      </c>
      <c r="O1274">
        <f t="shared" si="204"/>
        <v>6.3375000000000004</v>
      </c>
      <c r="P1274">
        <f t="shared" si="205"/>
        <v>10.227272727272727</v>
      </c>
      <c r="Q1274">
        <f t="shared" si="206"/>
        <v>14.796296296296298</v>
      </c>
      <c r="R1274">
        <f t="shared" si="207"/>
        <v>42.71</v>
      </c>
      <c r="S1274" t="str">
        <f t="shared" si="208"/>
        <v>Good</v>
      </c>
      <c r="T1274" t="str">
        <f t="shared" si="209"/>
        <v>PM10</v>
      </c>
      <c r="U1274">
        <v>24.11</v>
      </c>
      <c r="V1274">
        <v>81.08</v>
      </c>
    </row>
    <row r="1275" spans="1:22" x14ac:dyDescent="0.3">
      <c r="A1275" s="2" t="s">
        <v>15</v>
      </c>
      <c r="B1275">
        <v>560026</v>
      </c>
      <c r="C1275" s="3">
        <v>44776</v>
      </c>
      <c r="D1275">
        <v>24.99</v>
      </c>
      <c r="E1275">
        <v>48.52</v>
      </c>
      <c r="F1275">
        <v>13.94</v>
      </c>
      <c r="G1275">
        <v>33.39</v>
      </c>
      <c r="H1275">
        <v>5.31</v>
      </c>
      <c r="I1275">
        <v>0.98</v>
      </c>
      <c r="J1275">
        <v>13.91</v>
      </c>
      <c r="K1275">
        <f t="shared" si="200"/>
        <v>41.65</v>
      </c>
      <c r="L1275">
        <f t="shared" si="201"/>
        <v>48.52</v>
      </c>
      <c r="M1275">
        <f t="shared" si="202"/>
        <v>17.425000000000001</v>
      </c>
      <c r="N1275">
        <f t="shared" si="203"/>
        <v>8.3475000000000001</v>
      </c>
      <c r="O1275">
        <f t="shared" si="204"/>
        <v>6.6375000000000002</v>
      </c>
      <c r="P1275">
        <f t="shared" si="205"/>
        <v>11.136363636363637</v>
      </c>
      <c r="Q1275">
        <f t="shared" si="206"/>
        <v>12.87962962962963</v>
      </c>
      <c r="R1275">
        <f t="shared" si="207"/>
        <v>48.52</v>
      </c>
      <c r="S1275" t="str">
        <f t="shared" si="208"/>
        <v>Good</v>
      </c>
      <c r="T1275" t="str">
        <f t="shared" si="209"/>
        <v>PM10</v>
      </c>
      <c r="U1275">
        <v>23.44</v>
      </c>
      <c r="V1275">
        <v>83.67</v>
      </c>
    </row>
    <row r="1276" spans="1:22" x14ac:dyDescent="0.3">
      <c r="A1276" s="2" t="s">
        <v>15</v>
      </c>
      <c r="B1276">
        <v>560026</v>
      </c>
      <c r="C1276" s="3">
        <v>44777</v>
      </c>
      <c r="D1276">
        <v>21.49</v>
      </c>
      <c r="E1276">
        <v>41.46</v>
      </c>
      <c r="F1276">
        <v>14.16</v>
      </c>
      <c r="G1276">
        <v>27.88</v>
      </c>
      <c r="H1276">
        <v>5.27</v>
      </c>
      <c r="I1276">
        <v>0.78</v>
      </c>
      <c r="J1276">
        <v>12.91</v>
      </c>
      <c r="K1276">
        <f t="shared" si="200"/>
        <v>35.81666666666667</v>
      </c>
      <c r="L1276">
        <f t="shared" si="201"/>
        <v>41.46</v>
      </c>
      <c r="M1276">
        <f t="shared" si="202"/>
        <v>17.7</v>
      </c>
      <c r="N1276">
        <f t="shared" si="203"/>
        <v>6.97</v>
      </c>
      <c r="O1276">
        <f t="shared" si="204"/>
        <v>6.5875000000000004</v>
      </c>
      <c r="P1276">
        <f t="shared" si="205"/>
        <v>8.8636363636363633</v>
      </c>
      <c r="Q1276">
        <f t="shared" si="206"/>
        <v>11.953703703703704</v>
      </c>
      <c r="R1276">
        <f t="shared" si="207"/>
        <v>41.46</v>
      </c>
      <c r="S1276" t="str">
        <f t="shared" si="208"/>
        <v>Good</v>
      </c>
      <c r="T1276" t="str">
        <f t="shared" si="209"/>
        <v>PM10</v>
      </c>
      <c r="U1276">
        <v>22.86</v>
      </c>
      <c r="V1276">
        <v>86.75</v>
      </c>
    </row>
    <row r="1277" spans="1:22" x14ac:dyDescent="0.3">
      <c r="A1277" s="2" t="s">
        <v>15</v>
      </c>
      <c r="B1277">
        <v>560026</v>
      </c>
      <c r="C1277" s="3">
        <v>44778</v>
      </c>
      <c r="D1277">
        <v>23.12</v>
      </c>
      <c r="E1277">
        <v>40.119999999999997</v>
      </c>
      <c r="F1277">
        <v>8.56</v>
      </c>
      <c r="G1277">
        <v>22.12</v>
      </c>
      <c r="H1277">
        <v>5.3</v>
      </c>
      <c r="I1277">
        <v>0.55000000000000004</v>
      </c>
      <c r="J1277">
        <v>13.48</v>
      </c>
      <c r="K1277">
        <f t="shared" si="200"/>
        <v>38.533333333333331</v>
      </c>
      <c r="L1277">
        <f t="shared" si="201"/>
        <v>40.119999999999997</v>
      </c>
      <c r="M1277">
        <f t="shared" si="202"/>
        <v>10.7</v>
      </c>
      <c r="N1277">
        <f t="shared" si="203"/>
        <v>5.53</v>
      </c>
      <c r="O1277">
        <f t="shared" si="204"/>
        <v>6.625</v>
      </c>
      <c r="P1277">
        <f t="shared" si="205"/>
        <v>6.25</v>
      </c>
      <c r="Q1277">
        <f t="shared" si="206"/>
        <v>12.481481481481483</v>
      </c>
      <c r="R1277">
        <f t="shared" si="207"/>
        <v>40.119999999999997</v>
      </c>
      <c r="S1277" t="str">
        <f t="shared" si="208"/>
        <v>Good</v>
      </c>
      <c r="T1277" t="str">
        <f t="shared" si="209"/>
        <v>PM10</v>
      </c>
      <c r="U1277">
        <v>22.16</v>
      </c>
      <c r="V1277">
        <v>85.09</v>
      </c>
    </row>
    <row r="1278" spans="1:22" x14ac:dyDescent="0.3">
      <c r="A1278" s="2" t="s">
        <v>15</v>
      </c>
      <c r="B1278">
        <v>560026</v>
      </c>
      <c r="C1278" s="3">
        <v>44779</v>
      </c>
      <c r="D1278">
        <v>10.1</v>
      </c>
      <c r="E1278">
        <v>28.21</v>
      </c>
      <c r="F1278">
        <v>8.4600000000000009</v>
      </c>
      <c r="G1278">
        <v>19.73</v>
      </c>
      <c r="H1278">
        <v>5.16</v>
      </c>
      <c r="I1278">
        <v>0.44</v>
      </c>
      <c r="J1278">
        <v>14.34</v>
      </c>
      <c r="K1278">
        <f t="shared" si="200"/>
        <v>16.833333333333332</v>
      </c>
      <c r="L1278">
        <f t="shared" si="201"/>
        <v>28.21</v>
      </c>
      <c r="M1278">
        <f t="shared" si="202"/>
        <v>10.575000000000001</v>
      </c>
      <c r="N1278">
        <f t="shared" si="203"/>
        <v>4.9325000000000001</v>
      </c>
      <c r="O1278">
        <f t="shared" si="204"/>
        <v>6.45</v>
      </c>
      <c r="P1278">
        <f t="shared" si="205"/>
        <v>5</v>
      </c>
      <c r="Q1278">
        <f t="shared" si="206"/>
        <v>13.277777777777779</v>
      </c>
      <c r="R1278">
        <f t="shared" si="207"/>
        <v>28.21</v>
      </c>
      <c r="S1278" t="str">
        <f t="shared" si="208"/>
        <v>Good</v>
      </c>
      <c r="T1278" t="str">
        <f t="shared" si="209"/>
        <v>PM10</v>
      </c>
      <c r="U1278">
        <v>22.47</v>
      </c>
      <c r="V1278">
        <v>82.67</v>
      </c>
    </row>
    <row r="1279" spans="1:22" x14ac:dyDescent="0.3">
      <c r="A1279" s="2" t="s">
        <v>15</v>
      </c>
      <c r="B1279">
        <v>560026</v>
      </c>
      <c r="C1279" s="3">
        <v>44780</v>
      </c>
      <c r="D1279">
        <v>28.26</v>
      </c>
      <c r="E1279">
        <v>49.29</v>
      </c>
      <c r="F1279">
        <v>8.66</v>
      </c>
      <c r="G1279">
        <v>20.07</v>
      </c>
      <c r="H1279">
        <v>5.43</v>
      </c>
      <c r="I1279">
        <v>0.48</v>
      </c>
      <c r="J1279">
        <v>14.15</v>
      </c>
      <c r="K1279">
        <f t="shared" si="200"/>
        <v>47.1</v>
      </c>
      <c r="L1279">
        <f t="shared" si="201"/>
        <v>49.29</v>
      </c>
      <c r="M1279">
        <f t="shared" si="202"/>
        <v>10.824999999999999</v>
      </c>
      <c r="N1279">
        <f t="shared" si="203"/>
        <v>5.0175000000000001</v>
      </c>
      <c r="O1279">
        <f t="shared" si="204"/>
        <v>6.7874999999999996</v>
      </c>
      <c r="P1279">
        <f t="shared" si="205"/>
        <v>5.4545454545454541</v>
      </c>
      <c r="Q1279">
        <f t="shared" si="206"/>
        <v>13.101851851851853</v>
      </c>
      <c r="R1279">
        <f t="shared" si="207"/>
        <v>49.29</v>
      </c>
      <c r="S1279" t="str">
        <f t="shared" si="208"/>
        <v>Good</v>
      </c>
      <c r="T1279" t="str">
        <f t="shared" si="209"/>
        <v>PM10</v>
      </c>
      <c r="U1279">
        <v>22.87</v>
      </c>
      <c r="V1279">
        <v>82.39</v>
      </c>
    </row>
    <row r="1280" spans="1:22" x14ac:dyDescent="0.3">
      <c r="A1280" s="2" t="s">
        <v>15</v>
      </c>
      <c r="B1280">
        <v>560026</v>
      </c>
      <c r="C1280" s="3">
        <v>44781</v>
      </c>
      <c r="D1280">
        <v>56.57</v>
      </c>
      <c r="E1280">
        <v>104.8</v>
      </c>
      <c r="F1280">
        <v>8.57</v>
      </c>
      <c r="G1280">
        <v>25.35</v>
      </c>
      <c r="H1280">
        <v>5.34</v>
      </c>
      <c r="I1280">
        <v>0.64</v>
      </c>
      <c r="J1280">
        <v>10.74</v>
      </c>
      <c r="K1280">
        <f t="shared" si="200"/>
        <v>94.283333333333331</v>
      </c>
      <c r="L1280">
        <f t="shared" si="201"/>
        <v>103.2</v>
      </c>
      <c r="M1280">
        <f t="shared" si="202"/>
        <v>10.7125</v>
      </c>
      <c r="N1280">
        <f t="shared" si="203"/>
        <v>6.3375000000000004</v>
      </c>
      <c r="O1280">
        <f t="shared" si="204"/>
        <v>6.6749999999999998</v>
      </c>
      <c r="P1280">
        <f t="shared" si="205"/>
        <v>7.2727272727272725</v>
      </c>
      <c r="Q1280">
        <f t="shared" si="206"/>
        <v>9.9444444444444446</v>
      </c>
      <c r="R1280">
        <f t="shared" si="207"/>
        <v>103.2</v>
      </c>
      <c r="S1280" t="str">
        <f t="shared" si="208"/>
        <v>Moderate</v>
      </c>
      <c r="T1280" t="str">
        <f t="shared" si="209"/>
        <v>PM10</v>
      </c>
      <c r="U1280">
        <v>23.01</v>
      </c>
      <c r="V1280">
        <v>80.38</v>
      </c>
    </row>
    <row r="1281" spans="1:22" x14ac:dyDescent="0.3">
      <c r="A1281" s="2" t="s">
        <v>15</v>
      </c>
      <c r="B1281">
        <v>560026</v>
      </c>
      <c r="C1281" s="3">
        <v>44782</v>
      </c>
      <c r="D1281">
        <v>25.57</v>
      </c>
      <c r="E1281">
        <v>60.68</v>
      </c>
      <c r="F1281">
        <v>8.26</v>
      </c>
      <c r="G1281">
        <v>23.75</v>
      </c>
      <c r="H1281">
        <v>5.24</v>
      </c>
      <c r="I1281">
        <v>0.53</v>
      </c>
      <c r="J1281">
        <v>11.94</v>
      </c>
      <c r="K1281">
        <f t="shared" si="200"/>
        <v>42.616666666666667</v>
      </c>
      <c r="L1281">
        <f t="shared" si="201"/>
        <v>60.68</v>
      </c>
      <c r="M1281">
        <f t="shared" si="202"/>
        <v>10.324999999999999</v>
      </c>
      <c r="N1281">
        <f t="shared" si="203"/>
        <v>5.9375</v>
      </c>
      <c r="O1281">
        <f t="shared" si="204"/>
        <v>6.55</v>
      </c>
      <c r="P1281">
        <f t="shared" si="205"/>
        <v>6.0227272727272725</v>
      </c>
      <c r="Q1281">
        <f t="shared" si="206"/>
        <v>11.055555555555555</v>
      </c>
      <c r="R1281">
        <f t="shared" si="207"/>
        <v>60.68</v>
      </c>
      <c r="S1281" t="str">
        <f t="shared" si="208"/>
        <v>Satisfactory</v>
      </c>
      <c r="T1281" t="str">
        <f t="shared" si="209"/>
        <v>PM10</v>
      </c>
      <c r="U1281">
        <v>23.14</v>
      </c>
      <c r="V1281">
        <v>77</v>
      </c>
    </row>
    <row r="1282" spans="1:22" x14ac:dyDescent="0.3">
      <c r="A1282" s="2" t="s">
        <v>15</v>
      </c>
      <c r="B1282">
        <v>560026</v>
      </c>
      <c r="C1282" s="3">
        <v>44783</v>
      </c>
      <c r="D1282">
        <v>14.9</v>
      </c>
      <c r="E1282">
        <v>48.8</v>
      </c>
      <c r="F1282">
        <v>9.6</v>
      </c>
      <c r="G1282">
        <v>19.91</v>
      </c>
      <c r="H1282">
        <v>4.83</v>
      </c>
      <c r="I1282">
        <v>0.4</v>
      </c>
      <c r="J1282">
        <v>14.4</v>
      </c>
      <c r="K1282">
        <f t="shared" si="200"/>
        <v>24.833333333333332</v>
      </c>
      <c r="L1282">
        <f t="shared" si="201"/>
        <v>48.8</v>
      </c>
      <c r="M1282">
        <f t="shared" si="202"/>
        <v>12</v>
      </c>
      <c r="N1282">
        <f t="shared" si="203"/>
        <v>4.9775</v>
      </c>
      <c r="O1282">
        <f t="shared" si="204"/>
        <v>6.0374999999999996</v>
      </c>
      <c r="P1282">
        <f t="shared" si="205"/>
        <v>4.5454545454545459</v>
      </c>
      <c r="Q1282">
        <f t="shared" si="206"/>
        <v>13.333333333333334</v>
      </c>
      <c r="R1282">
        <f t="shared" si="207"/>
        <v>48.8</v>
      </c>
      <c r="S1282" t="str">
        <f t="shared" si="208"/>
        <v>Good</v>
      </c>
      <c r="T1282" t="str">
        <f t="shared" si="209"/>
        <v>PM10</v>
      </c>
      <c r="U1282">
        <v>23.41</v>
      </c>
      <c r="V1282">
        <v>73.83</v>
      </c>
    </row>
    <row r="1283" spans="1:22" x14ac:dyDescent="0.3">
      <c r="A1283" s="2" t="s">
        <v>15</v>
      </c>
      <c r="B1283">
        <v>560026</v>
      </c>
      <c r="C1283" s="3">
        <v>44784</v>
      </c>
      <c r="D1283">
        <v>33.79</v>
      </c>
      <c r="E1283">
        <v>69.180000000000007</v>
      </c>
      <c r="F1283">
        <v>10.82</v>
      </c>
      <c r="G1283">
        <v>23.23</v>
      </c>
      <c r="H1283">
        <v>5.0599999999999996</v>
      </c>
      <c r="I1283">
        <v>0.53</v>
      </c>
      <c r="J1283">
        <v>12.27</v>
      </c>
      <c r="K1283">
        <f t="shared" si="200"/>
        <v>56.316666666666663</v>
      </c>
      <c r="L1283">
        <f t="shared" si="201"/>
        <v>69.180000000000007</v>
      </c>
      <c r="M1283">
        <f t="shared" si="202"/>
        <v>13.525</v>
      </c>
      <c r="N1283">
        <f t="shared" si="203"/>
        <v>5.8075000000000001</v>
      </c>
      <c r="O1283">
        <f t="shared" si="204"/>
        <v>6.3249999999999993</v>
      </c>
      <c r="P1283">
        <f t="shared" si="205"/>
        <v>6.0227272727272725</v>
      </c>
      <c r="Q1283">
        <f t="shared" si="206"/>
        <v>11.361111111111111</v>
      </c>
      <c r="R1283">
        <f t="shared" si="207"/>
        <v>69.180000000000007</v>
      </c>
      <c r="S1283" t="str">
        <f t="shared" si="208"/>
        <v>Satisfactory</v>
      </c>
      <c r="T1283" t="str">
        <f t="shared" si="209"/>
        <v>PM10</v>
      </c>
      <c r="U1283">
        <v>23.85</v>
      </c>
      <c r="V1283">
        <v>73.22</v>
      </c>
    </row>
    <row r="1284" spans="1:22" x14ac:dyDescent="0.3">
      <c r="A1284" s="2" t="s">
        <v>15</v>
      </c>
      <c r="B1284">
        <v>560026</v>
      </c>
      <c r="C1284" s="3">
        <v>44785</v>
      </c>
      <c r="D1284">
        <v>40.700000000000003</v>
      </c>
      <c r="E1284">
        <v>70.349999999999994</v>
      </c>
      <c r="F1284">
        <v>11.46</v>
      </c>
      <c r="G1284">
        <v>27.96</v>
      </c>
      <c r="H1284">
        <v>4.78</v>
      </c>
      <c r="I1284">
        <v>0.72</v>
      </c>
      <c r="J1284">
        <v>10.74</v>
      </c>
      <c r="K1284">
        <f t="shared" si="200"/>
        <v>67.833333333333343</v>
      </c>
      <c r="L1284">
        <f t="shared" si="201"/>
        <v>70.349999999999994</v>
      </c>
      <c r="M1284">
        <f t="shared" si="202"/>
        <v>14.324999999999999</v>
      </c>
      <c r="N1284">
        <f t="shared" si="203"/>
        <v>6.99</v>
      </c>
      <c r="O1284">
        <f t="shared" si="204"/>
        <v>5.9749999999999996</v>
      </c>
      <c r="P1284">
        <f t="shared" si="205"/>
        <v>8.1818181818181817</v>
      </c>
      <c r="Q1284">
        <f t="shared" si="206"/>
        <v>9.9444444444444446</v>
      </c>
      <c r="R1284">
        <f t="shared" si="207"/>
        <v>70.349999999999994</v>
      </c>
      <c r="S1284" t="str">
        <f t="shared" si="208"/>
        <v>Satisfactory</v>
      </c>
      <c r="T1284" t="str">
        <f t="shared" si="209"/>
        <v>PM10</v>
      </c>
      <c r="U1284">
        <v>24.32</v>
      </c>
      <c r="V1284">
        <v>72.17</v>
      </c>
    </row>
    <row r="1285" spans="1:22" x14ac:dyDescent="0.3">
      <c r="A1285" s="2" t="s">
        <v>15</v>
      </c>
      <c r="B1285">
        <v>560026</v>
      </c>
      <c r="C1285" s="3">
        <v>44786</v>
      </c>
      <c r="D1285">
        <v>31.95</v>
      </c>
      <c r="E1285">
        <v>56.06</v>
      </c>
      <c r="F1285">
        <v>10.97</v>
      </c>
      <c r="G1285">
        <v>28.58</v>
      </c>
      <c r="H1285">
        <v>5.27</v>
      </c>
      <c r="I1285">
        <v>0.85</v>
      </c>
      <c r="J1285">
        <v>9.9</v>
      </c>
      <c r="K1285">
        <f t="shared" si="200"/>
        <v>53.25</v>
      </c>
      <c r="L1285">
        <f t="shared" si="201"/>
        <v>56.06</v>
      </c>
      <c r="M1285">
        <f t="shared" si="202"/>
        <v>13.7125</v>
      </c>
      <c r="N1285">
        <f t="shared" si="203"/>
        <v>7.1449999999999996</v>
      </c>
      <c r="O1285">
        <f t="shared" si="204"/>
        <v>6.5875000000000004</v>
      </c>
      <c r="P1285">
        <f t="shared" si="205"/>
        <v>9.6590909090909083</v>
      </c>
      <c r="Q1285">
        <f t="shared" si="206"/>
        <v>9.1666666666666679</v>
      </c>
      <c r="R1285">
        <f t="shared" si="207"/>
        <v>56.06</v>
      </c>
      <c r="S1285" t="str">
        <f t="shared" si="208"/>
        <v>Satisfactory</v>
      </c>
      <c r="T1285" t="str">
        <f t="shared" si="209"/>
        <v>PM10</v>
      </c>
      <c r="U1285">
        <v>24.23</v>
      </c>
      <c r="V1285">
        <v>72.17</v>
      </c>
    </row>
    <row r="1286" spans="1:22" x14ac:dyDescent="0.3">
      <c r="A1286" s="2" t="s">
        <v>15</v>
      </c>
      <c r="B1286">
        <v>560026</v>
      </c>
      <c r="C1286" s="3">
        <v>44787</v>
      </c>
      <c r="D1286">
        <v>29.69</v>
      </c>
      <c r="E1286">
        <v>54.41</v>
      </c>
      <c r="F1286">
        <v>9.7100000000000009</v>
      </c>
      <c r="G1286">
        <v>24.22</v>
      </c>
      <c r="H1286">
        <v>4.8</v>
      </c>
      <c r="I1286">
        <v>0.7</v>
      </c>
      <c r="J1286">
        <v>9.41</v>
      </c>
      <c r="K1286">
        <f t="shared" si="200"/>
        <v>49.483333333333334</v>
      </c>
      <c r="L1286">
        <f t="shared" si="201"/>
        <v>54.41</v>
      </c>
      <c r="M1286">
        <f t="shared" si="202"/>
        <v>12.137500000000001</v>
      </c>
      <c r="N1286">
        <f t="shared" si="203"/>
        <v>6.0549999999999997</v>
      </c>
      <c r="O1286">
        <f t="shared" si="204"/>
        <v>6</v>
      </c>
      <c r="P1286">
        <f t="shared" si="205"/>
        <v>7.9545454545454541</v>
      </c>
      <c r="Q1286">
        <f t="shared" si="206"/>
        <v>8.7129629629629637</v>
      </c>
      <c r="R1286">
        <f t="shared" si="207"/>
        <v>54.41</v>
      </c>
      <c r="S1286" t="str">
        <f t="shared" si="208"/>
        <v>Satisfactory</v>
      </c>
      <c r="T1286" t="str">
        <f t="shared" si="209"/>
        <v>PM10</v>
      </c>
      <c r="U1286">
        <v>23.69</v>
      </c>
      <c r="V1286">
        <v>73.16</v>
      </c>
    </row>
    <row r="1287" spans="1:22" x14ac:dyDescent="0.3">
      <c r="A1287" s="2" t="s">
        <v>15</v>
      </c>
      <c r="B1287">
        <v>560026</v>
      </c>
      <c r="C1287" s="3">
        <v>44788</v>
      </c>
      <c r="D1287">
        <v>21.22</v>
      </c>
      <c r="E1287">
        <v>46.97</v>
      </c>
      <c r="F1287">
        <v>9.3699999999999992</v>
      </c>
      <c r="G1287">
        <v>20.03</v>
      </c>
      <c r="H1287">
        <v>4.75</v>
      </c>
      <c r="I1287">
        <v>0.59</v>
      </c>
      <c r="J1287">
        <v>8.18</v>
      </c>
      <c r="K1287">
        <f t="shared" si="200"/>
        <v>35.366666666666667</v>
      </c>
      <c r="L1287">
        <f t="shared" si="201"/>
        <v>46.97</v>
      </c>
      <c r="M1287">
        <f t="shared" si="202"/>
        <v>11.712499999999999</v>
      </c>
      <c r="N1287">
        <f t="shared" si="203"/>
        <v>5.0075000000000003</v>
      </c>
      <c r="O1287">
        <f t="shared" si="204"/>
        <v>5.9375</v>
      </c>
      <c r="P1287">
        <f t="shared" si="205"/>
        <v>6.7045454545454541</v>
      </c>
      <c r="Q1287">
        <f t="shared" si="206"/>
        <v>7.5740740740740735</v>
      </c>
      <c r="R1287">
        <f t="shared" si="207"/>
        <v>46.97</v>
      </c>
      <c r="S1287" t="str">
        <f t="shared" si="208"/>
        <v>Good</v>
      </c>
      <c r="T1287" t="str">
        <f t="shared" si="209"/>
        <v>PM10</v>
      </c>
      <c r="U1287">
        <v>24.31</v>
      </c>
      <c r="V1287">
        <v>73.010000000000005</v>
      </c>
    </row>
    <row r="1288" spans="1:22" x14ac:dyDescent="0.3">
      <c r="A1288" s="2" t="s">
        <v>15</v>
      </c>
      <c r="B1288">
        <v>560026</v>
      </c>
      <c r="C1288" s="3">
        <v>44789</v>
      </c>
      <c r="D1288">
        <v>30.96</v>
      </c>
      <c r="E1288">
        <v>68.12</v>
      </c>
      <c r="F1288">
        <v>10.35</v>
      </c>
      <c r="G1288">
        <v>26.93</v>
      </c>
      <c r="H1288">
        <v>5</v>
      </c>
      <c r="I1288">
        <v>0.65</v>
      </c>
      <c r="J1288">
        <v>7.39</v>
      </c>
      <c r="K1288">
        <f t="shared" si="200"/>
        <v>51.6</v>
      </c>
      <c r="L1288">
        <f t="shared" si="201"/>
        <v>68.12</v>
      </c>
      <c r="M1288">
        <f t="shared" si="202"/>
        <v>12.9375</v>
      </c>
      <c r="N1288">
        <f t="shared" si="203"/>
        <v>6.7324999999999999</v>
      </c>
      <c r="O1288">
        <f t="shared" si="204"/>
        <v>6.25</v>
      </c>
      <c r="P1288">
        <f t="shared" si="205"/>
        <v>7.3863636363636367</v>
      </c>
      <c r="Q1288">
        <f t="shared" si="206"/>
        <v>6.8425925925925926</v>
      </c>
      <c r="R1288">
        <f t="shared" si="207"/>
        <v>68.12</v>
      </c>
      <c r="S1288" t="str">
        <f t="shared" si="208"/>
        <v>Satisfactory</v>
      </c>
      <c r="T1288" t="str">
        <f t="shared" si="209"/>
        <v>PM10</v>
      </c>
      <c r="U1288">
        <v>26.11</v>
      </c>
      <c r="V1288">
        <v>65.34</v>
      </c>
    </row>
    <row r="1289" spans="1:22" x14ac:dyDescent="0.3">
      <c r="A1289" s="2" t="s">
        <v>15</v>
      </c>
      <c r="B1289">
        <v>560026</v>
      </c>
      <c r="C1289" s="3">
        <v>44790</v>
      </c>
      <c r="D1289">
        <v>24.96</v>
      </c>
      <c r="E1289">
        <v>63.5</v>
      </c>
      <c r="F1289">
        <v>8.94</v>
      </c>
      <c r="G1289">
        <v>24.72</v>
      </c>
      <c r="H1289">
        <v>5.15</v>
      </c>
      <c r="I1289">
        <v>1.06</v>
      </c>
      <c r="J1289">
        <v>5.47</v>
      </c>
      <c r="K1289">
        <f t="shared" si="200"/>
        <v>41.6</v>
      </c>
      <c r="L1289">
        <f t="shared" si="201"/>
        <v>63.5</v>
      </c>
      <c r="M1289">
        <f t="shared" si="202"/>
        <v>11.175000000000001</v>
      </c>
      <c r="N1289">
        <f t="shared" si="203"/>
        <v>6.18</v>
      </c>
      <c r="O1289">
        <f t="shared" si="204"/>
        <v>6.4375</v>
      </c>
      <c r="P1289">
        <f t="shared" si="205"/>
        <v>12.045454545454545</v>
      </c>
      <c r="Q1289">
        <f t="shared" si="206"/>
        <v>5.0648148148148149</v>
      </c>
      <c r="R1289">
        <f t="shared" si="207"/>
        <v>63.5</v>
      </c>
      <c r="S1289" t="str">
        <f t="shared" si="208"/>
        <v>Satisfactory</v>
      </c>
      <c r="T1289" t="str">
        <f t="shared" si="209"/>
        <v>PM10</v>
      </c>
      <c r="U1289">
        <v>26.25</v>
      </c>
      <c r="V1289">
        <v>65.77</v>
      </c>
    </row>
    <row r="1290" spans="1:22" x14ac:dyDescent="0.3">
      <c r="A1290" s="2" t="s">
        <v>15</v>
      </c>
      <c r="B1290">
        <v>560026</v>
      </c>
      <c r="C1290" s="3">
        <v>44791</v>
      </c>
      <c r="D1290">
        <v>19.5</v>
      </c>
      <c r="E1290">
        <v>59.88</v>
      </c>
      <c r="F1290">
        <v>9.61</v>
      </c>
      <c r="G1290">
        <v>23.78</v>
      </c>
      <c r="H1290">
        <v>5.41</v>
      </c>
      <c r="I1290">
        <v>0.85</v>
      </c>
      <c r="J1290">
        <v>4.17</v>
      </c>
      <c r="K1290">
        <f t="shared" si="200"/>
        <v>32.5</v>
      </c>
      <c r="L1290">
        <f t="shared" si="201"/>
        <v>59.88</v>
      </c>
      <c r="M1290">
        <f t="shared" si="202"/>
        <v>12.012499999999999</v>
      </c>
      <c r="N1290">
        <f t="shared" si="203"/>
        <v>5.9450000000000003</v>
      </c>
      <c r="O1290">
        <f t="shared" si="204"/>
        <v>6.7625000000000002</v>
      </c>
      <c r="P1290">
        <f t="shared" si="205"/>
        <v>9.6590909090909083</v>
      </c>
      <c r="Q1290">
        <f t="shared" si="206"/>
        <v>3.8611111111111112</v>
      </c>
      <c r="R1290">
        <f t="shared" si="207"/>
        <v>59.88</v>
      </c>
      <c r="S1290" t="str">
        <f t="shared" si="208"/>
        <v>Satisfactory</v>
      </c>
      <c r="T1290" t="str">
        <f t="shared" si="209"/>
        <v>PM10</v>
      </c>
      <c r="U1290">
        <v>26.3</v>
      </c>
      <c r="V1290">
        <v>65.25</v>
      </c>
    </row>
    <row r="1291" spans="1:22" x14ac:dyDescent="0.3">
      <c r="A1291" s="2" t="s">
        <v>15</v>
      </c>
      <c r="B1291">
        <v>560026</v>
      </c>
      <c r="C1291" s="3">
        <v>44792</v>
      </c>
      <c r="D1291">
        <v>15.25</v>
      </c>
      <c r="E1291">
        <v>53.5</v>
      </c>
      <c r="F1291">
        <v>8.52</v>
      </c>
      <c r="G1291">
        <v>21.67</v>
      </c>
      <c r="H1291">
        <v>5.35</v>
      </c>
      <c r="I1291">
        <v>0.74</v>
      </c>
      <c r="J1291">
        <v>3.62</v>
      </c>
      <c r="K1291">
        <f t="shared" si="200"/>
        <v>25.416666666666668</v>
      </c>
      <c r="L1291">
        <f t="shared" si="201"/>
        <v>53.5</v>
      </c>
      <c r="M1291">
        <f t="shared" si="202"/>
        <v>10.65</v>
      </c>
      <c r="N1291">
        <f t="shared" si="203"/>
        <v>5.4175000000000004</v>
      </c>
      <c r="O1291">
        <f t="shared" si="204"/>
        <v>6.6875</v>
      </c>
      <c r="P1291">
        <f t="shared" si="205"/>
        <v>8.4090909090909083</v>
      </c>
      <c r="Q1291">
        <f t="shared" si="206"/>
        <v>3.3518518518518521</v>
      </c>
      <c r="R1291">
        <f t="shared" si="207"/>
        <v>53.5</v>
      </c>
      <c r="S1291" t="str">
        <f t="shared" si="208"/>
        <v>Satisfactory</v>
      </c>
      <c r="T1291" t="str">
        <f t="shared" si="209"/>
        <v>PM10</v>
      </c>
      <c r="U1291">
        <v>25.39</v>
      </c>
      <c r="V1291">
        <v>68.33</v>
      </c>
    </row>
    <row r="1292" spans="1:22" x14ac:dyDescent="0.3">
      <c r="A1292" s="2" t="s">
        <v>15</v>
      </c>
      <c r="B1292">
        <v>560026</v>
      </c>
      <c r="C1292" s="3">
        <v>44793</v>
      </c>
      <c r="D1292">
        <v>19.93</v>
      </c>
      <c r="E1292">
        <v>54.25</v>
      </c>
      <c r="F1292">
        <v>8.85</v>
      </c>
      <c r="G1292">
        <v>19.87</v>
      </c>
      <c r="H1292">
        <v>5.33</v>
      </c>
      <c r="I1292">
        <v>0.65</v>
      </c>
      <c r="J1292">
        <v>6.81</v>
      </c>
      <c r="K1292">
        <f t="shared" si="200"/>
        <v>33.216666666666669</v>
      </c>
      <c r="L1292">
        <f t="shared" si="201"/>
        <v>54.25</v>
      </c>
      <c r="M1292">
        <f t="shared" si="202"/>
        <v>11.0625</v>
      </c>
      <c r="N1292">
        <f t="shared" si="203"/>
        <v>4.9675000000000002</v>
      </c>
      <c r="O1292">
        <f t="shared" si="204"/>
        <v>6.6624999999999996</v>
      </c>
      <c r="P1292">
        <f t="shared" si="205"/>
        <v>7.3863636363636367</v>
      </c>
      <c r="Q1292">
        <f t="shared" si="206"/>
        <v>6.3055555555555554</v>
      </c>
      <c r="R1292">
        <f t="shared" si="207"/>
        <v>54.25</v>
      </c>
      <c r="S1292" t="str">
        <f t="shared" si="208"/>
        <v>Satisfactory</v>
      </c>
      <c r="T1292" t="str">
        <f t="shared" si="209"/>
        <v>PM10</v>
      </c>
      <c r="U1292">
        <v>25.25</v>
      </c>
      <c r="V1292">
        <v>69.12</v>
      </c>
    </row>
    <row r="1293" spans="1:22" x14ac:dyDescent="0.3">
      <c r="A1293" s="2" t="s">
        <v>15</v>
      </c>
      <c r="B1293">
        <v>560026</v>
      </c>
      <c r="C1293" s="3">
        <v>44794</v>
      </c>
      <c r="D1293">
        <v>11.87</v>
      </c>
      <c r="E1293">
        <v>41.77</v>
      </c>
      <c r="F1293">
        <v>7.64</v>
      </c>
      <c r="G1293">
        <v>19.149999999999999</v>
      </c>
      <c r="H1293">
        <v>5.31</v>
      </c>
      <c r="I1293">
        <v>0.62</v>
      </c>
      <c r="J1293">
        <v>14.41</v>
      </c>
      <c r="K1293">
        <f t="shared" si="200"/>
        <v>19.783333333333335</v>
      </c>
      <c r="L1293">
        <f t="shared" si="201"/>
        <v>41.77</v>
      </c>
      <c r="M1293">
        <f t="shared" si="202"/>
        <v>9.5500000000000007</v>
      </c>
      <c r="N1293">
        <f t="shared" si="203"/>
        <v>4.7874999999999996</v>
      </c>
      <c r="O1293">
        <f t="shared" si="204"/>
        <v>6.6375000000000002</v>
      </c>
      <c r="P1293">
        <f t="shared" si="205"/>
        <v>7.045454545454545</v>
      </c>
      <c r="Q1293">
        <f t="shared" si="206"/>
        <v>13.342592592592593</v>
      </c>
      <c r="R1293">
        <f t="shared" si="207"/>
        <v>41.77</v>
      </c>
      <c r="S1293" t="str">
        <f t="shared" si="208"/>
        <v>Good</v>
      </c>
      <c r="T1293" t="str">
        <f t="shared" si="209"/>
        <v>PM10</v>
      </c>
      <c r="U1293">
        <v>24.56</v>
      </c>
      <c r="V1293">
        <v>75.150000000000006</v>
      </c>
    </row>
    <row r="1294" spans="1:22" x14ac:dyDescent="0.3">
      <c r="A1294" s="2" t="s">
        <v>15</v>
      </c>
      <c r="B1294">
        <v>560026</v>
      </c>
      <c r="C1294" s="3">
        <v>44795</v>
      </c>
      <c r="D1294">
        <v>38.909999999999997</v>
      </c>
      <c r="E1294">
        <v>64.040000000000006</v>
      </c>
      <c r="F1294">
        <v>8.68</v>
      </c>
      <c r="G1294">
        <v>19.399999999999999</v>
      </c>
      <c r="H1294">
        <v>4.79</v>
      </c>
      <c r="I1294">
        <v>0.76</v>
      </c>
      <c r="J1294">
        <v>12.06</v>
      </c>
      <c r="K1294">
        <f t="shared" si="200"/>
        <v>64.849999999999994</v>
      </c>
      <c r="L1294">
        <f t="shared" si="201"/>
        <v>64.040000000000006</v>
      </c>
      <c r="M1294">
        <f t="shared" si="202"/>
        <v>10.85</v>
      </c>
      <c r="N1294">
        <f t="shared" si="203"/>
        <v>4.8499999999999996</v>
      </c>
      <c r="O1294">
        <f t="shared" si="204"/>
        <v>5.9874999999999998</v>
      </c>
      <c r="P1294">
        <f t="shared" si="205"/>
        <v>8.6363636363636367</v>
      </c>
      <c r="Q1294">
        <f t="shared" si="206"/>
        <v>11.166666666666668</v>
      </c>
      <c r="R1294">
        <f t="shared" si="207"/>
        <v>64.849999999999994</v>
      </c>
      <c r="S1294" t="str">
        <f t="shared" si="208"/>
        <v>Satisfactory</v>
      </c>
      <c r="T1294" t="str">
        <f t="shared" si="209"/>
        <v>PM2.5</v>
      </c>
      <c r="U1294">
        <v>24.26</v>
      </c>
      <c r="V1294">
        <v>76.650000000000006</v>
      </c>
    </row>
    <row r="1295" spans="1:22" x14ac:dyDescent="0.3">
      <c r="A1295" s="2" t="s">
        <v>15</v>
      </c>
      <c r="B1295">
        <v>560026</v>
      </c>
      <c r="C1295" s="3">
        <v>44796</v>
      </c>
      <c r="D1295">
        <v>41.11</v>
      </c>
      <c r="E1295">
        <v>66.12</v>
      </c>
      <c r="F1295">
        <v>9.23</v>
      </c>
      <c r="G1295">
        <v>20.65</v>
      </c>
      <c r="H1295">
        <v>5.37</v>
      </c>
      <c r="I1295">
        <v>0.84</v>
      </c>
      <c r="J1295">
        <v>12.1</v>
      </c>
      <c r="K1295">
        <f t="shared" si="200"/>
        <v>68.516666666666666</v>
      </c>
      <c r="L1295">
        <f t="shared" si="201"/>
        <v>66.12</v>
      </c>
      <c r="M1295">
        <f t="shared" si="202"/>
        <v>11.5375</v>
      </c>
      <c r="N1295">
        <f t="shared" si="203"/>
        <v>5.1624999999999996</v>
      </c>
      <c r="O1295">
        <f t="shared" si="204"/>
        <v>6.7125000000000004</v>
      </c>
      <c r="P1295">
        <f t="shared" si="205"/>
        <v>9.545454545454545</v>
      </c>
      <c r="Q1295">
        <f t="shared" si="206"/>
        <v>11.203703703703704</v>
      </c>
      <c r="R1295">
        <f t="shared" si="207"/>
        <v>68.516666666666666</v>
      </c>
      <c r="S1295" t="str">
        <f t="shared" si="208"/>
        <v>Satisfactory</v>
      </c>
      <c r="T1295" t="str">
        <f t="shared" si="209"/>
        <v>PM2.5</v>
      </c>
      <c r="U1295">
        <v>24.63</v>
      </c>
      <c r="V1295">
        <v>75.72</v>
      </c>
    </row>
    <row r="1296" spans="1:22" x14ac:dyDescent="0.3">
      <c r="A1296" s="2" t="s">
        <v>15</v>
      </c>
      <c r="B1296">
        <v>560026</v>
      </c>
      <c r="C1296" s="3">
        <v>44797</v>
      </c>
      <c r="D1296">
        <v>22.7</v>
      </c>
      <c r="E1296">
        <v>44.79</v>
      </c>
      <c r="F1296">
        <v>9.43</v>
      </c>
      <c r="G1296">
        <v>22.31</v>
      </c>
      <c r="H1296">
        <v>5.2</v>
      </c>
      <c r="I1296">
        <v>0.56000000000000005</v>
      </c>
      <c r="J1296">
        <v>11.08</v>
      </c>
      <c r="K1296">
        <f t="shared" si="200"/>
        <v>37.833333333333336</v>
      </c>
      <c r="L1296">
        <f t="shared" si="201"/>
        <v>44.79</v>
      </c>
      <c r="M1296">
        <f t="shared" si="202"/>
        <v>11.7875</v>
      </c>
      <c r="N1296">
        <f t="shared" si="203"/>
        <v>5.5774999999999997</v>
      </c>
      <c r="O1296">
        <f t="shared" si="204"/>
        <v>6.5</v>
      </c>
      <c r="P1296">
        <f t="shared" si="205"/>
        <v>6.3636363636363642</v>
      </c>
      <c r="Q1296">
        <f t="shared" si="206"/>
        <v>10.25925925925926</v>
      </c>
      <c r="R1296">
        <f t="shared" si="207"/>
        <v>44.79</v>
      </c>
      <c r="S1296" t="str">
        <f t="shared" si="208"/>
        <v>Good</v>
      </c>
      <c r="T1296" t="str">
        <f t="shared" si="209"/>
        <v>PM10</v>
      </c>
      <c r="U1296">
        <v>23.7</v>
      </c>
      <c r="V1296">
        <v>79.05</v>
      </c>
    </row>
    <row r="1297" spans="1:22" x14ac:dyDescent="0.3">
      <c r="A1297" s="2" t="s">
        <v>15</v>
      </c>
      <c r="B1297">
        <v>560026</v>
      </c>
      <c r="C1297" s="3">
        <v>44798</v>
      </c>
      <c r="D1297">
        <v>31.84</v>
      </c>
      <c r="E1297">
        <v>71.099999999999994</v>
      </c>
      <c r="F1297">
        <v>10.89</v>
      </c>
      <c r="G1297">
        <v>28.9</v>
      </c>
      <c r="H1297">
        <v>5.41</v>
      </c>
      <c r="I1297">
        <v>0.91</v>
      </c>
      <c r="J1297">
        <v>11</v>
      </c>
      <c r="K1297">
        <f t="shared" si="200"/>
        <v>53.06666666666667</v>
      </c>
      <c r="L1297">
        <f t="shared" si="201"/>
        <v>71.099999999999994</v>
      </c>
      <c r="M1297">
        <f t="shared" si="202"/>
        <v>13.612500000000001</v>
      </c>
      <c r="N1297">
        <f t="shared" si="203"/>
        <v>7.2249999999999996</v>
      </c>
      <c r="O1297">
        <f t="shared" si="204"/>
        <v>6.7625000000000002</v>
      </c>
      <c r="P1297">
        <f t="shared" si="205"/>
        <v>10.340909090909092</v>
      </c>
      <c r="Q1297">
        <f t="shared" si="206"/>
        <v>10.185185185185185</v>
      </c>
      <c r="R1297">
        <f t="shared" si="207"/>
        <v>71.099999999999994</v>
      </c>
      <c r="S1297" t="str">
        <f t="shared" si="208"/>
        <v>Satisfactory</v>
      </c>
      <c r="T1297" t="str">
        <f t="shared" si="209"/>
        <v>PM10</v>
      </c>
      <c r="U1297">
        <v>24.47</v>
      </c>
      <c r="V1297">
        <v>74.599999999999994</v>
      </c>
    </row>
    <row r="1298" spans="1:22" x14ac:dyDescent="0.3">
      <c r="A1298" s="2" t="s">
        <v>15</v>
      </c>
      <c r="B1298">
        <v>560026</v>
      </c>
      <c r="C1298" s="3">
        <v>44799</v>
      </c>
      <c r="D1298">
        <v>37.479999999999997</v>
      </c>
      <c r="E1298">
        <v>68.66</v>
      </c>
      <c r="F1298">
        <v>12.26</v>
      </c>
      <c r="G1298">
        <v>33.65</v>
      </c>
      <c r="H1298">
        <v>5.36</v>
      </c>
      <c r="I1298">
        <v>1.02</v>
      </c>
      <c r="J1298">
        <v>10.71</v>
      </c>
      <c r="K1298">
        <f t="shared" si="200"/>
        <v>62.466666666666661</v>
      </c>
      <c r="L1298">
        <f t="shared" si="201"/>
        <v>68.66</v>
      </c>
      <c r="M1298">
        <f t="shared" si="202"/>
        <v>15.324999999999999</v>
      </c>
      <c r="N1298">
        <f t="shared" si="203"/>
        <v>8.4124999999999996</v>
      </c>
      <c r="O1298">
        <f t="shared" si="204"/>
        <v>6.7</v>
      </c>
      <c r="P1298">
        <f t="shared" si="205"/>
        <v>11.59090909090909</v>
      </c>
      <c r="Q1298">
        <f t="shared" si="206"/>
        <v>9.9166666666666679</v>
      </c>
      <c r="R1298">
        <f t="shared" si="207"/>
        <v>68.66</v>
      </c>
      <c r="S1298" t="str">
        <f t="shared" si="208"/>
        <v>Satisfactory</v>
      </c>
      <c r="T1298" t="str">
        <f t="shared" si="209"/>
        <v>PM10</v>
      </c>
      <c r="U1298">
        <v>23.76</v>
      </c>
      <c r="V1298">
        <v>80.7</v>
      </c>
    </row>
    <row r="1299" spans="1:22" x14ac:dyDescent="0.3">
      <c r="A1299" s="2" t="s">
        <v>15</v>
      </c>
      <c r="B1299">
        <v>560026</v>
      </c>
      <c r="C1299" s="3">
        <v>44800</v>
      </c>
      <c r="D1299">
        <v>30.62</v>
      </c>
      <c r="E1299">
        <v>51.09</v>
      </c>
      <c r="F1299">
        <v>15.23</v>
      </c>
      <c r="G1299">
        <v>26.87</v>
      </c>
      <c r="H1299">
        <v>4.9400000000000004</v>
      </c>
      <c r="I1299">
        <v>0.86</v>
      </c>
      <c r="J1299">
        <v>15.5</v>
      </c>
      <c r="K1299">
        <f t="shared" si="200"/>
        <v>51.033333333333331</v>
      </c>
      <c r="L1299">
        <f t="shared" si="201"/>
        <v>51.09</v>
      </c>
      <c r="M1299">
        <f t="shared" si="202"/>
        <v>19.037500000000001</v>
      </c>
      <c r="N1299">
        <f t="shared" si="203"/>
        <v>6.7175000000000002</v>
      </c>
      <c r="O1299">
        <f t="shared" si="204"/>
        <v>6.1750000000000007</v>
      </c>
      <c r="P1299">
        <f t="shared" si="205"/>
        <v>9.7727272727272716</v>
      </c>
      <c r="Q1299">
        <f t="shared" si="206"/>
        <v>14.351851851851851</v>
      </c>
      <c r="R1299">
        <f t="shared" si="207"/>
        <v>51.09</v>
      </c>
      <c r="S1299" t="str">
        <f t="shared" si="208"/>
        <v>Satisfactory</v>
      </c>
      <c r="T1299" t="str">
        <f t="shared" si="209"/>
        <v>PM10</v>
      </c>
      <c r="U1299">
        <v>24.02</v>
      </c>
      <c r="V1299">
        <v>78.64</v>
      </c>
    </row>
    <row r="1300" spans="1:22" x14ac:dyDescent="0.3">
      <c r="A1300" s="2" t="s">
        <v>15</v>
      </c>
      <c r="B1300">
        <v>560026</v>
      </c>
      <c r="C1300" s="3">
        <v>44801</v>
      </c>
      <c r="D1300">
        <v>25.61</v>
      </c>
      <c r="E1300">
        <v>50.16</v>
      </c>
      <c r="F1300">
        <v>14.76</v>
      </c>
      <c r="G1300">
        <v>22.1</v>
      </c>
      <c r="H1300">
        <v>4.6399999999999997</v>
      </c>
      <c r="I1300">
        <v>0.74</v>
      </c>
      <c r="J1300">
        <v>20.07</v>
      </c>
      <c r="K1300">
        <f t="shared" si="200"/>
        <v>42.68333333333333</v>
      </c>
      <c r="L1300">
        <f t="shared" si="201"/>
        <v>50.16</v>
      </c>
      <c r="M1300">
        <f t="shared" si="202"/>
        <v>18.45</v>
      </c>
      <c r="N1300">
        <f t="shared" si="203"/>
        <v>5.5250000000000004</v>
      </c>
      <c r="O1300">
        <f t="shared" si="204"/>
        <v>5.7999999999999989</v>
      </c>
      <c r="P1300">
        <f t="shared" si="205"/>
        <v>8.4090909090909083</v>
      </c>
      <c r="Q1300">
        <f t="shared" si="206"/>
        <v>18.583333333333332</v>
      </c>
      <c r="R1300">
        <f t="shared" si="207"/>
        <v>50.16</v>
      </c>
      <c r="S1300" t="str">
        <f t="shared" si="208"/>
        <v>Satisfactory</v>
      </c>
      <c r="T1300" t="str">
        <f t="shared" si="209"/>
        <v>PM10</v>
      </c>
      <c r="U1300">
        <v>24.6</v>
      </c>
      <c r="V1300">
        <v>74.08</v>
      </c>
    </row>
    <row r="1301" spans="1:22" x14ac:dyDescent="0.3">
      <c r="A1301" s="2" t="s">
        <v>15</v>
      </c>
      <c r="B1301">
        <v>560026</v>
      </c>
      <c r="C1301" s="3">
        <v>44802</v>
      </c>
      <c r="D1301">
        <v>41.41</v>
      </c>
      <c r="E1301">
        <v>63.89</v>
      </c>
      <c r="F1301">
        <v>17.02</v>
      </c>
      <c r="G1301">
        <v>27.38</v>
      </c>
      <c r="H1301">
        <v>5.16</v>
      </c>
      <c r="I1301">
        <v>0.85</v>
      </c>
      <c r="J1301">
        <v>19.440000000000001</v>
      </c>
      <c r="K1301">
        <f t="shared" si="200"/>
        <v>69.016666666666652</v>
      </c>
      <c r="L1301">
        <f t="shared" si="201"/>
        <v>63.89</v>
      </c>
      <c r="M1301">
        <f t="shared" si="202"/>
        <v>21.274999999999999</v>
      </c>
      <c r="N1301">
        <f t="shared" si="203"/>
        <v>6.8449999999999998</v>
      </c>
      <c r="O1301">
        <f t="shared" si="204"/>
        <v>6.45</v>
      </c>
      <c r="P1301">
        <f t="shared" si="205"/>
        <v>9.6590909090909083</v>
      </c>
      <c r="Q1301">
        <f t="shared" si="206"/>
        <v>18</v>
      </c>
      <c r="R1301">
        <f t="shared" si="207"/>
        <v>69.016666666666652</v>
      </c>
      <c r="S1301" t="str">
        <f t="shared" si="208"/>
        <v>Satisfactory</v>
      </c>
      <c r="T1301" t="str">
        <f t="shared" si="209"/>
        <v>PM2.5</v>
      </c>
      <c r="U1301">
        <v>24.13</v>
      </c>
      <c r="V1301">
        <v>81.489999999999995</v>
      </c>
    </row>
    <row r="1302" spans="1:22" x14ac:dyDescent="0.3">
      <c r="A1302" s="2" t="s">
        <v>15</v>
      </c>
      <c r="B1302">
        <v>560026</v>
      </c>
      <c r="C1302" s="3">
        <v>44803</v>
      </c>
      <c r="D1302">
        <v>63.7</v>
      </c>
      <c r="E1302">
        <v>97.5</v>
      </c>
      <c r="F1302">
        <v>20.239999999999998</v>
      </c>
      <c r="G1302">
        <v>39.83</v>
      </c>
      <c r="H1302">
        <v>4.55</v>
      </c>
      <c r="I1302">
        <v>1.17</v>
      </c>
      <c r="J1302">
        <v>19.05</v>
      </c>
      <c r="K1302">
        <f t="shared" si="200"/>
        <v>112.33333333333334</v>
      </c>
      <c r="L1302">
        <f t="shared" si="201"/>
        <v>97.5</v>
      </c>
      <c r="M1302">
        <f t="shared" si="202"/>
        <v>25.299999999999997</v>
      </c>
      <c r="N1302">
        <f t="shared" si="203"/>
        <v>9.9574999999999996</v>
      </c>
      <c r="O1302">
        <f t="shared" si="204"/>
        <v>5.6875</v>
      </c>
      <c r="P1302">
        <f t="shared" si="205"/>
        <v>13.295454545454545</v>
      </c>
      <c r="Q1302">
        <f t="shared" si="206"/>
        <v>17.638888888888889</v>
      </c>
      <c r="R1302">
        <f t="shared" si="207"/>
        <v>112.33333333333334</v>
      </c>
      <c r="S1302" t="str">
        <f t="shared" si="208"/>
        <v>Moderate</v>
      </c>
      <c r="T1302" t="str">
        <f t="shared" si="209"/>
        <v>PM2.5</v>
      </c>
      <c r="U1302">
        <v>26.1</v>
      </c>
      <c r="V1302">
        <v>71.55</v>
      </c>
    </row>
    <row r="1303" spans="1:22" x14ac:dyDescent="0.3">
      <c r="A1303" s="2" t="s">
        <v>15</v>
      </c>
      <c r="B1303">
        <v>560026</v>
      </c>
      <c r="C1303" s="3">
        <v>44804</v>
      </c>
      <c r="D1303">
        <v>57.94</v>
      </c>
      <c r="E1303">
        <v>80.900000000000006</v>
      </c>
      <c r="F1303">
        <v>14.36</v>
      </c>
      <c r="G1303">
        <v>27.47</v>
      </c>
      <c r="H1303">
        <v>4.17</v>
      </c>
      <c r="I1303">
        <v>0.88</v>
      </c>
      <c r="J1303">
        <v>18.79</v>
      </c>
      <c r="K1303">
        <f t="shared" si="200"/>
        <v>96.566666666666663</v>
      </c>
      <c r="L1303">
        <f t="shared" si="201"/>
        <v>80.900000000000006</v>
      </c>
      <c r="M1303">
        <f t="shared" si="202"/>
        <v>17.95</v>
      </c>
      <c r="N1303">
        <f t="shared" si="203"/>
        <v>6.8674999999999997</v>
      </c>
      <c r="O1303">
        <f t="shared" si="204"/>
        <v>5.2125000000000004</v>
      </c>
      <c r="P1303">
        <f t="shared" si="205"/>
        <v>10</v>
      </c>
      <c r="Q1303">
        <f t="shared" si="206"/>
        <v>17.398148148148149</v>
      </c>
      <c r="R1303">
        <f t="shared" si="207"/>
        <v>96.566666666666663</v>
      </c>
      <c r="S1303" t="str">
        <f t="shared" si="208"/>
        <v>Satisfactory</v>
      </c>
      <c r="T1303" t="str">
        <f t="shared" si="209"/>
        <v>PM2.5</v>
      </c>
      <c r="U1303">
        <v>25.49</v>
      </c>
      <c r="V1303">
        <v>73.67</v>
      </c>
    </row>
    <row r="1304" spans="1:22" x14ac:dyDescent="0.3">
      <c r="A1304" s="2" t="s">
        <v>15</v>
      </c>
      <c r="B1304">
        <v>560026</v>
      </c>
      <c r="C1304" s="3">
        <v>44805</v>
      </c>
      <c r="D1304">
        <v>43.83</v>
      </c>
      <c r="E1304">
        <v>84.81</v>
      </c>
      <c r="F1304">
        <v>16.43</v>
      </c>
      <c r="G1304">
        <v>26.41</v>
      </c>
      <c r="H1304">
        <v>4.91</v>
      </c>
      <c r="I1304">
        <v>0.84</v>
      </c>
      <c r="J1304">
        <v>16.72</v>
      </c>
      <c r="K1304">
        <f t="shared" si="200"/>
        <v>73.05</v>
      </c>
      <c r="L1304">
        <f t="shared" si="201"/>
        <v>84.81</v>
      </c>
      <c r="M1304">
        <f t="shared" si="202"/>
        <v>20.537500000000001</v>
      </c>
      <c r="N1304">
        <f t="shared" si="203"/>
        <v>6.6025</v>
      </c>
      <c r="O1304">
        <f t="shared" si="204"/>
        <v>6.1375000000000002</v>
      </c>
      <c r="P1304">
        <f t="shared" si="205"/>
        <v>9.545454545454545</v>
      </c>
      <c r="Q1304">
        <f t="shared" si="206"/>
        <v>15.481481481481481</v>
      </c>
      <c r="R1304">
        <f t="shared" si="207"/>
        <v>84.81</v>
      </c>
      <c r="S1304" t="str">
        <f t="shared" si="208"/>
        <v>Satisfactory</v>
      </c>
      <c r="T1304" t="str">
        <f t="shared" si="209"/>
        <v>PM10</v>
      </c>
      <c r="U1304">
        <v>24.24</v>
      </c>
      <c r="V1304">
        <v>79.510000000000005</v>
      </c>
    </row>
    <row r="1305" spans="1:22" x14ac:dyDescent="0.3">
      <c r="A1305" s="2" t="s">
        <v>15</v>
      </c>
      <c r="B1305">
        <v>560026</v>
      </c>
      <c r="C1305" s="3">
        <v>44806</v>
      </c>
      <c r="D1305">
        <v>27.64</v>
      </c>
      <c r="E1305">
        <v>79.260000000000005</v>
      </c>
      <c r="F1305">
        <v>13.56</v>
      </c>
      <c r="G1305">
        <v>25.99</v>
      </c>
      <c r="H1305">
        <v>6.26</v>
      </c>
      <c r="I1305">
        <v>0.88</v>
      </c>
      <c r="J1305">
        <v>19.63</v>
      </c>
      <c r="K1305">
        <f t="shared" si="200"/>
        <v>46.06666666666667</v>
      </c>
      <c r="L1305">
        <f t="shared" si="201"/>
        <v>79.260000000000005</v>
      </c>
      <c r="M1305">
        <f t="shared" si="202"/>
        <v>16.95</v>
      </c>
      <c r="N1305">
        <f t="shared" si="203"/>
        <v>6.4974999999999996</v>
      </c>
      <c r="O1305">
        <f t="shared" si="204"/>
        <v>7.8250000000000002</v>
      </c>
      <c r="P1305">
        <f t="shared" si="205"/>
        <v>10</v>
      </c>
      <c r="Q1305">
        <f t="shared" si="206"/>
        <v>18.175925925925924</v>
      </c>
      <c r="R1305">
        <f t="shared" si="207"/>
        <v>79.260000000000005</v>
      </c>
      <c r="S1305" t="str">
        <f t="shared" si="208"/>
        <v>Satisfactory</v>
      </c>
      <c r="T1305" t="str">
        <f t="shared" si="209"/>
        <v>PM10</v>
      </c>
      <c r="U1305">
        <v>25.32</v>
      </c>
      <c r="V1305">
        <v>72.099999999999994</v>
      </c>
    </row>
    <row r="1306" spans="1:22" x14ac:dyDescent="0.3">
      <c r="A1306" s="2" t="s">
        <v>15</v>
      </c>
      <c r="B1306">
        <v>560026</v>
      </c>
      <c r="C1306" s="3">
        <v>44807</v>
      </c>
      <c r="D1306">
        <v>32.869999999999997</v>
      </c>
      <c r="E1306">
        <v>75.349999999999994</v>
      </c>
      <c r="F1306">
        <v>15.38</v>
      </c>
      <c r="G1306">
        <v>20.75</v>
      </c>
      <c r="H1306">
        <v>4.84</v>
      </c>
      <c r="I1306">
        <v>0.75</v>
      </c>
      <c r="J1306">
        <v>32.53</v>
      </c>
      <c r="K1306">
        <f t="shared" si="200"/>
        <v>54.783333333333331</v>
      </c>
      <c r="L1306">
        <f t="shared" si="201"/>
        <v>75.349999999999994</v>
      </c>
      <c r="M1306">
        <f t="shared" si="202"/>
        <v>19.225000000000001</v>
      </c>
      <c r="N1306">
        <f t="shared" si="203"/>
        <v>5.1875</v>
      </c>
      <c r="O1306">
        <f t="shared" si="204"/>
        <v>6.05</v>
      </c>
      <c r="P1306">
        <f t="shared" si="205"/>
        <v>8.5227272727272734</v>
      </c>
      <c r="Q1306">
        <f t="shared" si="206"/>
        <v>30.12037037037037</v>
      </c>
      <c r="R1306">
        <f t="shared" si="207"/>
        <v>75.349999999999994</v>
      </c>
      <c r="S1306" t="str">
        <f t="shared" si="208"/>
        <v>Satisfactory</v>
      </c>
      <c r="T1306" t="str">
        <f t="shared" si="209"/>
        <v>PM10</v>
      </c>
      <c r="U1306">
        <v>26.52</v>
      </c>
      <c r="V1306">
        <v>70.66</v>
      </c>
    </row>
    <row r="1307" spans="1:22" x14ac:dyDescent="0.3">
      <c r="A1307" s="2" t="s">
        <v>15</v>
      </c>
      <c r="B1307">
        <v>560026</v>
      </c>
      <c r="C1307" s="3">
        <v>44808</v>
      </c>
      <c r="D1307">
        <v>27.17</v>
      </c>
      <c r="E1307">
        <v>61.91</v>
      </c>
      <c r="F1307">
        <v>15.68</v>
      </c>
      <c r="G1307">
        <v>20.5</v>
      </c>
      <c r="H1307">
        <v>5.0199999999999996</v>
      </c>
      <c r="I1307">
        <v>0.79</v>
      </c>
      <c r="J1307">
        <v>24.53</v>
      </c>
      <c r="K1307">
        <f t="shared" si="200"/>
        <v>45.283333333333331</v>
      </c>
      <c r="L1307">
        <f t="shared" si="201"/>
        <v>61.91</v>
      </c>
      <c r="M1307">
        <f t="shared" si="202"/>
        <v>19.600000000000001</v>
      </c>
      <c r="N1307">
        <f t="shared" si="203"/>
        <v>5.125</v>
      </c>
      <c r="O1307">
        <f t="shared" si="204"/>
        <v>6.2749999999999995</v>
      </c>
      <c r="P1307">
        <f t="shared" si="205"/>
        <v>8.9772727272727266</v>
      </c>
      <c r="Q1307">
        <f t="shared" si="206"/>
        <v>22.712962962962965</v>
      </c>
      <c r="R1307">
        <f t="shared" si="207"/>
        <v>61.91</v>
      </c>
      <c r="S1307" t="str">
        <f t="shared" si="208"/>
        <v>Satisfactory</v>
      </c>
      <c r="T1307" t="str">
        <f t="shared" si="209"/>
        <v>PM10</v>
      </c>
      <c r="U1307">
        <v>25.85</v>
      </c>
      <c r="V1307">
        <v>74.77</v>
      </c>
    </row>
    <row r="1308" spans="1:22" x14ac:dyDescent="0.3">
      <c r="A1308" s="2" t="s">
        <v>15</v>
      </c>
      <c r="B1308">
        <v>560026</v>
      </c>
      <c r="C1308" s="3">
        <v>44809</v>
      </c>
      <c r="D1308">
        <v>23.42</v>
      </c>
      <c r="E1308">
        <v>50.65</v>
      </c>
      <c r="F1308">
        <v>18.690000000000001</v>
      </c>
      <c r="G1308">
        <v>25.68</v>
      </c>
      <c r="H1308">
        <v>5.13</v>
      </c>
      <c r="I1308">
        <v>0.89</v>
      </c>
      <c r="J1308">
        <v>34.36</v>
      </c>
      <c r="K1308">
        <f t="shared" si="200"/>
        <v>39.033333333333331</v>
      </c>
      <c r="L1308">
        <f t="shared" si="201"/>
        <v>50.65</v>
      </c>
      <c r="M1308">
        <f t="shared" si="202"/>
        <v>23.362500000000004</v>
      </c>
      <c r="N1308">
        <f t="shared" si="203"/>
        <v>6.42</v>
      </c>
      <c r="O1308">
        <f t="shared" si="204"/>
        <v>6.4124999999999996</v>
      </c>
      <c r="P1308">
        <f t="shared" si="205"/>
        <v>10.113636363636363</v>
      </c>
      <c r="Q1308">
        <f t="shared" si="206"/>
        <v>31.814814814814813</v>
      </c>
      <c r="R1308">
        <f t="shared" si="207"/>
        <v>50.65</v>
      </c>
      <c r="S1308" t="str">
        <f t="shared" si="208"/>
        <v>Satisfactory</v>
      </c>
      <c r="T1308" t="str">
        <f t="shared" si="209"/>
        <v>PM10</v>
      </c>
      <c r="U1308">
        <v>25.33</v>
      </c>
      <c r="V1308">
        <v>75</v>
      </c>
    </row>
    <row r="1309" spans="1:22" x14ac:dyDescent="0.3">
      <c r="A1309" s="2" t="s">
        <v>15</v>
      </c>
      <c r="B1309">
        <v>560026</v>
      </c>
      <c r="C1309" s="3">
        <v>44810</v>
      </c>
      <c r="D1309">
        <v>23.42</v>
      </c>
      <c r="E1309">
        <v>50.61</v>
      </c>
      <c r="F1309">
        <v>14.73</v>
      </c>
      <c r="G1309">
        <v>18.98</v>
      </c>
      <c r="H1309">
        <v>5.86</v>
      </c>
      <c r="I1309">
        <v>0.64</v>
      </c>
      <c r="J1309">
        <v>22.43</v>
      </c>
      <c r="K1309">
        <f t="shared" si="200"/>
        <v>39.033333333333331</v>
      </c>
      <c r="L1309">
        <f t="shared" si="201"/>
        <v>50.61</v>
      </c>
      <c r="M1309">
        <f t="shared" si="202"/>
        <v>18.412500000000001</v>
      </c>
      <c r="N1309">
        <f t="shared" si="203"/>
        <v>4.7450000000000001</v>
      </c>
      <c r="O1309">
        <f t="shared" si="204"/>
        <v>7.3250000000000002</v>
      </c>
      <c r="P1309">
        <f t="shared" si="205"/>
        <v>7.2727272727272725</v>
      </c>
      <c r="Q1309">
        <f t="shared" si="206"/>
        <v>20.768518518518519</v>
      </c>
      <c r="R1309">
        <f t="shared" si="207"/>
        <v>50.61</v>
      </c>
      <c r="S1309" t="str">
        <f t="shared" si="208"/>
        <v>Satisfactory</v>
      </c>
      <c r="T1309" t="str">
        <f t="shared" si="209"/>
        <v>PM10</v>
      </c>
      <c r="U1309">
        <v>24.87</v>
      </c>
      <c r="V1309">
        <v>77.48</v>
      </c>
    </row>
    <row r="1310" spans="1:22" x14ac:dyDescent="0.3">
      <c r="A1310" s="2" t="s">
        <v>15</v>
      </c>
      <c r="B1310">
        <v>560026</v>
      </c>
      <c r="C1310" s="3">
        <v>44811</v>
      </c>
      <c r="D1310">
        <v>18.75</v>
      </c>
      <c r="E1310">
        <v>34.96</v>
      </c>
      <c r="F1310">
        <v>11.81</v>
      </c>
      <c r="G1310">
        <v>16.73</v>
      </c>
      <c r="H1310">
        <v>5.31</v>
      </c>
      <c r="I1310">
        <v>0.52</v>
      </c>
      <c r="J1310">
        <v>14.24</v>
      </c>
      <c r="K1310">
        <f t="shared" si="200"/>
        <v>31.25</v>
      </c>
      <c r="L1310">
        <f t="shared" si="201"/>
        <v>34.96</v>
      </c>
      <c r="M1310">
        <f t="shared" si="202"/>
        <v>14.762499999999999</v>
      </c>
      <c r="N1310">
        <f t="shared" si="203"/>
        <v>4.1825000000000001</v>
      </c>
      <c r="O1310">
        <f t="shared" si="204"/>
        <v>6.6375000000000002</v>
      </c>
      <c r="P1310">
        <f t="shared" si="205"/>
        <v>5.9090909090909092</v>
      </c>
      <c r="Q1310">
        <f t="shared" si="206"/>
        <v>13.185185185185185</v>
      </c>
      <c r="R1310">
        <f t="shared" si="207"/>
        <v>34.96</v>
      </c>
      <c r="S1310" t="str">
        <f t="shared" si="208"/>
        <v>Good</v>
      </c>
      <c r="T1310" t="str">
        <f t="shared" si="209"/>
        <v>PM10</v>
      </c>
      <c r="U1310">
        <v>23.67</v>
      </c>
      <c r="V1310">
        <v>81.150000000000006</v>
      </c>
    </row>
    <row r="1311" spans="1:22" x14ac:dyDescent="0.3">
      <c r="A1311" s="2" t="s">
        <v>15</v>
      </c>
      <c r="B1311">
        <v>560026</v>
      </c>
      <c r="C1311" s="3">
        <v>44812</v>
      </c>
      <c r="D1311">
        <v>19.260000000000002</v>
      </c>
      <c r="E1311">
        <v>36.520000000000003</v>
      </c>
      <c r="F1311">
        <v>11.55</v>
      </c>
      <c r="G1311">
        <v>18.600000000000001</v>
      </c>
      <c r="H1311">
        <v>5.81</v>
      </c>
      <c r="I1311">
        <v>0.57999999999999996</v>
      </c>
      <c r="J1311">
        <v>10.77</v>
      </c>
      <c r="K1311">
        <f t="shared" si="200"/>
        <v>32.1</v>
      </c>
      <c r="L1311">
        <f t="shared" si="201"/>
        <v>36.520000000000003</v>
      </c>
      <c r="M1311">
        <f t="shared" si="202"/>
        <v>14.4375</v>
      </c>
      <c r="N1311">
        <f t="shared" si="203"/>
        <v>4.6500000000000004</v>
      </c>
      <c r="O1311">
        <f t="shared" si="204"/>
        <v>7.2625000000000002</v>
      </c>
      <c r="P1311">
        <f t="shared" si="205"/>
        <v>6.5909090909090899</v>
      </c>
      <c r="Q1311">
        <f t="shared" si="206"/>
        <v>9.9722222222222214</v>
      </c>
      <c r="R1311">
        <f t="shared" si="207"/>
        <v>36.520000000000003</v>
      </c>
      <c r="S1311" t="str">
        <f t="shared" si="208"/>
        <v>Good</v>
      </c>
      <c r="T1311" t="str">
        <f t="shared" si="209"/>
        <v>PM10</v>
      </c>
      <c r="U1311">
        <v>23.02</v>
      </c>
      <c r="V1311">
        <v>82.46</v>
      </c>
    </row>
    <row r="1312" spans="1:22" x14ac:dyDescent="0.3">
      <c r="A1312" s="2" t="s">
        <v>15</v>
      </c>
      <c r="B1312">
        <v>560026</v>
      </c>
      <c r="C1312" s="3">
        <v>44813</v>
      </c>
      <c r="D1312">
        <v>19.79</v>
      </c>
      <c r="E1312">
        <v>38.04</v>
      </c>
      <c r="F1312">
        <v>10.029999999999999</v>
      </c>
      <c r="G1312">
        <v>16.88</v>
      </c>
      <c r="H1312">
        <v>5.81</v>
      </c>
      <c r="I1312">
        <v>0.51</v>
      </c>
      <c r="J1312">
        <v>13.27</v>
      </c>
      <c r="K1312">
        <f t="shared" ref="K1312:K1368" si="210">IF(ISTEXT(D1312),0,IF(D1312&lt;=30,D1312*50/30,IF(AND(D1312&gt;30,D1312&lt;=60),50+(D1312-30)*50/30,IF(AND(D1312&gt;60,D1312&lt;=90),100+(D1312-60)*100/30,IF(AND(D1312&gt;90,D1312&lt;=120),200+(D1312-90)*(100/30),IF(AND(D1312&gt;120,D1312&lt;=250),300+(D1312-120)*(100/130),IF(D1312&gt;250,400+(D1312-250)*(100/130))))))))</f>
        <v>32.983333333333334</v>
      </c>
      <c r="L1312">
        <f t="shared" ref="L1312:L1368" si="211">IF(ISTEXT(E1312),0,IF(E1312&lt;=50,E1312,IF(AND(E1312&gt;50,E1312&lt;=100),E1312,IF(AND(E1312&gt;100,E1312&lt;=250),100+(E1312-100)*100/150,IF(AND(E1312&gt;250,E1312&lt;=350),200+(E1312-250),IF(AND(E1312&gt;350,E1312&lt;=430),300+(E1312-350)*(100/80),IF(E1312&gt;430,400+(E1312-430)*(100/80))))))))</f>
        <v>38.04</v>
      </c>
      <c r="M1312">
        <f t="shared" ref="M1312:M1368" si="212">IF(ISTEXT(F1312),0,IF(F1312&lt;=40,F1312*50/40,IF(AND(F1312&gt;40,F1312&lt;=80),50+(F1312-40)*50/40,IF(AND(F1312&gt;80,F1312&lt;=180),100+(F1312-80)*100/100,IF(AND(F1312&gt;180,F1312&lt;=280),200+(F1312-180)*(100/100),IF(AND(F1312&gt;280,F1312&lt;=400),300+(F1312-280)*(100/120),IF(F1312&gt;400,400+(F1312-400)*(100/120))))))))</f>
        <v>12.537499999999998</v>
      </c>
      <c r="N1312">
        <f t="shared" ref="N1312:N1368" si="213">IF(ISTEXT(G1312),0,IF(G1312&lt;=200,G1312*50/200,IF(AND(G1312&gt;200,G1312&lt;=400),50+(G1312-200)*50/200,IF(AND(G1312&gt;400,G1312&lt;=800),100+(G1312-400)*100/400,IF(AND(G1312&gt;800,G1312&lt;=1200),200+(G1312-800)*(100/400),IF(AND(G1312&gt;1200,G1312&lt;=1800),300+(G1312-1200)*(100/600),IF(G1312&gt;1800,400+(G1312-1800)*(100/600))))))))</f>
        <v>4.22</v>
      </c>
      <c r="O1312">
        <f t="shared" ref="O1312:O1368" si="214">IF(ISTEXT(H1312),0,IF(H1312&lt;=40,H1312*50/40,IF(AND(H1312&gt;40,H1312&lt;=80),50+(H1312-40)*50/40,IF(AND(H1312&gt;80,H1312&lt;=380),100+(H1312-80)*100/300,IF(AND(H1312&gt;380,H1312&lt;=800),200+(H1312-380)*(100/420),IF(AND(H1312&gt;800,H1312&lt;=1600),300+(H1312-800)*(100/800),IF(H1312&gt;1600,400+(H1312-1600)*(100/800))))))))</f>
        <v>7.2625000000000002</v>
      </c>
      <c r="P1312">
        <f t="shared" ref="P1312:P1368" si="215">IF(I1312&lt;=4.4,(50-0)/(4.4-0)*(I1312-0)+0,
IF(I1312&lt;=9.4,(100-51)/(9.4-4.5)*(I1312-4.5)+51,
IF(I1312&lt;=12.4,(150-101)/(12.4-9.5)*(I1312-9.5)+101,
IF(I1312&lt;=15.4,(200-151)/(15.4-12.5)*(I1312-12.5)+151,
IF(I1312&lt;=30.4,(300-201)/(30.4-15.5)*(I1312-15.5)+201,
(500-301)/(50.4-30.5)*(I1312-30.5)+301)))))</f>
        <v>5.795454545454545</v>
      </c>
      <c r="Q1312">
        <f t="shared" ref="Q1312:Q1368" si="216">IF(J1312&lt;=54,(50-0)/(54-0)*(J1312-0)+0,
IF(J1312&lt;=70,(100-51)/(70-55)*(J1312-55)+51,
IF(J1312&lt;=85,(150-101)/(85-71)*(J1312-71)+101,
IF(J1312&lt;=105,(200-151)/(105-86)*(J1312-86)+151,
IF(J1312&lt;=200,(300-201)/(200-106)*(J1312-106)+201,
(500-301)/(300-201)*(J1312-201)+301)))))</f>
        <v>12.287037037037036</v>
      </c>
      <c r="R1312">
        <f t="shared" ref="R1312:R1368" si="217">MAX(K1312:Q1312)</f>
        <v>38.04</v>
      </c>
      <c r="S1312" t="str">
        <f t="shared" ref="S1312:S1368" si="218">IF(R1312&lt;=50,"Good",
IF(R1312&lt;=100,"Satisfactory",
IF(R1312&lt;=200,"Moderate",
IF(R1312&lt;=300,"Poor",
IF(R1312&lt;=400,"Very Poor",
"Severe")))))</f>
        <v>Good</v>
      </c>
      <c r="T1312" t="str">
        <f t="shared" ref="T1312:T1368" si="219">IF(MAX(K1312:Q1312)=K1312,"PM2.5",
IF(MAX(K1312:Q1312)=L1312,"PM10",
IF(MAX(K1312:Q1312)=M1312,"NO2",
IF(MAX(K1312:Q1312)=N1312,"NH3",
IF(MAX(K1312:Q1312)=O1312,"SO2",
IF(MAX(K1312:Q1312)=P1312,"CO",
IF(MAX(K1312:Q1312)=Q1312,"OZONE","")))))))</f>
        <v>PM10</v>
      </c>
      <c r="U1312">
        <v>24.24</v>
      </c>
      <c r="V1312">
        <v>77.05</v>
      </c>
    </row>
    <row r="1313" spans="1:22" x14ac:dyDescent="0.3">
      <c r="A1313" s="2" t="s">
        <v>15</v>
      </c>
      <c r="B1313">
        <v>560026</v>
      </c>
      <c r="C1313" s="3">
        <v>44814</v>
      </c>
      <c r="D1313">
        <v>46.17</v>
      </c>
      <c r="E1313">
        <v>113.5</v>
      </c>
      <c r="F1313">
        <v>10.050000000000001</v>
      </c>
      <c r="G1313">
        <v>19.73</v>
      </c>
      <c r="H1313">
        <v>6.25</v>
      </c>
      <c r="I1313">
        <v>0.72</v>
      </c>
      <c r="J1313">
        <v>10.74</v>
      </c>
      <c r="K1313">
        <f t="shared" si="210"/>
        <v>76.95</v>
      </c>
      <c r="L1313">
        <f t="shared" si="211"/>
        <v>109</v>
      </c>
      <c r="M1313">
        <f t="shared" si="212"/>
        <v>12.562500000000002</v>
      </c>
      <c r="N1313">
        <f t="shared" si="213"/>
        <v>4.9325000000000001</v>
      </c>
      <c r="O1313">
        <f t="shared" si="214"/>
        <v>7.8125</v>
      </c>
      <c r="P1313">
        <f t="shared" si="215"/>
        <v>8.1818181818181817</v>
      </c>
      <c r="Q1313">
        <f t="shared" si="216"/>
        <v>9.9444444444444446</v>
      </c>
      <c r="R1313">
        <f t="shared" si="217"/>
        <v>109</v>
      </c>
      <c r="S1313" t="str">
        <f t="shared" si="218"/>
        <v>Moderate</v>
      </c>
      <c r="T1313" t="str">
        <f t="shared" si="219"/>
        <v>PM10</v>
      </c>
      <c r="U1313">
        <v>23.79</v>
      </c>
      <c r="V1313">
        <v>78.53</v>
      </c>
    </row>
    <row r="1314" spans="1:22" x14ac:dyDescent="0.3">
      <c r="A1314" s="2" t="s">
        <v>15</v>
      </c>
      <c r="B1314">
        <v>560026</v>
      </c>
      <c r="C1314" s="3">
        <v>44815</v>
      </c>
      <c r="D1314">
        <v>22.04</v>
      </c>
      <c r="E1314">
        <v>44.29</v>
      </c>
      <c r="F1314">
        <v>7.91</v>
      </c>
      <c r="G1314">
        <v>13.55</v>
      </c>
      <c r="H1314">
        <v>5.67</v>
      </c>
      <c r="I1314">
        <v>0.39</v>
      </c>
      <c r="J1314">
        <v>13.95</v>
      </c>
      <c r="K1314">
        <f t="shared" si="210"/>
        <v>36.733333333333334</v>
      </c>
      <c r="L1314">
        <f t="shared" si="211"/>
        <v>44.29</v>
      </c>
      <c r="M1314">
        <f t="shared" si="212"/>
        <v>9.8874999999999993</v>
      </c>
      <c r="N1314">
        <f t="shared" si="213"/>
        <v>3.3875000000000002</v>
      </c>
      <c r="O1314">
        <f t="shared" si="214"/>
        <v>7.0875000000000004</v>
      </c>
      <c r="P1314">
        <f t="shared" si="215"/>
        <v>4.4318181818181817</v>
      </c>
      <c r="Q1314">
        <f t="shared" si="216"/>
        <v>12.916666666666666</v>
      </c>
      <c r="R1314">
        <f t="shared" si="217"/>
        <v>44.29</v>
      </c>
      <c r="S1314" t="str">
        <f t="shared" si="218"/>
        <v>Good</v>
      </c>
      <c r="T1314" t="str">
        <f t="shared" si="219"/>
        <v>PM10</v>
      </c>
      <c r="U1314">
        <v>23.66</v>
      </c>
      <c r="V1314">
        <v>76.599999999999994</v>
      </c>
    </row>
    <row r="1315" spans="1:22" x14ac:dyDescent="0.3">
      <c r="A1315" s="2" t="s">
        <v>15</v>
      </c>
      <c r="B1315">
        <v>560026</v>
      </c>
      <c r="C1315" s="3">
        <v>44816</v>
      </c>
      <c r="D1315">
        <v>27.05</v>
      </c>
      <c r="E1315">
        <v>58.7</v>
      </c>
      <c r="F1315">
        <v>9.34</v>
      </c>
      <c r="G1315">
        <v>15.61</v>
      </c>
      <c r="H1315">
        <v>5.65</v>
      </c>
      <c r="I1315">
        <v>0.47</v>
      </c>
      <c r="J1315">
        <v>15.43</v>
      </c>
      <c r="K1315">
        <f t="shared" si="210"/>
        <v>45.083333333333336</v>
      </c>
      <c r="L1315">
        <f t="shared" si="211"/>
        <v>58.7</v>
      </c>
      <c r="M1315">
        <f t="shared" si="212"/>
        <v>11.675000000000001</v>
      </c>
      <c r="N1315">
        <f t="shared" si="213"/>
        <v>3.9024999999999999</v>
      </c>
      <c r="O1315">
        <f t="shared" si="214"/>
        <v>7.0625</v>
      </c>
      <c r="P1315">
        <f t="shared" si="215"/>
        <v>5.3409090909090908</v>
      </c>
      <c r="Q1315">
        <f t="shared" si="216"/>
        <v>14.287037037037036</v>
      </c>
      <c r="R1315">
        <f t="shared" si="217"/>
        <v>58.7</v>
      </c>
      <c r="S1315" t="str">
        <f t="shared" si="218"/>
        <v>Satisfactory</v>
      </c>
      <c r="T1315" t="str">
        <f t="shared" si="219"/>
        <v>PM10</v>
      </c>
      <c r="U1315">
        <v>23.77</v>
      </c>
      <c r="V1315">
        <v>74.069999999999993</v>
      </c>
    </row>
    <row r="1316" spans="1:22" x14ac:dyDescent="0.3">
      <c r="A1316" s="2" t="s">
        <v>15</v>
      </c>
      <c r="B1316">
        <v>560026</v>
      </c>
      <c r="C1316" s="3">
        <v>44817</v>
      </c>
      <c r="D1316">
        <v>30.27</v>
      </c>
      <c r="E1316">
        <v>68.010000000000005</v>
      </c>
      <c r="F1316">
        <v>10.84</v>
      </c>
      <c r="G1316">
        <v>19.3</v>
      </c>
      <c r="H1316">
        <v>5.43</v>
      </c>
      <c r="I1316">
        <v>0.55000000000000004</v>
      </c>
      <c r="J1316">
        <v>13.17</v>
      </c>
      <c r="K1316">
        <f t="shared" si="210"/>
        <v>50.45</v>
      </c>
      <c r="L1316">
        <f t="shared" si="211"/>
        <v>68.010000000000005</v>
      </c>
      <c r="M1316">
        <f t="shared" si="212"/>
        <v>13.55</v>
      </c>
      <c r="N1316">
        <f t="shared" si="213"/>
        <v>4.8250000000000002</v>
      </c>
      <c r="O1316">
        <f t="shared" si="214"/>
        <v>6.7874999999999996</v>
      </c>
      <c r="P1316">
        <f t="shared" si="215"/>
        <v>6.25</v>
      </c>
      <c r="Q1316">
        <f t="shared" si="216"/>
        <v>12.194444444444445</v>
      </c>
      <c r="R1316">
        <f t="shared" si="217"/>
        <v>68.010000000000005</v>
      </c>
      <c r="S1316" t="str">
        <f t="shared" si="218"/>
        <v>Satisfactory</v>
      </c>
      <c r="T1316" t="str">
        <f t="shared" si="219"/>
        <v>PM10</v>
      </c>
      <c r="U1316">
        <v>23.3</v>
      </c>
      <c r="V1316">
        <v>79.03</v>
      </c>
    </row>
    <row r="1317" spans="1:22" x14ac:dyDescent="0.3">
      <c r="A1317" s="2" t="s">
        <v>15</v>
      </c>
      <c r="B1317">
        <v>560026</v>
      </c>
      <c r="C1317" s="3">
        <v>44818</v>
      </c>
      <c r="D1317">
        <v>22.74</v>
      </c>
      <c r="E1317">
        <v>46.49</v>
      </c>
      <c r="F1317">
        <v>9.8699999999999992</v>
      </c>
      <c r="G1317">
        <v>16.93</v>
      </c>
      <c r="H1317">
        <v>5.0599999999999996</v>
      </c>
      <c r="I1317">
        <v>0.51</v>
      </c>
      <c r="J1317">
        <v>13.1</v>
      </c>
      <c r="K1317">
        <f t="shared" si="210"/>
        <v>37.9</v>
      </c>
      <c r="L1317">
        <f t="shared" si="211"/>
        <v>46.49</v>
      </c>
      <c r="M1317">
        <f t="shared" si="212"/>
        <v>12.337499999999999</v>
      </c>
      <c r="N1317">
        <f t="shared" si="213"/>
        <v>4.2324999999999999</v>
      </c>
      <c r="O1317">
        <f t="shared" si="214"/>
        <v>6.3249999999999993</v>
      </c>
      <c r="P1317">
        <f t="shared" si="215"/>
        <v>5.795454545454545</v>
      </c>
      <c r="Q1317">
        <f t="shared" si="216"/>
        <v>12.12962962962963</v>
      </c>
      <c r="R1317">
        <f t="shared" si="217"/>
        <v>46.49</v>
      </c>
      <c r="S1317" t="str">
        <f t="shared" si="218"/>
        <v>Good</v>
      </c>
      <c r="T1317" t="str">
        <f t="shared" si="219"/>
        <v>PM10</v>
      </c>
      <c r="U1317">
        <v>24.18</v>
      </c>
      <c r="V1317">
        <v>75.14</v>
      </c>
    </row>
    <row r="1318" spans="1:22" x14ac:dyDescent="0.3">
      <c r="A1318" s="2" t="s">
        <v>15</v>
      </c>
      <c r="B1318">
        <v>560026</v>
      </c>
      <c r="C1318" s="3">
        <v>44820</v>
      </c>
      <c r="D1318">
        <v>29.86</v>
      </c>
      <c r="E1318">
        <v>68.67</v>
      </c>
      <c r="F1318">
        <v>9.7799999999999994</v>
      </c>
      <c r="G1318">
        <v>18.98</v>
      </c>
      <c r="H1318">
        <v>5.51</v>
      </c>
      <c r="I1318">
        <v>0.57999999999999996</v>
      </c>
      <c r="J1318">
        <v>13.85</v>
      </c>
      <c r="K1318">
        <f t="shared" si="210"/>
        <v>49.766666666666666</v>
      </c>
      <c r="L1318">
        <f t="shared" si="211"/>
        <v>68.67</v>
      </c>
      <c r="M1318">
        <f t="shared" si="212"/>
        <v>12.224999999999998</v>
      </c>
      <c r="N1318">
        <f t="shared" si="213"/>
        <v>4.7450000000000001</v>
      </c>
      <c r="O1318">
        <f t="shared" si="214"/>
        <v>6.8875000000000002</v>
      </c>
      <c r="P1318">
        <f t="shared" si="215"/>
        <v>6.5909090909090899</v>
      </c>
      <c r="Q1318">
        <f t="shared" si="216"/>
        <v>12.824074074074074</v>
      </c>
      <c r="R1318">
        <f t="shared" si="217"/>
        <v>68.67</v>
      </c>
      <c r="S1318" t="str">
        <f t="shared" si="218"/>
        <v>Satisfactory</v>
      </c>
      <c r="T1318" t="str">
        <f t="shared" si="219"/>
        <v>PM10</v>
      </c>
      <c r="U1318">
        <v>24.3</v>
      </c>
      <c r="V1318">
        <v>72.14</v>
      </c>
    </row>
    <row r="1319" spans="1:22" x14ac:dyDescent="0.3">
      <c r="A1319" s="2" t="s">
        <v>15</v>
      </c>
      <c r="B1319">
        <v>560026</v>
      </c>
      <c r="C1319" s="3">
        <v>44821</v>
      </c>
      <c r="D1319">
        <v>33.44</v>
      </c>
      <c r="E1319">
        <v>52.7</v>
      </c>
      <c r="F1319">
        <v>10.62</v>
      </c>
      <c r="G1319">
        <v>22.19</v>
      </c>
      <c r="H1319">
        <v>5.19</v>
      </c>
      <c r="I1319">
        <v>0.6</v>
      </c>
      <c r="J1319">
        <v>14.13</v>
      </c>
      <c r="K1319">
        <f t="shared" si="210"/>
        <v>55.733333333333327</v>
      </c>
      <c r="L1319">
        <f t="shared" si="211"/>
        <v>52.7</v>
      </c>
      <c r="M1319">
        <f t="shared" si="212"/>
        <v>13.275</v>
      </c>
      <c r="N1319">
        <f t="shared" si="213"/>
        <v>5.5475000000000003</v>
      </c>
      <c r="O1319">
        <f t="shared" si="214"/>
        <v>6.4874999999999998</v>
      </c>
      <c r="P1319">
        <f t="shared" si="215"/>
        <v>6.8181818181818175</v>
      </c>
      <c r="Q1319">
        <f t="shared" si="216"/>
        <v>13.083333333333334</v>
      </c>
      <c r="R1319">
        <f t="shared" si="217"/>
        <v>55.733333333333327</v>
      </c>
      <c r="S1319" t="str">
        <f t="shared" si="218"/>
        <v>Satisfactory</v>
      </c>
      <c r="T1319" t="str">
        <f t="shared" si="219"/>
        <v>PM2.5</v>
      </c>
      <c r="U1319">
        <v>25.25</v>
      </c>
      <c r="V1319">
        <v>68.81</v>
      </c>
    </row>
    <row r="1320" spans="1:22" x14ac:dyDescent="0.3">
      <c r="A1320" s="2" t="s">
        <v>15</v>
      </c>
      <c r="B1320">
        <v>560026</v>
      </c>
      <c r="C1320" s="3">
        <v>44822</v>
      </c>
      <c r="D1320">
        <v>31.7</v>
      </c>
      <c r="E1320">
        <v>55.9</v>
      </c>
      <c r="F1320">
        <v>9.34</v>
      </c>
      <c r="G1320">
        <v>18.62</v>
      </c>
      <c r="H1320">
        <v>5.18</v>
      </c>
      <c r="I1320">
        <v>0.57999999999999996</v>
      </c>
      <c r="J1320">
        <v>16.45</v>
      </c>
      <c r="K1320">
        <f t="shared" si="210"/>
        <v>52.833333333333336</v>
      </c>
      <c r="L1320">
        <f t="shared" si="211"/>
        <v>55.9</v>
      </c>
      <c r="M1320">
        <f t="shared" si="212"/>
        <v>11.675000000000001</v>
      </c>
      <c r="N1320">
        <f t="shared" si="213"/>
        <v>4.6550000000000002</v>
      </c>
      <c r="O1320">
        <f t="shared" si="214"/>
        <v>6.4749999999999996</v>
      </c>
      <c r="P1320">
        <f t="shared" si="215"/>
        <v>6.5909090909090899</v>
      </c>
      <c r="Q1320">
        <f t="shared" si="216"/>
        <v>15.231481481481481</v>
      </c>
      <c r="R1320">
        <f t="shared" si="217"/>
        <v>55.9</v>
      </c>
      <c r="S1320" t="str">
        <f t="shared" si="218"/>
        <v>Satisfactory</v>
      </c>
      <c r="T1320" t="str">
        <f t="shared" si="219"/>
        <v>PM10</v>
      </c>
      <c r="U1320">
        <v>25.47</v>
      </c>
      <c r="V1320">
        <v>67.739999999999995</v>
      </c>
    </row>
    <row r="1321" spans="1:22" x14ac:dyDescent="0.3">
      <c r="A1321" s="2" t="s">
        <v>15</v>
      </c>
      <c r="B1321">
        <v>560026</v>
      </c>
      <c r="C1321" s="3">
        <v>44823</v>
      </c>
      <c r="D1321">
        <v>40.340000000000003</v>
      </c>
      <c r="E1321">
        <v>67.84</v>
      </c>
      <c r="F1321">
        <v>9.8800000000000008</v>
      </c>
      <c r="G1321">
        <v>19.02</v>
      </c>
      <c r="H1321">
        <v>5.61</v>
      </c>
      <c r="I1321">
        <v>0.54</v>
      </c>
      <c r="J1321">
        <v>15.38</v>
      </c>
      <c r="K1321">
        <f t="shared" si="210"/>
        <v>67.233333333333348</v>
      </c>
      <c r="L1321">
        <f t="shared" si="211"/>
        <v>67.84</v>
      </c>
      <c r="M1321">
        <f t="shared" si="212"/>
        <v>12.350000000000001</v>
      </c>
      <c r="N1321">
        <f t="shared" si="213"/>
        <v>4.7549999999999999</v>
      </c>
      <c r="O1321">
        <f t="shared" si="214"/>
        <v>7.0125000000000002</v>
      </c>
      <c r="P1321">
        <f t="shared" si="215"/>
        <v>6.1363636363636367</v>
      </c>
      <c r="Q1321">
        <f t="shared" si="216"/>
        <v>14.240740740740742</v>
      </c>
      <c r="R1321">
        <f t="shared" si="217"/>
        <v>67.84</v>
      </c>
      <c r="S1321" t="str">
        <f t="shared" si="218"/>
        <v>Satisfactory</v>
      </c>
      <c r="T1321" t="str">
        <f t="shared" si="219"/>
        <v>PM10</v>
      </c>
      <c r="U1321">
        <v>24.6</v>
      </c>
      <c r="V1321">
        <v>69.83</v>
      </c>
    </row>
    <row r="1322" spans="1:22" x14ac:dyDescent="0.3">
      <c r="A1322" s="2" t="s">
        <v>15</v>
      </c>
      <c r="B1322">
        <v>560026</v>
      </c>
      <c r="C1322" s="3">
        <v>44824</v>
      </c>
      <c r="D1322">
        <v>39.97</v>
      </c>
      <c r="E1322">
        <v>76.150000000000006</v>
      </c>
      <c r="F1322">
        <v>10.37</v>
      </c>
      <c r="G1322">
        <v>23.85</v>
      </c>
      <c r="H1322">
        <v>4.63</v>
      </c>
      <c r="I1322">
        <v>0.54</v>
      </c>
      <c r="J1322">
        <v>17.37</v>
      </c>
      <c r="K1322">
        <f t="shared" si="210"/>
        <v>66.61666666666666</v>
      </c>
      <c r="L1322">
        <f t="shared" si="211"/>
        <v>76.150000000000006</v>
      </c>
      <c r="M1322">
        <f t="shared" si="212"/>
        <v>12.9625</v>
      </c>
      <c r="N1322">
        <f t="shared" si="213"/>
        <v>5.9625000000000004</v>
      </c>
      <c r="O1322">
        <f t="shared" si="214"/>
        <v>5.7874999999999996</v>
      </c>
      <c r="P1322">
        <f t="shared" si="215"/>
        <v>6.1363636363636367</v>
      </c>
      <c r="Q1322">
        <f t="shared" si="216"/>
        <v>16.083333333333336</v>
      </c>
      <c r="R1322">
        <f t="shared" si="217"/>
        <v>76.150000000000006</v>
      </c>
      <c r="S1322" t="str">
        <f t="shared" si="218"/>
        <v>Satisfactory</v>
      </c>
      <c r="T1322" t="str">
        <f t="shared" si="219"/>
        <v>PM10</v>
      </c>
      <c r="U1322">
        <v>24.12</v>
      </c>
      <c r="V1322">
        <v>67.2</v>
      </c>
    </row>
    <row r="1323" spans="1:22" x14ac:dyDescent="0.3">
      <c r="A1323" s="2" t="s">
        <v>15</v>
      </c>
      <c r="B1323">
        <v>560026</v>
      </c>
      <c r="C1323" s="3">
        <v>44825</v>
      </c>
      <c r="D1323">
        <v>36.68</v>
      </c>
      <c r="E1323">
        <v>66.17</v>
      </c>
      <c r="F1323">
        <v>9.98</v>
      </c>
      <c r="G1323">
        <v>27.52</v>
      </c>
      <c r="H1323">
        <v>4.88</v>
      </c>
      <c r="I1323">
        <v>0.78</v>
      </c>
      <c r="J1323">
        <v>16.75</v>
      </c>
      <c r="K1323">
        <f t="shared" si="210"/>
        <v>61.133333333333333</v>
      </c>
      <c r="L1323">
        <f t="shared" si="211"/>
        <v>66.17</v>
      </c>
      <c r="M1323">
        <f t="shared" si="212"/>
        <v>12.475</v>
      </c>
      <c r="N1323">
        <f t="shared" si="213"/>
        <v>6.88</v>
      </c>
      <c r="O1323">
        <f t="shared" si="214"/>
        <v>6.1</v>
      </c>
      <c r="P1323">
        <f t="shared" si="215"/>
        <v>8.8636363636363633</v>
      </c>
      <c r="Q1323">
        <f t="shared" si="216"/>
        <v>15.50925925925926</v>
      </c>
      <c r="R1323">
        <f t="shared" si="217"/>
        <v>66.17</v>
      </c>
      <c r="S1323" t="str">
        <f t="shared" si="218"/>
        <v>Satisfactory</v>
      </c>
      <c r="T1323" t="str">
        <f t="shared" si="219"/>
        <v>PM10</v>
      </c>
      <c r="U1323">
        <v>24.56</v>
      </c>
      <c r="V1323">
        <v>67.2</v>
      </c>
    </row>
    <row r="1324" spans="1:22" x14ac:dyDescent="0.3">
      <c r="A1324" s="2" t="s">
        <v>15</v>
      </c>
      <c r="B1324">
        <v>560026</v>
      </c>
      <c r="C1324" s="3">
        <v>44826</v>
      </c>
      <c r="D1324">
        <v>43.1</v>
      </c>
      <c r="E1324">
        <v>67.260000000000005</v>
      </c>
      <c r="F1324">
        <v>11.34</v>
      </c>
      <c r="G1324">
        <v>22.72</v>
      </c>
      <c r="H1324">
        <v>4.5199999999999996</v>
      </c>
      <c r="I1324">
        <v>0.56000000000000005</v>
      </c>
      <c r="J1324">
        <v>21.12</v>
      </c>
      <c r="K1324">
        <f t="shared" si="210"/>
        <v>71.833333333333343</v>
      </c>
      <c r="L1324">
        <f t="shared" si="211"/>
        <v>67.260000000000005</v>
      </c>
      <c r="M1324">
        <f t="shared" si="212"/>
        <v>14.175000000000001</v>
      </c>
      <c r="N1324">
        <f t="shared" si="213"/>
        <v>5.68</v>
      </c>
      <c r="O1324">
        <f t="shared" si="214"/>
        <v>5.6499999999999995</v>
      </c>
      <c r="P1324">
        <f t="shared" si="215"/>
        <v>6.3636363636363642</v>
      </c>
      <c r="Q1324">
        <f t="shared" si="216"/>
        <v>19.555555555555557</v>
      </c>
      <c r="R1324">
        <f t="shared" si="217"/>
        <v>71.833333333333343</v>
      </c>
      <c r="S1324" t="str">
        <f t="shared" si="218"/>
        <v>Satisfactory</v>
      </c>
      <c r="T1324" t="str">
        <f t="shared" si="219"/>
        <v>PM2.5</v>
      </c>
      <c r="U1324">
        <v>25.18</v>
      </c>
      <c r="V1324">
        <v>61.72</v>
      </c>
    </row>
    <row r="1325" spans="1:22" x14ac:dyDescent="0.3">
      <c r="A1325" s="2" t="s">
        <v>15</v>
      </c>
      <c r="B1325">
        <v>560026</v>
      </c>
      <c r="C1325" s="3">
        <v>44827</v>
      </c>
      <c r="D1325">
        <v>36.61</v>
      </c>
      <c r="E1325">
        <v>64.45</v>
      </c>
      <c r="F1325">
        <v>10.199999999999999</v>
      </c>
      <c r="G1325">
        <v>24.52</v>
      </c>
      <c r="H1325">
        <v>4.54</v>
      </c>
      <c r="I1325">
        <v>0.56000000000000005</v>
      </c>
      <c r="J1325">
        <v>21.27</v>
      </c>
      <c r="K1325">
        <f t="shared" si="210"/>
        <v>61.016666666666666</v>
      </c>
      <c r="L1325">
        <f t="shared" si="211"/>
        <v>64.45</v>
      </c>
      <c r="M1325">
        <f t="shared" si="212"/>
        <v>12.749999999999998</v>
      </c>
      <c r="N1325">
        <f t="shared" si="213"/>
        <v>6.13</v>
      </c>
      <c r="O1325">
        <f t="shared" si="214"/>
        <v>5.6749999999999998</v>
      </c>
      <c r="P1325">
        <f t="shared" si="215"/>
        <v>6.3636363636363642</v>
      </c>
      <c r="Q1325">
        <f t="shared" si="216"/>
        <v>19.694444444444443</v>
      </c>
      <c r="R1325">
        <f t="shared" si="217"/>
        <v>64.45</v>
      </c>
      <c r="S1325" t="str">
        <f t="shared" si="218"/>
        <v>Satisfactory</v>
      </c>
      <c r="T1325" t="str">
        <f t="shared" si="219"/>
        <v>PM10</v>
      </c>
      <c r="U1325">
        <v>24.94</v>
      </c>
      <c r="V1325">
        <v>62.86</v>
      </c>
    </row>
    <row r="1326" spans="1:22" x14ac:dyDescent="0.3">
      <c r="A1326" s="2" t="s">
        <v>15</v>
      </c>
      <c r="B1326">
        <v>560026</v>
      </c>
      <c r="C1326" s="3">
        <v>44828</v>
      </c>
      <c r="D1326">
        <v>31.67</v>
      </c>
      <c r="E1326">
        <v>52.99</v>
      </c>
      <c r="F1326">
        <v>10.119999999999999</v>
      </c>
      <c r="G1326">
        <v>25.78</v>
      </c>
      <c r="H1326">
        <v>5.07</v>
      </c>
      <c r="I1326">
        <v>0.7</v>
      </c>
      <c r="J1326">
        <v>17.940000000000001</v>
      </c>
      <c r="K1326">
        <f t="shared" si="210"/>
        <v>52.783333333333339</v>
      </c>
      <c r="L1326">
        <f t="shared" si="211"/>
        <v>52.99</v>
      </c>
      <c r="M1326">
        <f t="shared" si="212"/>
        <v>12.649999999999999</v>
      </c>
      <c r="N1326">
        <f t="shared" si="213"/>
        <v>6.4450000000000003</v>
      </c>
      <c r="O1326">
        <f t="shared" si="214"/>
        <v>6.3375000000000004</v>
      </c>
      <c r="P1326">
        <f t="shared" si="215"/>
        <v>7.9545454545454541</v>
      </c>
      <c r="Q1326">
        <f t="shared" si="216"/>
        <v>16.611111111111111</v>
      </c>
      <c r="R1326">
        <f t="shared" si="217"/>
        <v>52.99</v>
      </c>
      <c r="S1326" t="str">
        <f t="shared" si="218"/>
        <v>Satisfactory</v>
      </c>
      <c r="T1326" t="str">
        <f t="shared" si="219"/>
        <v>PM10</v>
      </c>
      <c r="U1326">
        <v>25.14</v>
      </c>
      <c r="V1326">
        <v>66.040000000000006</v>
      </c>
    </row>
    <row r="1327" spans="1:22" x14ac:dyDescent="0.3">
      <c r="A1327" s="2" t="s">
        <v>15</v>
      </c>
      <c r="B1327">
        <v>560026</v>
      </c>
      <c r="C1327" s="3">
        <v>44829</v>
      </c>
      <c r="D1327">
        <v>34.159999999999997</v>
      </c>
      <c r="E1327">
        <v>61.03</v>
      </c>
      <c r="F1327">
        <v>11.39</v>
      </c>
      <c r="G1327">
        <v>25.19</v>
      </c>
      <c r="H1327">
        <v>4.7699999999999996</v>
      </c>
      <c r="I1327">
        <v>0.76</v>
      </c>
      <c r="J1327">
        <v>16.86</v>
      </c>
      <c r="K1327">
        <f t="shared" si="210"/>
        <v>56.93333333333333</v>
      </c>
      <c r="L1327">
        <f t="shared" si="211"/>
        <v>61.03</v>
      </c>
      <c r="M1327">
        <f t="shared" si="212"/>
        <v>14.237500000000001</v>
      </c>
      <c r="N1327">
        <f t="shared" si="213"/>
        <v>6.2975000000000003</v>
      </c>
      <c r="O1327">
        <f t="shared" si="214"/>
        <v>5.9624999999999995</v>
      </c>
      <c r="P1327">
        <f t="shared" si="215"/>
        <v>8.6363636363636367</v>
      </c>
      <c r="Q1327">
        <f t="shared" si="216"/>
        <v>15.611111111111111</v>
      </c>
      <c r="R1327">
        <f t="shared" si="217"/>
        <v>61.03</v>
      </c>
      <c r="S1327" t="str">
        <f t="shared" si="218"/>
        <v>Satisfactory</v>
      </c>
      <c r="T1327" t="str">
        <f t="shared" si="219"/>
        <v>PM10</v>
      </c>
      <c r="U1327">
        <v>25.89</v>
      </c>
      <c r="V1327">
        <v>64.89</v>
      </c>
    </row>
    <row r="1328" spans="1:22" x14ac:dyDescent="0.3">
      <c r="A1328" s="2" t="s">
        <v>15</v>
      </c>
      <c r="B1328">
        <v>560026</v>
      </c>
      <c r="C1328" s="3">
        <v>44830</v>
      </c>
      <c r="D1328">
        <v>39.270000000000003</v>
      </c>
      <c r="E1328">
        <v>80.52</v>
      </c>
      <c r="F1328">
        <v>13.15</v>
      </c>
      <c r="G1328">
        <v>34.020000000000003</v>
      </c>
      <c r="H1328">
        <v>4.46</v>
      </c>
      <c r="I1328">
        <v>1.03</v>
      </c>
      <c r="J1328">
        <v>12.75</v>
      </c>
      <c r="K1328">
        <f t="shared" si="210"/>
        <v>65.45</v>
      </c>
      <c r="L1328">
        <f t="shared" si="211"/>
        <v>80.52</v>
      </c>
      <c r="M1328">
        <f t="shared" si="212"/>
        <v>16.4375</v>
      </c>
      <c r="N1328">
        <f t="shared" si="213"/>
        <v>8.5050000000000008</v>
      </c>
      <c r="O1328">
        <f t="shared" si="214"/>
        <v>5.5750000000000002</v>
      </c>
      <c r="P1328">
        <f t="shared" si="215"/>
        <v>11.704545454545455</v>
      </c>
      <c r="Q1328">
        <f t="shared" si="216"/>
        <v>11.805555555555555</v>
      </c>
      <c r="R1328">
        <f t="shared" si="217"/>
        <v>80.52</v>
      </c>
      <c r="S1328" t="str">
        <f t="shared" si="218"/>
        <v>Satisfactory</v>
      </c>
      <c r="T1328" t="str">
        <f t="shared" si="219"/>
        <v>PM10</v>
      </c>
      <c r="U1328">
        <v>24.81</v>
      </c>
      <c r="V1328">
        <v>72.430000000000007</v>
      </c>
    </row>
    <row r="1329" spans="1:22" x14ac:dyDescent="0.3">
      <c r="A1329" s="2" t="s">
        <v>15</v>
      </c>
      <c r="B1329">
        <v>560026</v>
      </c>
      <c r="C1329" s="3">
        <v>44831</v>
      </c>
      <c r="D1329">
        <v>28</v>
      </c>
      <c r="E1329">
        <v>53.77</v>
      </c>
      <c r="F1329">
        <v>11.15</v>
      </c>
      <c r="G1329">
        <v>25.75</v>
      </c>
      <c r="H1329">
        <v>4.72</v>
      </c>
      <c r="I1329">
        <v>0.61</v>
      </c>
      <c r="J1329">
        <v>16.510000000000002</v>
      </c>
      <c r="K1329">
        <f t="shared" si="210"/>
        <v>46.666666666666664</v>
      </c>
      <c r="L1329">
        <f t="shared" si="211"/>
        <v>53.77</v>
      </c>
      <c r="M1329">
        <f t="shared" si="212"/>
        <v>13.9375</v>
      </c>
      <c r="N1329">
        <f t="shared" si="213"/>
        <v>6.4375</v>
      </c>
      <c r="O1329">
        <f t="shared" si="214"/>
        <v>5.9</v>
      </c>
      <c r="P1329">
        <f t="shared" si="215"/>
        <v>6.9318181818181817</v>
      </c>
      <c r="Q1329">
        <f t="shared" si="216"/>
        <v>15.287037037037038</v>
      </c>
      <c r="R1329">
        <f t="shared" si="217"/>
        <v>53.77</v>
      </c>
      <c r="S1329" t="str">
        <f t="shared" si="218"/>
        <v>Satisfactory</v>
      </c>
      <c r="T1329" t="str">
        <f t="shared" si="219"/>
        <v>PM10</v>
      </c>
      <c r="U1329">
        <v>24.43</v>
      </c>
      <c r="V1329">
        <v>71.260000000000005</v>
      </c>
    </row>
    <row r="1330" spans="1:22" x14ac:dyDescent="0.3">
      <c r="A1330" s="2" t="s">
        <v>15</v>
      </c>
      <c r="B1330">
        <v>560026</v>
      </c>
      <c r="C1330" s="3">
        <v>44832</v>
      </c>
      <c r="D1330">
        <v>35.012142859999997</v>
      </c>
      <c r="E1330">
        <v>61.236428570000001</v>
      </c>
      <c r="F1330">
        <v>11.951071430000001</v>
      </c>
      <c r="G1330">
        <v>22.06</v>
      </c>
      <c r="H1330">
        <v>5.2382142859999998</v>
      </c>
      <c r="I1330">
        <v>0.64964285700000002</v>
      </c>
      <c r="J1330">
        <v>17.547499999999999</v>
      </c>
      <c r="K1330">
        <f t="shared" si="210"/>
        <v>58.353571433333329</v>
      </c>
      <c r="L1330">
        <f t="shared" si="211"/>
        <v>61.236428570000001</v>
      </c>
      <c r="M1330">
        <f t="shared" si="212"/>
        <v>14.938839287500002</v>
      </c>
      <c r="N1330">
        <f t="shared" si="213"/>
        <v>5.5149999999999997</v>
      </c>
      <c r="O1330">
        <f t="shared" si="214"/>
        <v>6.5477678575000002</v>
      </c>
      <c r="P1330">
        <f t="shared" si="215"/>
        <v>7.3823051931818178</v>
      </c>
      <c r="Q1330">
        <f t="shared" si="216"/>
        <v>16.247685185185183</v>
      </c>
      <c r="R1330">
        <f t="shared" si="217"/>
        <v>61.236428570000001</v>
      </c>
      <c r="S1330" t="str">
        <f t="shared" si="218"/>
        <v>Satisfactory</v>
      </c>
      <c r="T1330" t="str">
        <f t="shared" si="219"/>
        <v>PM10</v>
      </c>
      <c r="U1330">
        <v>24.591428570000001</v>
      </c>
      <c r="V1330">
        <v>72.467142859999996</v>
      </c>
    </row>
    <row r="1331" spans="1:22" x14ac:dyDescent="0.3">
      <c r="A1331" s="2" t="s">
        <v>15</v>
      </c>
      <c r="B1331">
        <v>560026</v>
      </c>
      <c r="C1331" s="3">
        <v>44833</v>
      </c>
      <c r="D1331">
        <v>35.012142859999997</v>
      </c>
      <c r="E1331">
        <v>61.236428570000001</v>
      </c>
      <c r="F1331">
        <v>11.951071430000001</v>
      </c>
      <c r="G1331">
        <v>22.06</v>
      </c>
      <c r="H1331">
        <v>5.2382142859999998</v>
      </c>
      <c r="I1331">
        <v>0.64964285700000002</v>
      </c>
      <c r="J1331">
        <v>17.547499999999999</v>
      </c>
      <c r="K1331">
        <f t="shared" si="210"/>
        <v>58.353571433333329</v>
      </c>
      <c r="L1331">
        <f t="shared" si="211"/>
        <v>61.236428570000001</v>
      </c>
      <c r="M1331">
        <f t="shared" si="212"/>
        <v>14.938839287500002</v>
      </c>
      <c r="N1331">
        <f t="shared" si="213"/>
        <v>5.5149999999999997</v>
      </c>
      <c r="O1331">
        <f t="shared" si="214"/>
        <v>6.5477678575000002</v>
      </c>
      <c r="P1331">
        <f t="shared" si="215"/>
        <v>7.3823051931818178</v>
      </c>
      <c r="Q1331">
        <f t="shared" si="216"/>
        <v>16.247685185185183</v>
      </c>
      <c r="R1331">
        <f t="shared" si="217"/>
        <v>61.236428570000001</v>
      </c>
      <c r="S1331" t="str">
        <f t="shared" si="218"/>
        <v>Satisfactory</v>
      </c>
      <c r="T1331" t="str">
        <f t="shared" si="219"/>
        <v>PM10</v>
      </c>
      <c r="U1331">
        <v>24.591428570000001</v>
      </c>
      <c r="V1331">
        <v>72.467142859999996</v>
      </c>
    </row>
    <row r="1332" spans="1:22" x14ac:dyDescent="0.3">
      <c r="A1332" s="2" t="s">
        <v>15</v>
      </c>
      <c r="B1332">
        <v>560026</v>
      </c>
      <c r="C1332" s="3">
        <v>44834</v>
      </c>
      <c r="D1332">
        <v>33.14</v>
      </c>
      <c r="E1332">
        <v>58.74</v>
      </c>
      <c r="F1332">
        <v>21.5</v>
      </c>
      <c r="G1332">
        <v>35.33</v>
      </c>
      <c r="H1332">
        <v>5.29</v>
      </c>
      <c r="I1332">
        <v>0.73</v>
      </c>
      <c r="J1332">
        <v>23.31</v>
      </c>
      <c r="K1332">
        <f t="shared" si="210"/>
        <v>55.233333333333334</v>
      </c>
      <c r="L1332">
        <f t="shared" si="211"/>
        <v>58.74</v>
      </c>
      <c r="M1332">
        <f t="shared" si="212"/>
        <v>26.875</v>
      </c>
      <c r="N1332">
        <f t="shared" si="213"/>
        <v>8.8324999999999996</v>
      </c>
      <c r="O1332">
        <f t="shared" si="214"/>
        <v>6.6124999999999998</v>
      </c>
      <c r="P1332">
        <f t="shared" si="215"/>
        <v>8.295454545454545</v>
      </c>
      <c r="Q1332">
        <f t="shared" si="216"/>
        <v>21.583333333333332</v>
      </c>
      <c r="R1332">
        <f t="shared" si="217"/>
        <v>58.74</v>
      </c>
      <c r="S1332" t="str">
        <f t="shared" si="218"/>
        <v>Satisfactory</v>
      </c>
      <c r="T1332" t="str">
        <f t="shared" si="219"/>
        <v>PM10</v>
      </c>
      <c r="U1332">
        <v>23.9</v>
      </c>
      <c r="V1332">
        <v>70.61</v>
      </c>
    </row>
    <row r="1333" spans="1:22" x14ac:dyDescent="0.3">
      <c r="A1333" s="2" t="s">
        <v>15</v>
      </c>
      <c r="B1333">
        <v>560026</v>
      </c>
      <c r="C1333" s="3">
        <v>44835</v>
      </c>
      <c r="D1333">
        <v>31.02</v>
      </c>
      <c r="E1333">
        <v>42.27</v>
      </c>
      <c r="F1333">
        <v>18.22</v>
      </c>
      <c r="G1333">
        <v>33.31</v>
      </c>
      <c r="H1333">
        <v>5.22</v>
      </c>
      <c r="I1333">
        <v>0.69</v>
      </c>
      <c r="J1333">
        <v>15.36</v>
      </c>
      <c r="K1333">
        <f t="shared" si="210"/>
        <v>51.7</v>
      </c>
      <c r="L1333">
        <f t="shared" si="211"/>
        <v>42.27</v>
      </c>
      <c r="M1333">
        <f t="shared" si="212"/>
        <v>22.774999999999999</v>
      </c>
      <c r="N1333">
        <f t="shared" si="213"/>
        <v>8.3275000000000006</v>
      </c>
      <c r="O1333">
        <f t="shared" si="214"/>
        <v>6.5250000000000004</v>
      </c>
      <c r="P1333">
        <f t="shared" si="215"/>
        <v>7.8409090909090899</v>
      </c>
      <c r="Q1333">
        <f t="shared" si="216"/>
        <v>14.222222222222221</v>
      </c>
      <c r="R1333">
        <f t="shared" si="217"/>
        <v>51.7</v>
      </c>
      <c r="S1333" t="str">
        <f t="shared" si="218"/>
        <v>Satisfactory</v>
      </c>
      <c r="T1333" t="str">
        <f t="shared" si="219"/>
        <v>PM2.5</v>
      </c>
      <c r="U1333">
        <v>22.15</v>
      </c>
      <c r="V1333">
        <v>82.54</v>
      </c>
    </row>
    <row r="1334" spans="1:22" x14ac:dyDescent="0.3">
      <c r="A1334" s="2" t="s">
        <v>15</v>
      </c>
      <c r="B1334">
        <v>560026</v>
      </c>
      <c r="C1334" s="3">
        <v>44836</v>
      </c>
      <c r="D1334">
        <v>41.19</v>
      </c>
      <c r="E1334">
        <v>69.680000000000007</v>
      </c>
      <c r="F1334">
        <v>16.27</v>
      </c>
      <c r="G1334">
        <v>27.32</v>
      </c>
      <c r="H1334">
        <v>6.18</v>
      </c>
      <c r="I1334">
        <v>0.74</v>
      </c>
      <c r="J1334">
        <v>23.9</v>
      </c>
      <c r="K1334">
        <f t="shared" si="210"/>
        <v>68.649999999999991</v>
      </c>
      <c r="L1334">
        <f t="shared" si="211"/>
        <v>69.680000000000007</v>
      </c>
      <c r="M1334">
        <f t="shared" si="212"/>
        <v>20.337499999999999</v>
      </c>
      <c r="N1334">
        <f t="shared" si="213"/>
        <v>6.83</v>
      </c>
      <c r="O1334">
        <f t="shared" si="214"/>
        <v>7.7249999999999996</v>
      </c>
      <c r="P1334">
        <f t="shared" si="215"/>
        <v>8.4090909090909083</v>
      </c>
      <c r="Q1334">
        <f t="shared" si="216"/>
        <v>22.12962962962963</v>
      </c>
      <c r="R1334">
        <f t="shared" si="217"/>
        <v>69.680000000000007</v>
      </c>
      <c r="S1334" t="str">
        <f t="shared" si="218"/>
        <v>Satisfactory</v>
      </c>
      <c r="T1334" t="str">
        <f t="shared" si="219"/>
        <v>PM10</v>
      </c>
      <c r="U1334">
        <v>23.56</v>
      </c>
      <c r="V1334">
        <v>74.25</v>
      </c>
    </row>
    <row r="1335" spans="1:22" x14ac:dyDescent="0.3">
      <c r="A1335" s="2" t="s">
        <v>15</v>
      </c>
      <c r="B1335">
        <v>560026</v>
      </c>
      <c r="C1335" s="3">
        <v>44837</v>
      </c>
      <c r="D1335">
        <v>58.84</v>
      </c>
      <c r="E1335">
        <v>96.31</v>
      </c>
      <c r="F1335">
        <v>16.64</v>
      </c>
      <c r="G1335">
        <v>44.88</v>
      </c>
      <c r="H1335">
        <v>5.4</v>
      </c>
      <c r="I1335">
        <v>1.26</v>
      </c>
      <c r="J1335">
        <v>15.61</v>
      </c>
      <c r="K1335">
        <f t="shared" si="210"/>
        <v>98.066666666666677</v>
      </c>
      <c r="L1335">
        <f t="shared" si="211"/>
        <v>96.31</v>
      </c>
      <c r="M1335">
        <f t="shared" si="212"/>
        <v>20.8</v>
      </c>
      <c r="N1335">
        <f t="shared" si="213"/>
        <v>11.22</v>
      </c>
      <c r="O1335">
        <f t="shared" si="214"/>
        <v>6.75</v>
      </c>
      <c r="P1335">
        <f t="shared" si="215"/>
        <v>14.318181818181818</v>
      </c>
      <c r="Q1335">
        <f t="shared" si="216"/>
        <v>14.453703703703702</v>
      </c>
      <c r="R1335">
        <f t="shared" si="217"/>
        <v>98.066666666666677</v>
      </c>
      <c r="S1335" t="str">
        <f t="shared" si="218"/>
        <v>Satisfactory</v>
      </c>
      <c r="T1335" t="str">
        <f t="shared" si="219"/>
        <v>PM2.5</v>
      </c>
      <c r="U1335">
        <v>23.66</v>
      </c>
      <c r="V1335">
        <v>77.55</v>
      </c>
    </row>
    <row r="1336" spans="1:22" x14ac:dyDescent="0.3">
      <c r="A1336" s="2" t="s">
        <v>15</v>
      </c>
      <c r="B1336">
        <v>560026</v>
      </c>
      <c r="C1336" s="3">
        <v>44838</v>
      </c>
      <c r="D1336">
        <v>50.55</v>
      </c>
      <c r="E1336">
        <v>90.34</v>
      </c>
      <c r="F1336">
        <v>17.690000000000001</v>
      </c>
      <c r="G1336">
        <v>34.31</v>
      </c>
      <c r="H1336">
        <v>4.8899999999999997</v>
      </c>
      <c r="I1336">
        <v>1</v>
      </c>
      <c r="J1336">
        <v>20.91</v>
      </c>
      <c r="K1336">
        <f t="shared" si="210"/>
        <v>84.25</v>
      </c>
      <c r="L1336">
        <f t="shared" si="211"/>
        <v>90.34</v>
      </c>
      <c r="M1336">
        <f t="shared" si="212"/>
        <v>22.112500000000004</v>
      </c>
      <c r="N1336">
        <f t="shared" si="213"/>
        <v>8.5775000000000006</v>
      </c>
      <c r="O1336">
        <f t="shared" si="214"/>
        <v>6.1124999999999989</v>
      </c>
      <c r="P1336">
        <f t="shared" si="215"/>
        <v>11.363636363636363</v>
      </c>
      <c r="Q1336">
        <f t="shared" si="216"/>
        <v>19.361111111111111</v>
      </c>
      <c r="R1336">
        <f t="shared" si="217"/>
        <v>90.34</v>
      </c>
      <c r="S1336" t="str">
        <f t="shared" si="218"/>
        <v>Satisfactory</v>
      </c>
      <c r="T1336" t="str">
        <f t="shared" si="219"/>
        <v>PM10</v>
      </c>
      <c r="U1336">
        <v>24.94</v>
      </c>
      <c r="V1336">
        <v>71.069999999999993</v>
      </c>
    </row>
    <row r="1337" spans="1:22" x14ac:dyDescent="0.3">
      <c r="A1337" s="2" t="s">
        <v>15</v>
      </c>
      <c r="B1337">
        <v>560026</v>
      </c>
      <c r="C1337" s="3">
        <v>44839</v>
      </c>
      <c r="D1337">
        <v>52.36</v>
      </c>
      <c r="E1337">
        <v>77.41</v>
      </c>
      <c r="F1337">
        <v>15.97</v>
      </c>
      <c r="G1337">
        <v>29.3</v>
      </c>
      <c r="H1337">
        <v>4.83</v>
      </c>
      <c r="I1337">
        <v>0.83</v>
      </c>
      <c r="J1337">
        <v>25.58</v>
      </c>
      <c r="K1337">
        <f t="shared" si="210"/>
        <v>87.266666666666666</v>
      </c>
      <c r="L1337">
        <f t="shared" si="211"/>
        <v>77.41</v>
      </c>
      <c r="M1337">
        <f t="shared" si="212"/>
        <v>19.962499999999999</v>
      </c>
      <c r="N1337">
        <f t="shared" si="213"/>
        <v>7.3250000000000002</v>
      </c>
      <c r="O1337">
        <f t="shared" si="214"/>
        <v>6.0374999999999996</v>
      </c>
      <c r="P1337">
        <f t="shared" si="215"/>
        <v>9.4318181818181817</v>
      </c>
      <c r="Q1337">
        <f t="shared" si="216"/>
        <v>23.685185185185183</v>
      </c>
      <c r="R1337">
        <f t="shared" si="217"/>
        <v>87.266666666666666</v>
      </c>
      <c r="S1337" t="str">
        <f t="shared" si="218"/>
        <v>Satisfactory</v>
      </c>
      <c r="T1337" t="str">
        <f t="shared" si="219"/>
        <v>PM2.5</v>
      </c>
      <c r="U1337">
        <v>24.89</v>
      </c>
      <c r="V1337">
        <v>71.239999999999995</v>
      </c>
    </row>
    <row r="1338" spans="1:22" x14ac:dyDescent="0.3">
      <c r="A1338" s="2" t="s">
        <v>15</v>
      </c>
      <c r="B1338">
        <v>560026</v>
      </c>
      <c r="C1338" s="3">
        <v>44840</v>
      </c>
      <c r="D1338">
        <v>79.989999999999995</v>
      </c>
      <c r="E1338">
        <v>99.42</v>
      </c>
      <c r="F1338">
        <v>13.76</v>
      </c>
      <c r="G1338">
        <v>26.57</v>
      </c>
      <c r="H1338">
        <v>5.46</v>
      </c>
      <c r="I1338">
        <v>0.74</v>
      </c>
      <c r="J1338">
        <v>22.72</v>
      </c>
      <c r="K1338">
        <f t="shared" si="210"/>
        <v>166.63333333333333</v>
      </c>
      <c r="L1338">
        <f t="shared" si="211"/>
        <v>99.42</v>
      </c>
      <c r="M1338">
        <f t="shared" si="212"/>
        <v>17.2</v>
      </c>
      <c r="N1338">
        <f t="shared" si="213"/>
        <v>6.6425000000000001</v>
      </c>
      <c r="O1338">
        <f t="shared" si="214"/>
        <v>6.8250000000000002</v>
      </c>
      <c r="P1338">
        <f t="shared" si="215"/>
        <v>8.4090909090909083</v>
      </c>
      <c r="Q1338">
        <f t="shared" si="216"/>
        <v>21.037037037037035</v>
      </c>
      <c r="R1338">
        <f t="shared" si="217"/>
        <v>166.63333333333333</v>
      </c>
      <c r="S1338" t="str">
        <f t="shared" si="218"/>
        <v>Moderate</v>
      </c>
      <c r="T1338" t="str">
        <f t="shared" si="219"/>
        <v>PM2.5</v>
      </c>
      <c r="U1338">
        <v>23.29</v>
      </c>
      <c r="V1338">
        <v>77.45</v>
      </c>
    </row>
    <row r="1339" spans="1:22" x14ac:dyDescent="0.3">
      <c r="A1339" s="2" t="s">
        <v>15</v>
      </c>
      <c r="B1339">
        <v>560026</v>
      </c>
      <c r="C1339" s="3">
        <v>44842</v>
      </c>
      <c r="D1339">
        <v>52.88</v>
      </c>
      <c r="E1339">
        <v>90.04</v>
      </c>
      <c r="F1339">
        <v>12.56</v>
      </c>
      <c r="G1339">
        <v>36.72</v>
      </c>
      <c r="H1339">
        <v>5.53</v>
      </c>
      <c r="I1339">
        <v>1.04</v>
      </c>
      <c r="J1339">
        <v>15.67</v>
      </c>
      <c r="K1339">
        <f t="shared" si="210"/>
        <v>88.13333333333334</v>
      </c>
      <c r="L1339">
        <f t="shared" si="211"/>
        <v>90.04</v>
      </c>
      <c r="M1339">
        <f t="shared" si="212"/>
        <v>15.7</v>
      </c>
      <c r="N1339">
        <f t="shared" si="213"/>
        <v>9.18</v>
      </c>
      <c r="O1339">
        <f t="shared" si="214"/>
        <v>6.9124999999999996</v>
      </c>
      <c r="P1339">
        <f t="shared" si="215"/>
        <v>11.818181818181818</v>
      </c>
      <c r="Q1339">
        <f t="shared" si="216"/>
        <v>14.50925925925926</v>
      </c>
      <c r="R1339">
        <f t="shared" si="217"/>
        <v>90.04</v>
      </c>
      <c r="S1339" t="str">
        <f t="shared" si="218"/>
        <v>Satisfactory</v>
      </c>
      <c r="T1339" t="str">
        <f t="shared" si="219"/>
        <v>PM10</v>
      </c>
      <c r="U1339">
        <v>25.17</v>
      </c>
      <c r="V1339">
        <v>65.91</v>
      </c>
    </row>
    <row r="1340" spans="1:22" x14ac:dyDescent="0.3">
      <c r="A1340" s="2" t="s">
        <v>15</v>
      </c>
      <c r="B1340">
        <v>560026</v>
      </c>
      <c r="C1340" s="3">
        <v>44843</v>
      </c>
      <c r="D1340">
        <v>66.739999999999995</v>
      </c>
      <c r="E1340">
        <v>96.6</v>
      </c>
      <c r="F1340">
        <v>11.19</v>
      </c>
      <c r="G1340">
        <v>34.94</v>
      </c>
      <c r="H1340">
        <v>4.6100000000000003</v>
      </c>
      <c r="I1340">
        <v>1.04</v>
      </c>
      <c r="J1340">
        <v>11.41</v>
      </c>
      <c r="K1340">
        <f t="shared" si="210"/>
        <v>122.46666666666665</v>
      </c>
      <c r="L1340">
        <f t="shared" si="211"/>
        <v>96.6</v>
      </c>
      <c r="M1340">
        <f t="shared" si="212"/>
        <v>13.987500000000001</v>
      </c>
      <c r="N1340">
        <f t="shared" si="213"/>
        <v>8.7349999999999994</v>
      </c>
      <c r="O1340">
        <f t="shared" si="214"/>
        <v>5.7625000000000011</v>
      </c>
      <c r="P1340">
        <f t="shared" si="215"/>
        <v>11.818181818181818</v>
      </c>
      <c r="Q1340">
        <f t="shared" si="216"/>
        <v>10.564814814814815</v>
      </c>
      <c r="R1340">
        <f t="shared" si="217"/>
        <v>122.46666666666665</v>
      </c>
      <c r="S1340" t="str">
        <f t="shared" si="218"/>
        <v>Moderate</v>
      </c>
      <c r="T1340" t="str">
        <f t="shared" si="219"/>
        <v>PM2.5</v>
      </c>
      <c r="U1340">
        <v>24.28</v>
      </c>
      <c r="V1340">
        <v>76.62</v>
      </c>
    </row>
    <row r="1341" spans="1:22" x14ac:dyDescent="0.3">
      <c r="A1341" s="2" t="s">
        <v>15</v>
      </c>
      <c r="B1341">
        <v>560026</v>
      </c>
      <c r="C1341" s="3">
        <v>44844</v>
      </c>
      <c r="D1341">
        <v>45.33</v>
      </c>
      <c r="E1341">
        <v>63.32</v>
      </c>
      <c r="F1341">
        <v>11.77</v>
      </c>
      <c r="G1341">
        <v>32.75</v>
      </c>
      <c r="H1341">
        <v>5.1100000000000003</v>
      </c>
      <c r="I1341">
        <v>0.85</v>
      </c>
      <c r="J1341">
        <v>11.31</v>
      </c>
      <c r="K1341">
        <f t="shared" si="210"/>
        <v>75.55</v>
      </c>
      <c r="L1341">
        <f t="shared" si="211"/>
        <v>63.32</v>
      </c>
      <c r="M1341">
        <f t="shared" si="212"/>
        <v>14.7125</v>
      </c>
      <c r="N1341">
        <f t="shared" si="213"/>
        <v>8.1875</v>
      </c>
      <c r="O1341">
        <f t="shared" si="214"/>
        <v>6.3875000000000011</v>
      </c>
      <c r="P1341">
        <f t="shared" si="215"/>
        <v>9.6590909090909083</v>
      </c>
      <c r="Q1341">
        <f t="shared" si="216"/>
        <v>10.472222222222223</v>
      </c>
      <c r="R1341">
        <f t="shared" si="217"/>
        <v>75.55</v>
      </c>
      <c r="S1341" t="str">
        <f t="shared" si="218"/>
        <v>Satisfactory</v>
      </c>
      <c r="T1341" t="str">
        <f t="shared" si="219"/>
        <v>PM2.5</v>
      </c>
      <c r="U1341">
        <v>24.84</v>
      </c>
      <c r="V1341">
        <v>75.680000000000007</v>
      </c>
    </row>
    <row r="1342" spans="1:22" x14ac:dyDescent="0.3">
      <c r="A1342" s="2" t="s">
        <v>15</v>
      </c>
      <c r="B1342">
        <v>560026</v>
      </c>
      <c r="C1342" s="3">
        <v>44845</v>
      </c>
      <c r="D1342">
        <v>45.53</v>
      </c>
      <c r="E1342">
        <v>64.680000000000007</v>
      </c>
      <c r="F1342">
        <v>12.07</v>
      </c>
      <c r="G1342">
        <v>26.9</v>
      </c>
      <c r="H1342">
        <v>5.44</v>
      </c>
      <c r="I1342">
        <v>0.76</v>
      </c>
      <c r="J1342">
        <v>14.18</v>
      </c>
      <c r="K1342">
        <f t="shared" si="210"/>
        <v>75.883333333333326</v>
      </c>
      <c r="L1342">
        <f t="shared" si="211"/>
        <v>64.680000000000007</v>
      </c>
      <c r="M1342">
        <f t="shared" si="212"/>
        <v>15.0875</v>
      </c>
      <c r="N1342">
        <f t="shared" si="213"/>
        <v>6.7249999999999996</v>
      </c>
      <c r="O1342">
        <f t="shared" si="214"/>
        <v>6.8</v>
      </c>
      <c r="P1342">
        <f t="shared" si="215"/>
        <v>8.6363636363636367</v>
      </c>
      <c r="Q1342">
        <f t="shared" si="216"/>
        <v>13.12962962962963</v>
      </c>
      <c r="R1342">
        <f t="shared" si="217"/>
        <v>75.883333333333326</v>
      </c>
      <c r="S1342" t="str">
        <f t="shared" si="218"/>
        <v>Satisfactory</v>
      </c>
      <c r="T1342" t="str">
        <f t="shared" si="219"/>
        <v>PM2.5</v>
      </c>
      <c r="U1342">
        <v>25.2</v>
      </c>
      <c r="V1342">
        <v>75.17</v>
      </c>
    </row>
    <row r="1343" spans="1:22" x14ac:dyDescent="0.3">
      <c r="A1343" s="2" t="s">
        <v>15</v>
      </c>
      <c r="B1343">
        <v>560026</v>
      </c>
      <c r="C1343" s="3">
        <v>44846</v>
      </c>
      <c r="D1343">
        <v>45</v>
      </c>
      <c r="E1343">
        <v>69.67</v>
      </c>
      <c r="F1343">
        <v>11.47</v>
      </c>
      <c r="G1343">
        <v>25.47</v>
      </c>
      <c r="H1343">
        <v>5.73</v>
      </c>
      <c r="I1343">
        <v>0.78</v>
      </c>
      <c r="J1343">
        <v>17.71</v>
      </c>
      <c r="K1343">
        <f t="shared" si="210"/>
        <v>75</v>
      </c>
      <c r="L1343">
        <f t="shared" si="211"/>
        <v>69.67</v>
      </c>
      <c r="M1343">
        <f t="shared" si="212"/>
        <v>14.3375</v>
      </c>
      <c r="N1343">
        <f t="shared" si="213"/>
        <v>6.3674999999999997</v>
      </c>
      <c r="O1343">
        <f t="shared" si="214"/>
        <v>7.1624999999999996</v>
      </c>
      <c r="P1343">
        <f t="shared" si="215"/>
        <v>8.8636363636363633</v>
      </c>
      <c r="Q1343">
        <f t="shared" si="216"/>
        <v>16.398148148148149</v>
      </c>
      <c r="R1343">
        <f t="shared" si="217"/>
        <v>75</v>
      </c>
      <c r="S1343" t="str">
        <f t="shared" si="218"/>
        <v>Satisfactory</v>
      </c>
      <c r="T1343" t="str">
        <f t="shared" si="219"/>
        <v>PM2.5</v>
      </c>
      <c r="U1343">
        <v>24.93</v>
      </c>
      <c r="V1343">
        <v>73.099999999999994</v>
      </c>
    </row>
    <row r="1344" spans="1:22" x14ac:dyDescent="0.3">
      <c r="A1344" s="2" t="s">
        <v>15</v>
      </c>
      <c r="B1344">
        <v>560026</v>
      </c>
      <c r="C1344" s="3">
        <v>44847</v>
      </c>
      <c r="D1344">
        <v>44.74</v>
      </c>
      <c r="E1344">
        <v>63.9</v>
      </c>
      <c r="F1344">
        <v>14.88</v>
      </c>
      <c r="G1344">
        <v>29.82</v>
      </c>
      <c r="H1344">
        <v>5.22</v>
      </c>
      <c r="I1344">
        <v>0.85</v>
      </c>
      <c r="J1344">
        <v>20.07</v>
      </c>
      <c r="K1344">
        <f t="shared" si="210"/>
        <v>74.566666666666663</v>
      </c>
      <c r="L1344">
        <f t="shared" si="211"/>
        <v>63.9</v>
      </c>
      <c r="M1344">
        <f t="shared" si="212"/>
        <v>18.600000000000001</v>
      </c>
      <c r="N1344">
        <f t="shared" si="213"/>
        <v>7.4550000000000001</v>
      </c>
      <c r="O1344">
        <f t="shared" si="214"/>
        <v>6.5250000000000004</v>
      </c>
      <c r="P1344">
        <f t="shared" si="215"/>
        <v>9.6590909090909083</v>
      </c>
      <c r="Q1344">
        <f t="shared" si="216"/>
        <v>18.583333333333332</v>
      </c>
      <c r="R1344">
        <f t="shared" si="217"/>
        <v>74.566666666666663</v>
      </c>
      <c r="S1344" t="str">
        <f t="shared" si="218"/>
        <v>Satisfactory</v>
      </c>
      <c r="T1344" t="str">
        <f t="shared" si="219"/>
        <v>PM2.5</v>
      </c>
      <c r="U1344">
        <v>25.46</v>
      </c>
      <c r="V1344">
        <v>73.08</v>
      </c>
    </row>
    <row r="1345" spans="1:22" x14ac:dyDescent="0.3">
      <c r="A1345" s="2" t="s">
        <v>15</v>
      </c>
      <c r="B1345">
        <v>560026</v>
      </c>
      <c r="C1345" s="3">
        <v>44848</v>
      </c>
      <c r="D1345">
        <v>49.44</v>
      </c>
      <c r="E1345">
        <v>61.42</v>
      </c>
      <c r="F1345">
        <v>18.149999999999999</v>
      </c>
      <c r="G1345">
        <v>34.159999999999997</v>
      </c>
      <c r="H1345">
        <v>5.61</v>
      </c>
      <c r="I1345">
        <v>1.05</v>
      </c>
      <c r="J1345">
        <v>19.66</v>
      </c>
      <c r="K1345">
        <f t="shared" si="210"/>
        <v>82.4</v>
      </c>
      <c r="L1345">
        <f t="shared" si="211"/>
        <v>61.42</v>
      </c>
      <c r="M1345">
        <f t="shared" si="212"/>
        <v>22.687499999999996</v>
      </c>
      <c r="N1345">
        <f t="shared" si="213"/>
        <v>8.5399999999999991</v>
      </c>
      <c r="O1345">
        <f t="shared" si="214"/>
        <v>7.0125000000000002</v>
      </c>
      <c r="P1345">
        <f t="shared" si="215"/>
        <v>11.931818181818182</v>
      </c>
      <c r="Q1345">
        <f t="shared" si="216"/>
        <v>18.203703703703702</v>
      </c>
      <c r="R1345">
        <f t="shared" si="217"/>
        <v>82.4</v>
      </c>
      <c r="S1345" t="str">
        <f t="shared" si="218"/>
        <v>Satisfactory</v>
      </c>
      <c r="T1345" t="str">
        <f t="shared" si="219"/>
        <v>PM2.5</v>
      </c>
      <c r="U1345">
        <v>23.43</v>
      </c>
      <c r="V1345">
        <v>82.65</v>
      </c>
    </row>
    <row r="1346" spans="1:22" x14ac:dyDescent="0.3">
      <c r="A1346" s="2" t="s">
        <v>15</v>
      </c>
      <c r="B1346">
        <v>560026</v>
      </c>
      <c r="C1346" s="3">
        <v>44849</v>
      </c>
      <c r="D1346">
        <v>32.17</v>
      </c>
      <c r="E1346">
        <v>54.67</v>
      </c>
      <c r="F1346">
        <v>17.21</v>
      </c>
      <c r="G1346">
        <v>33.51</v>
      </c>
      <c r="H1346">
        <v>5.97</v>
      </c>
      <c r="I1346">
        <v>1.1000000000000001</v>
      </c>
      <c r="J1346">
        <v>12.93</v>
      </c>
      <c r="K1346">
        <f t="shared" si="210"/>
        <v>53.616666666666667</v>
      </c>
      <c r="L1346">
        <f t="shared" si="211"/>
        <v>54.67</v>
      </c>
      <c r="M1346">
        <f t="shared" si="212"/>
        <v>21.512499999999999</v>
      </c>
      <c r="N1346">
        <f t="shared" si="213"/>
        <v>8.3774999999999995</v>
      </c>
      <c r="O1346">
        <f t="shared" si="214"/>
        <v>7.4625000000000004</v>
      </c>
      <c r="P1346">
        <f t="shared" si="215"/>
        <v>12.5</v>
      </c>
      <c r="Q1346">
        <f t="shared" si="216"/>
        <v>11.972222222222221</v>
      </c>
      <c r="R1346">
        <f t="shared" si="217"/>
        <v>54.67</v>
      </c>
      <c r="S1346" t="str">
        <f t="shared" si="218"/>
        <v>Satisfactory</v>
      </c>
      <c r="T1346" t="str">
        <f t="shared" si="219"/>
        <v>PM10</v>
      </c>
      <c r="U1346">
        <v>24.51</v>
      </c>
      <c r="V1346">
        <v>79.069999999999993</v>
      </c>
    </row>
    <row r="1347" spans="1:22" x14ac:dyDescent="0.3">
      <c r="A1347" s="2" t="s">
        <v>15</v>
      </c>
      <c r="B1347">
        <v>560026</v>
      </c>
      <c r="C1347" s="3">
        <v>44850</v>
      </c>
      <c r="D1347">
        <v>40.119999999999997</v>
      </c>
      <c r="E1347">
        <v>51.84</v>
      </c>
      <c r="F1347">
        <v>14.56</v>
      </c>
      <c r="G1347">
        <v>28.44</v>
      </c>
      <c r="H1347">
        <v>5.91</v>
      </c>
      <c r="I1347">
        <v>0.87</v>
      </c>
      <c r="J1347">
        <v>16.420000000000002</v>
      </c>
      <c r="K1347">
        <f t="shared" si="210"/>
        <v>66.86666666666666</v>
      </c>
      <c r="L1347">
        <f t="shared" si="211"/>
        <v>51.84</v>
      </c>
      <c r="M1347">
        <f t="shared" si="212"/>
        <v>18.2</v>
      </c>
      <c r="N1347">
        <f t="shared" si="213"/>
        <v>7.11</v>
      </c>
      <c r="O1347">
        <f t="shared" si="214"/>
        <v>7.3875000000000002</v>
      </c>
      <c r="P1347">
        <f t="shared" si="215"/>
        <v>9.8863636363636367</v>
      </c>
      <c r="Q1347">
        <f t="shared" si="216"/>
        <v>15.203703703703706</v>
      </c>
      <c r="R1347">
        <f t="shared" si="217"/>
        <v>66.86666666666666</v>
      </c>
      <c r="S1347" t="str">
        <f t="shared" si="218"/>
        <v>Satisfactory</v>
      </c>
      <c r="T1347" t="str">
        <f t="shared" si="219"/>
        <v>PM2.5</v>
      </c>
      <c r="U1347">
        <v>24.32</v>
      </c>
      <c r="V1347">
        <v>79.319999999999993</v>
      </c>
    </row>
    <row r="1348" spans="1:22" x14ac:dyDescent="0.3">
      <c r="A1348" s="2" t="s">
        <v>15</v>
      </c>
      <c r="B1348">
        <v>560026</v>
      </c>
      <c r="C1348" s="3">
        <v>44851</v>
      </c>
      <c r="D1348">
        <v>32.69</v>
      </c>
      <c r="E1348">
        <v>62.12</v>
      </c>
      <c r="F1348">
        <v>12.52</v>
      </c>
      <c r="G1348">
        <v>33.24</v>
      </c>
      <c r="H1348">
        <v>5.6</v>
      </c>
      <c r="I1348">
        <v>0.95</v>
      </c>
      <c r="J1348">
        <v>11.44</v>
      </c>
      <c r="K1348">
        <f t="shared" si="210"/>
        <v>54.483333333333327</v>
      </c>
      <c r="L1348">
        <f t="shared" si="211"/>
        <v>62.12</v>
      </c>
      <c r="M1348">
        <f t="shared" si="212"/>
        <v>15.65</v>
      </c>
      <c r="N1348">
        <f t="shared" si="213"/>
        <v>8.31</v>
      </c>
      <c r="O1348">
        <f t="shared" si="214"/>
        <v>7</v>
      </c>
      <c r="P1348">
        <f t="shared" si="215"/>
        <v>10.795454545454545</v>
      </c>
      <c r="Q1348">
        <f t="shared" si="216"/>
        <v>10.592592592592592</v>
      </c>
      <c r="R1348">
        <f t="shared" si="217"/>
        <v>62.12</v>
      </c>
      <c r="S1348" t="str">
        <f t="shared" si="218"/>
        <v>Satisfactory</v>
      </c>
      <c r="T1348" t="str">
        <f t="shared" si="219"/>
        <v>PM10</v>
      </c>
      <c r="U1348">
        <v>25.25</v>
      </c>
      <c r="V1348">
        <v>72.92</v>
      </c>
    </row>
    <row r="1349" spans="1:22" x14ac:dyDescent="0.3">
      <c r="A1349" s="2" t="s">
        <v>15</v>
      </c>
      <c r="B1349">
        <v>560026</v>
      </c>
      <c r="C1349" s="3">
        <v>44852</v>
      </c>
      <c r="D1349">
        <v>61.67</v>
      </c>
      <c r="E1349">
        <v>87.27</v>
      </c>
      <c r="F1349">
        <v>15.58</v>
      </c>
      <c r="G1349">
        <v>34.659999999999997</v>
      </c>
      <c r="H1349">
        <v>5.48</v>
      </c>
      <c r="I1349">
        <v>1.0900000000000001</v>
      </c>
      <c r="J1349">
        <v>15.05</v>
      </c>
      <c r="K1349">
        <f t="shared" si="210"/>
        <v>105.56666666666668</v>
      </c>
      <c r="L1349">
        <f t="shared" si="211"/>
        <v>87.27</v>
      </c>
      <c r="M1349">
        <f t="shared" si="212"/>
        <v>19.475000000000001</v>
      </c>
      <c r="N1349">
        <f t="shared" si="213"/>
        <v>8.6649999999999991</v>
      </c>
      <c r="O1349">
        <f t="shared" si="214"/>
        <v>6.85</v>
      </c>
      <c r="P1349">
        <f t="shared" si="215"/>
        <v>12.386363636363637</v>
      </c>
      <c r="Q1349">
        <f t="shared" si="216"/>
        <v>13.935185185185185</v>
      </c>
      <c r="R1349">
        <f t="shared" si="217"/>
        <v>105.56666666666668</v>
      </c>
      <c r="S1349" t="str">
        <f t="shared" si="218"/>
        <v>Moderate</v>
      </c>
      <c r="T1349" t="str">
        <f t="shared" si="219"/>
        <v>PM2.5</v>
      </c>
      <c r="U1349">
        <v>24.27</v>
      </c>
      <c r="V1349">
        <v>78.58</v>
      </c>
    </row>
    <row r="1350" spans="1:22" x14ac:dyDescent="0.3">
      <c r="A1350" s="2" t="s">
        <v>15</v>
      </c>
      <c r="B1350">
        <v>560026</v>
      </c>
      <c r="C1350" s="3">
        <v>44853</v>
      </c>
      <c r="D1350">
        <v>46.76</v>
      </c>
      <c r="E1350">
        <v>81.3</v>
      </c>
      <c r="F1350">
        <v>21.05</v>
      </c>
      <c r="G1350">
        <v>37.89</v>
      </c>
      <c r="H1350">
        <v>4.78</v>
      </c>
      <c r="I1350">
        <v>1.01</v>
      </c>
      <c r="J1350">
        <v>16.37</v>
      </c>
      <c r="K1350">
        <f t="shared" si="210"/>
        <v>77.933333333333337</v>
      </c>
      <c r="L1350">
        <f t="shared" si="211"/>
        <v>81.3</v>
      </c>
      <c r="M1350">
        <f t="shared" si="212"/>
        <v>26.3125</v>
      </c>
      <c r="N1350">
        <f t="shared" si="213"/>
        <v>9.4725000000000001</v>
      </c>
      <c r="O1350">
        <f t="shared" si="214"/>
        <v>5.9749999999999996</v>
      </c>
      <c r="P1350">
        <f t="shared" si="215"/>
        <v>11.477272727272727</v>
      </c>
      <c r="Q1350">
        <f t="shared" si="216"/>
        <v>15.157407407407408</v>
      </c>
      <c r="R1350">
        <f t="shared" si="217"/>
        <v>81.3</v>
      </c>
      <c r="S1350" t="str">
        <f t="shared" si="218"/>
        <v>Satisfactory</v>
      </c>
      <c r="T1350" t="str">
        <f t="shared" si="219"/>
        <v>PM10</v>
      </c>
      <c r="U1350">
        <v>25.26</v>
      </c>
      <c r="V1350">
        <v>72.12</v>
      </c>
    </row>
    <row r="1351" spans="1:22" x14ac:dyDescent="0.3">
      <c r="A1351" s="2" t="s">
        <v>15</v>
      </c>
      <c r="B1351">
        <v>560026</v>
      </c>
      <c r="C1351" s="3">
        <v>44854</v>
      </c>
      <c r="D1351">
        <v>49.8</v>
      </c>
      <c r="E1351">
        <v>86.03</v>
      </c>
      <c r="F1351">
        <v>21.1</v>
      </c>
      <c r="G1351">
        <v>39.01</v>
      </c>
      <c r="H1351">
        <v>5.32</v>
      </c>
      <c r="I1351">
        <v>1.1599999999999999</v>
      </c>
      <c r="J1351">
        <v>16.87</v>
      </c>
      <c r="K1351">
        <f t="shared" si="210"/>
        <v>83</v>
      </c>
      <c r="L1351">
        <f t="shared" si="211"/>
        <v>86.03</v>
      </c>
      <c r="M1351">
        <f t="shared" si="212"/>
        <v>26.375</v>
      </c>
      <c r="N1351">
        <f t="shared" si="213"/>
        <v>9.7524999999999995</v>
      </c>
      <c r="O1351">
        <f t="shared" si="214"/>
        <v>6.65</v>
      </c>
      <c r="P1351">
        <f t="shared" si="215"/>
        <v>13.18181818181818</v>
      </c>
      <c r="Q1351">
        <f t="shared" si="216"/>
        <v>15.620370370370372</v>
      </c>
      <c r="R1351">
        <f t="shared" si="217"/>
        <v>86.03</v>
      </c>
      <c r="S1351" t="str">
        <f t="shared" si="218"/>
        <v>Satisfactory</v>
      </c>
      <c r="T1351" t="str">
        <f t="shared" si="219"/>
        <v>PM10</v>
      </c>
      <c r="U1351">
        <v>24.77</v>
      </c>
      <c r="V1351">
        <v>74.61</v>
      </c>
    </row>
    <row r="1352" spans="1:22" x14ac:dyDescent="0.3">
      <c r="A1352" s="2" t="s">
        <v>15</v>
      </c>
      <c r="B1352">
        <v>560026</v>
      </c>
      <c r="C1352" s="3">
        <v>44855</v>
      </c>
      <c r="D1352">
        <v>56.33</v>
      </c>
      <c r="E1352">
        <v>96.09</v>
      </c>
      <c r="F1352">
        <v>19.82</v>
      </c>
      <c r="G1352">
        <v>45.9</v>
      </c>
      <c r="H1352">
        <v>5.53</v>
      </c>
      <c r="I1352">
        <v>1.28</v>
      </c>
      <c r="J1352">
        <v>11.28</v>
      </c>
      <c r="K1352">
        <f t="shared" si="210"/>
        <v>93.883333333333326</v>
      </c>
      <c r="L1352">
        <f t="shared" si="211"/>
        <v>96.09</v>
      </c>
      <c r="M1352">
        <f t="shared" si="212"/>
        <v>24.774999999999999</v>
      </c>
      <c r="N1352">
        <f t="shared" si="213"/>
        <v>11.475</v>
      </c>
      <c r="O1352">
        <f t="shared" si="214"/>
        <v>6.9124999999999996</v>
      </c>
      <c r="P1352">
        <f t="shared" si="215"/>
        <v>14.545454545454545</v>
      </c>
      <c r="Q1352">
        <f t="shared" si="216"/>
        <v>10.444444444444445</v>
      </c>
      <c r="R1352">
        <f t="shared" si="217"/>
        <v>96.09</v>
      </c>
      <c r="S1352" t="str">
        <f t="shared" si="218"/>
        <v>Satisfactory</v>
      </c>
      <c r="T1352" t="str">
        <f t="shared" si="219"/>
        <v>PM10</v>
      </c>
      <c r="U1352">
        <v>25.35</v>
      </c>
      <c r="V1352">
        <v>69.62</v>
      </c>
    </row>
    <row r="1353" spans="1:22" x14ac:dyDescent="0.3">
      <c r="A1353" s="2" t="s">
        <v>15</v>
      </c>
      <c r="B1353">
        <v>560026</v>
      </c>
      <c r="C1353" s="3">
        <v>44856</v>
      </c>
      <c r="D1353">
        <v>74.59</v>
      </c>
      <c r="E1353">
        <v>125.28</v>
      </c>
      <c r="F1353">
        <v>27.49</v>
      </c>
      <c r="G1353">
        <v>59.51</v>
      </c>
      <c r="H1353">
        <v>5.28</v>
      </c>
      <c r="I1353">
        <v>1.52</v>
      </c>
      <c r="J1353">
        <v>11.42</v>
      </c>
      <c r="K1353">
        <f t="shared" si="210"/>
        <v>148.63333333333335</v>
      </c>
      <c r="L1353">
        <f t="shared" si="211"/>
        <v>116.85333333333332</v>
      </c>
      <c r="M1353">
        <f t="shared" si="212"/>
        <v>34.362499999999997</v>
      </c>
      <c r="N1353">
        <f t="shared" si="213"/>
        <v>14.8775</v>
      </c>
      <c r="O1353">
        <f t="shared" si="214"/>
        <v>6.6</v>
      </c>
      <c r="P1353">
        <f t="shared" si="215"/>
        <v>17.272727272727273</v>
      </c>
      <c r="Q1353">
        <f t="shared" si="216"/>
        <v>10.574074074074074</v>
      </c>
      <c r="R1353">
        <f t="shared" si="217"/>
        <v>148.63333333333335</v>
      </c>
      <c r="S1353" t="str">
        <f t="shared" si="218"/>
        <v>Moderate</v>
      </c>
      <c r="T1353" t="str">
        <f t="shared" si="219"/>
        <v>PM2.5</v>
      </c>
      <c r="U1353">
        <v>25.4</v>
      </c>
      <c r="V1353">
        <v>64.92</v>
      </c>
    </row>
    <row r="1354" spans="1:22" x14ac:dyDescent="0.3">
      <c r="A1354" s="2" t="s">
        <v>15</v>
      </c>
      <c r="B1354">
        <v>560026</v>
      </c>
      <c r="C1354" s="3">
        <v>44857</v>
      </c>
      <c r="D1354">
        <v>80.02</v>
      </c>
      <c r="E1354">
        <v>120.45</v>
      </c>
      <c r="F1354">
        <v>23.1</v>
      </c>
      <c r="G1354">
        <v>39.340000000000003</v>
      </c>
      <c r="H1354">
        <v>5.66</v>
      </c>
      <c r="I1354">
        <v>1.03</v>
      </c>
      <c r="J1354">
        <v>15.89</v>
      </c>
      <c r="K1354">
        <f t="shared" si="210"/>
        <v>166.73333333333332</v>
      </c>
      <c r="L1354">
        <f t="shared" si="211"/>
        <v>113.63333333333334</v>
      </c>
      <c r="M1354">
        <f t="shared" si="212"/>
        <v>28.875</v>
      </c>
      <c r="N1354">
        <f t="shared" si="213"/>
        <v>9.8350000000000009</v>
      </c>
      <c r="O1354">
        <f t="shared" si="214"/>
        <v>7.0750000000000002</v>
      </c>
      <c r="P1354">
        <f t="shared" si="215"/>
        <v>11.704545454545455</v>
      </c>
      <c r="Q1354">
        <f t="shared" si="216"/>
        <v>14.712962962962964</v>
      </c>
      <c r="R1354">
        <f t="shared" si="217"/>
        <v>166.73333333333332</v>
      </c>
      <c r="S1354" t="str">
        <f t="shared" si="218"/>
        <v>Moderate</v>
      </c>
      <c r="T1354" t="str">
        <f t="shared" si="219"/>
        <v>PM2.5</v>
      </c>
      <c r="U1354">
        <v>25.31</v>
      </c>
      <c r="V1354">
        <v>55.89</v>
      </c>
    </row>
    <row r="1355" spans="1:22" x14ac:dyDescent="0.3">
      <c r="A1355" s="2" t="s">
        <v>15</v>
      </c>
      <c r="B1355">
        <v>560026</v>
      </c>
      <c r="C1355" s="3">
        <v>44861</v>
      </c>
      <c r="D1355">
        <v>72.900000000000006</v>
      </c>
      <c r="E1355">
        <v>122.93</v>
      </c>
      <c r="F1355">
        <v>24.43</v>
      </c>
      <c r="G1355">
        <v>60.04</v>
      </c>
      <c r="H1355">
        <v>5.86</v>
      </c>
      <c r="I1355">
        <v>1.2</v>
      </c>
      <c r="J1355">
        <v>4.3499999999999996</v>
      </c>
      <c r="K1355">
        <f t="shared" si="210"/>
        <v>143</v>
      </c>
      <c r="L1355">
        <f t="shared" si="211"/>
        <v>115.28666666666668</v>
      </c>
      <c r="M1355">
        <f t="shared" si="212"/>
        <v>30.537500000000001</v>
      </c>
      <c r="N1355">
        <f t="shared" si="213"/>
        <v>15.01</v>
      </c>
      <c r="O1355">
        <f t="shared" si="214"/>
        <v>7.3250000000000002</v>
      </c>
      <c r="P1355">
        <f t="shared" si="215"/>
        <v>13.636363636363635</v>
      </c>
      <c r="Q1355">
        <f t="shared" si="216"/>
        <v>4.0277777777777777</v>
      </c>
      <c r="R1355">
        <f t="shared" si="217"/>
        <v>143</v>
      </c>
      <c r="S1355" t="str">
        <f t="shared" si="218"/>
        <v>Moderate</v>
      </c>
      <c r="T1355" t="str">
        <f t="shared" si="219"/>
        <v>PM2.5</v>
      </c>
      <c r="U1355">
        <v>25.04</v>
      </c>
      <c r="V1355">
        <v>46.68</v>
      </c>
    </row>
    <row r="1356" spans="1:22" x14ac:dyDescent="0.3">
      <c r="A1356" s="2" t="s">
        <v>15</v>
      </c>
      <c r="B1356">
        <v>560026</v>
      </c>
      <c r="C1356" s="3">
        <v>44862</v>
      </c>
      <c r="D1356">
        <v>68.930000000000007</v>
      </c>
      <c r="E1356">
        <v>118.59</v>
      </c>
      <c r="F1356">
        <v>18.54</v>
      </c>
      <c r="G1356">
        <v>50.16</v>
      </c>
      <c r="H1356">
        <v>4.88</v>
      </c>
      <c r="I1356">
        <v>1.1100000000000001</v>
      </c>
      <c r="J1356">
        <v>4.3600000000000003</v>
      </c>
      <c r="K1356">
        <f t="shared" si="210"/>
        <v>129.76666666666668</v>
      </c>
      <c r="L1356">
        <f t="shared" si="211"/>
        <v>112.39333333333333</v>
      </c>
      <c r="M1356">
        <f t="shared" si="212"/>
        <v>23.175000000000001</v>
      </c>
      <c r="N1356">
        <f t="shared" si="213"/>
        <v>12.54</v>
      </c>
      <c r="O1356">
        <f t="shared" si="214"/>
        <v>6.1</v>
      </c>
      <c r="P1356">
        <f t="shared" si="215"/>
        <v>12.613636363636365</v>
      </c>
      <c r="Q1356">
        <f t="shared" si="216"/>
        <v>4.0370370370370372</v>
      </c>
      <c r="R1356">
        <f t="shared" si="217"/>
        <v>129.76666666666668</v>
      </c>
      <c r="S1356" t="str">
        <f t="shared" si="218"/>
        <v>Moderate</v>
      </c>
      <c r="T1356" t="str">
        <f t="shared" si="219"/>
        <v>PM2.5</v>
      </c>
      <c r="U1356">
        <v>24.3</v>
      </c>
      <c r="V1356">
        <v>43.74</v>
      </c>
    </row>
    <row r="1357" spans="1:22" x14ac:dyDescent="0.3">
      <c r="A1357" s="2" t="s">
        <v>15</v>
      </c>
      <c r="B1357">
        <v>560026</v>
      </c>
      <c r="C1357" s="3">
        <v>44863</v>
      </c>
      <c r="D1357">
        <v>67.290000000000006</v>
      </c>
      <c r="E1357">
        <v>100.84</v>
      </c>
      <c r="F1357">
        <v>17.64</v>
      </c>
      <c r="G1357">
        <v>46.69</v>
      </c>
      <c r="H1357">
        <v>6.32</v>
      </c>
      <c r="I1357">
        <v>1.1499999999999999</v>
      </c>
      <c r="J1357">
        <v>4.4800000000000004</v>
      </c>
      <c r="K1357">
        <f t="shared" si="210"/>
        <v>124.30000000000003</v>
      </c>
      <c r="L1357">
        <f t="shared" si="211"/>
        <v>100.56</v>
      </c>
      <c r="M1357">
        <f t="shared" si="212"/>
        <v>22.05</v>
      </c>
      <c r="N1357">
        <f t="shared" si="213"/>
        <v>11.672499999999999</v>
      </c>
      <c r="O1357">
        <f t="shared" si="214"/>
        <v>7.9</v>
      </c>
      <c r="P1357">
        <f t="shared" si="215"/>
        <v>13.068181818181817</v>
      </c>
      <c r="Q1357">
        <f t="shared" si="216"/>
        <v>4.1481481481481488</v>
      </c>
      <c r="R1357">
        <f t="shared" si="217"/>
        <v>124.30000000000003</v>
      </c>
      <c r="S1357" t="str">
        <f t="shared" si="218"/>
        <v>Moderate</v>
      </c>
      <c r="T1357" t="str">
        <f t="shared" si="219"/>
        <v>PM2.5</v>
      </c>
      <c r="U1357">
        <v>24.15</v>
      </c>
      <c r="V1357">
        <v>43.71</v>
      </c>
    </row>
    <row r="1358" spans="1:22" x14ac:dyDescent="0.3">
      <c r="A1358" s="2" t="s">
        <v>15</v>
      </c>
      <c r="B1358">
        <v>560026</v>
      </c>
      <c r="C1358" s="3">
        <v>44864</v>
      </c>
      <c r="D1358">
        <v>70.569999999999993</v>
      </c>
      <c r="E1358">
        <v>109.59</v>
      </c>
      <c r="F1358">
        <v>16.010000000000002</v>
      </c>
      <c r="G1358">
        <v>42.96</v>
      </c>
      <c r="H1358">
        <v>4.82</v>
      </c>
      <c r="I1358">
        <v>1.05</v>
      </c>
      <c r="J1358">
        <v>4.59</v>
      </c>
      <c r="K1358">
        <f t="shared" si="210"/>
        <v>135.23333333333332</v>
      </c>
      <c r="L1358">
        <f t="shared" si="211"/>
        <v>106.39333333333333</v>
      </c>
      <c r="M1358">
        <f t="shared" si="212"/>
        <v>20.012500000000003</v>
      </c>
      <c r="N1358">
        <f t="shared" si="213"/>
        <v>10.74</v>
      </c>
      <c r="O1358">
        <f t="shared" si="214"/>
        <v>6.0250000000000004</v>
      </c>
      <c r="P1358">
        <f t="shared" si="215"/>
        <v>11.931818181818182</v>
      </c>
      <c r="Q1358">
        <f t="shared" si="216"/>
        <v>4.25</v>
      </c>
      <c r="R1358">
        <f t="shared" si="217"/>
        <v>135.23333333333332</v>
      </c>
      <c r="S1358" t="str">
        <f t="shared" si="218"/>
        <v>Moderate</v>
      </c>
      <c r="T1358" t="str">
        <f t="shared" si="219"/>
        <v>PM2.5</v>
      </c>
      <c r="U1358">
        <v>24.5</v>
      </c>
      <c r="V1358">
        <v>42.02</v>
      </c>
    </row>
    <row r="1359" spans="1:22" x14ac:dyDescent="0.3">
      <c r="A1359" s="2" t="s">
        <v>15</v>
      </c>
      <c r="B1359">
        <v>560026</v>
      </c>
      <c r="C1359" s="3">
        <v>44866</v>
      </c>
      <c r="D1359">
        <v>59.57</v>
      </c>
      <c r="E1359">
        <v>103.67</v>
      </c>
      <c r="F1359">
        <v>16.32</v>
      </c>
      <c r="G1359">
        <v>42.65</v>
      </c>
      <c r="H1359">
        <v>5.19</v>
      </c>
      <c r="I1359">
        <v>1.1299999999999999</v>
      </c>
      <c r="J1359">
        <v>4.4800000000000004</v>
      </c>
      <c r="K1359">
        <f t="shared" si="210"/>
        <v>99.283333333333331</v>
      </c>
      <c r="L1359">
        <f t="shared" si="211"/>
        <v>102.44666666666667</v>
      </c>
      <c r="M1359">
        <f t="shared" si="212"/>
        <v>20.399999999999999</v>
      </c>
      <c r="N1359">
        <f t="shared" si="213"/>
        <v>10.6625</v>
      </c>
      <c r="O1359">
        <f t="shared" si="214"/>
        <v>6.4874999999999998</v>
      </c>
      <c r="P1359">
        <f t="shared" si="215"/>
        <v>12.84090909090909</v>
      </c>
      <c r="Q1359">
        <f t="shared" si="216"/>
        <v>4.1481481481481488</v>
      </c>
      <c r="R1359">
        <f t="shared" si="217"/>
        <v>102.44666666666667</v>
      </c>
      <c r="S1359" t="str">
        <f t="shared" si="218"/>
        <v>Moderate</v>
      </c>
      <c r="T1359" t="str">
        <f t="shared" si="219"/>
        <v>PM10</v>
      </c>
      <c r="U1359">
        <v>23.72</v>
      </c>
      <c r="V1359">
        <v>43.65</v>
      </c>
    </row>
    <row r="1360" spans="1:22" x14ac:dyDescent="0.3">
      <c r="A1360" s="2" t="s">
        <v>15</v>
      </c>
      <c r="B1360">
        <v>560026</v>
      </c>
      <c r="C1360" s="3">
        <v>44867</v>
      </c>
      <c r="D1360">
        <v>32.82</v>
      </c>
      <c r="E1360">
        <v>67.900000000000006</v>
      </c>
      <c r="F1360">
        <v>10.96</v>
      </c>
      <c r="G1360">
        <v>43.69</v>
      </c>
      <c r="H1360">
        <v>5.2</v>
      </c>
      <c r="I1360">
        <v>1.19</v>
      </c>
      <c r="J1360">
        <v>6.19</v>
      </c>
      <c r="K1360">
        <f t="shared" si="210"/>
        <v>54.7</v>
      </c>
      <c r="L1360">
        <f t="shared" si="211"/>
        <v>67.900000000000006</v>
      </c>
      <c r="M1360">
        <f t="shared" si="212"/>
        <v>13.7</v>
      </c>
      <c r="N1360">
        <f t="shared" si="213"/>
        <v>10.922499999999999</v>
      </c>
      <c r="O1360">
        <f t="shared" si="214"/>
        <v>6.5</v>
      </c>
      <c r="P1360">
        <f t="shared" si="215"/>
        <v>13.522727272727272</v>
      </c>
      <c r="Q1360">
        <f t="shared" si="216"/>
        <v>5.7314814814814818</v>
      </c>
      <c r="R1360">
        <f t="shared" si="217"/>
        <v>67.900000000000006</v>
      </c>
      <c r="S1360" t="str">
        <f t="shared" si="218"/>
        <v>Satisfactory</v>
      </c>
      <c r="T1360" t="str">
        <f t="shared" si="219"/>
        <v>PM10</v>
      </c>
      <c r="U1360">
        <v>22.61</v>
      </c>
      <c r="V1360">
        <v>43.01</v>
      </c>
    </row>
    <row r="1361" spans="1:22" x14ac:dyDescent="0.3">
      <c r="A1361" s="2" t="s">
        <v>15</v>
      </c>
      <c r="B1361">
        <v>560026</v>
      </c>
      <c r="C1361" s="3">
        <v>44868</v>
      </c>
      <c r="D1361">
        <v>46.65</v>
      </c>
      <c r="E1361">
        <v>90.16</v>
      </c>
      <c r="F1361">
        <v>11.71</v>
      </c>
      <c r="G1361">
        <v>48.68</v>
      </c>
      <c r="H1361">
        <v>7.27</v>
      </c>
      <c r="I1361">
        <v>1.4</v>
      </c>
      <c r="J1361">
        <v>4.66</v>
      </c>
      <c r="K1361">
        <f t="shared" si="210"/>
        <v>77.75</v>
      </c>
      <c r="L1361">
        <f t="shared" si="211"/>
        <v>90.16</v>
      </c>
      <c r="M1361">
        <f t="shared" si="212"/>
        <v>14.637499999999999</v>
      </c>
      <c r="N1361">
        <f t="shared" si="213"/>
        <v>12.17</v>
      </c>
      <c r="O1361">
        <f t="shared" si="214"/>
        <v>9.0875000000000004</v>
      </c>
      <c r="P1361">
        <f t="shared" si="215"/>
        <v>15.909090909090908</v>
      </c>
      <c r="Q1361">
        <f t="shared" si="216"/>
        <v>4.3148148148148149</v>
      </c>
      <c r="R1361">
        <f t="shared" si="217"/>
        <v>90.16</v>
      </c>
      <c r="S1361" t="str">
        <f t="shared" si="218"/>
        <v>Satisfactory</v>
      </c>
      <c r="T1361" t="str">
        <f t="shared" si="219"/>
        <v>PM10</v>
      </c>
      <c r="U1361">
        <v>23.42</v>
      </c>
      <c r="V1361">
        <v>43.36</v>
      </c>
    </row>
    <row r="1362" spans="1:22" x14ac:dyDescent="0.3">
      <c r="A1362" s="2" t="s">
        <v>15</v>
      </c>
      <c r="B1362">
        <v>560026</v>
      </c>
      <c r="C1362" s="3">
        <v>44869</v>
      </c>
      <c r="D1362">
        <v>40.04</v>
      </c>
      <c r="E1362">
        <v>80.09</v>
      </c>
      <c r="F1362">
        <v>12.11</v>
      </c>
      <c r="G1362">
        <v>41.8</v>
      </c>
      <c r="H1362">
        <v>5.97</v>
      </c>
      <c r="I1362">
        <v>1.1299999999999999</v>
      </c>
      <c r="J1362">
        <v>4.87</v>
      </c>
      <c r="K1362">
        <f t="shared" si="210"/>
        <v>66.733333333333334</v>
      </c>
      <c r="L1362">
        <f t="shared" si="211"/>
        <v>80.09</v>
      </c>
      <c r="M1362">
        <f t="shared" si="212"/>
        <v>15.137499999999999</v>
      </c>
      <c r="N1362">
        <f t="shared" si="213"/>
        <v>10.45</v>
      </c>
      <c r="O1362">
        <f t="shared" si="214"/>
        <v>7.4625000000000004</v>
      </c>
      <c r="P1362">
        <f t="shared" si="215"/>
        <v>12.84090909090909</v>
      </c>
      <c r="Q1362">
        <f t="shared" si="216"/>
        <v>4.5092592592592595</v>
      </c>
      <c r="R1362">
        <f t="shared" si="217"/>
        <v>80.09</v>
      </c>
      <c r="S1362" t="str">
        <f t="shared" si="218"/>
        <v>Satisfactory</v>
      </c>
      <c r="T1362" t="str">
        <f t="shared" si="219"/>
        <v>PM10</v>
      </c>
      <c r="U1362">
        <v>24.23</v>
      </c>
      <c r="V1362">
        <v>43.07</v>
      </c>
    </row>
    <row r="1363" spans="1:22" x14ac:dyDescent="0.3">
      <c r="A1363" s="2" t="s">
        <v>15</v>
      </c>
      <c r="B1363">
        <v>560026</v>
      </c>
      <c r="C1363" s="3">
        <v>44870</v>
      </c>
      <c r="D1363">
        <v>47</v>
      </c>
      <c r="E1363">
        <v>84.43</v>
      </c>
      <c r="F1363">
        <v>12.04</v>
      </c>
      <c r="G1363">
        <v>38.26</v>
      </c>
      <c r="H1363">
        <v>5.85</v>
      </c>
      <c r="I1363">
        <v>0.99</v>
      </c>
      <c r="J1363">
        <v>5</v>
      </c>
      <c r="K1363">
        <f t="shared" si="210"/>
        <v>78.333333333333329</v>
      </c>
      <c r="L1363">
        <f t="shared" si="211"/>
        <v>84.43</v>
      </c>
      <c r="M1363">
        <f t="shared" si="212"/>
        <v>15.05</v>
      </c>
      <c r="N1363">
        <f t="shared" si="213"/>
        <v>9.5649999999999995</v>
      </c>
      <c r="O1363">
        <f t="shared" si="214"/>
        <v>7.3125</v>
      </c>
      <c r="P1363">
        <f t="shared" si="215"/>
        <v>11.25</v>
      </c>
      <c r="Q1363">
        <f t="shared" si="216"/>
        <v>4.6296296296296298</v>
      </c>
      <c r="R1363">
        <f t="shared" si="217"/>
        <v>84.43</v>
      </c>
      <c r="S1363" t="str">
        <f t="shared" si="218"/>
        <v>Satisfactory</v>
      </c>
      <c r="T1363" t="str">
        <f t="shared" si="219"/>
        <v>PM10</v>
      </c>
      <c r="U1363">
        <v>24.81</v>
      </c>
      <c r="V1363">
        <v>43.21</v>
      </c>
    </row>
    <row r="1364" spans="1:22" x14ac:dyDescent="0.3">
      <c r="A1364" s="2" t="s">
        <v>15</v>
      </c>
      <c r="B1364">
        <v>560026</v>
      </c>
      <c r="C1364" s="3">
        <v>44871</v>
      </c>
      <c r="D1364">
        <v>62.31</v>
      </c>
      <c r="E1364">
        <v>100.38</v>
      </c>
      <c r="F1364">
        <v>13.44</v>
      </c>
      <c r="G1364">
        <v>35.64</v>
      </c>
      <c r="H1364">
        <v>6.57</v>
      </c>
      <c r="I1364">
        <v>1.0900000000000001</v>
      </c>
      <c r="J1364">
        <v>4.1900000000000004</v>
      </c>
      <c r="K1364">
        <f t="shared" si="210"/>
        <v>107.7</v>
      </c>
      <c r="L1364">
        <f t="shared" si="211"/>
        <v>100.25333333333333</v>
      </c>
      <c r="M1364">
        <f t="shared" si="212"/>
        <v>16.8</v>
      </c>
      <c r="N1364">
        <f t="shared" si="213"/>
        <v>8.91</v>
      </c>
      <c r="O1364">
        <f t="shared" si="214"/>
        <v>8.2125000000000004</v>
      </c>
      <c r="P1364">
        <f t="shared" si="215"/>
        <v>12.386363636363637</v>
      </c>
      <c r="Q1364">
        <f t="shared" si="216"/>
        <v>3.8796296296296302</v>
      </c>
      <c r="R1364">
        <f t="shared" si="217"/>
        <v>107.7</v>
      </c>
      <c r="S1364" t="str">
        <f t="shared" si="218"/>
        <v>Moderate</v>
      </c>
      <c r="T1364" t="str">
        <f t="shared" si="219"/>
        <v>PM2.5</v>
      </c>
      <c r="U1364">
        <v>23.8</v>
      </c>
      <c r="V1364">
        <v>43.61</v>
      </c>
    </row>
    <row r="1365" spans="1:22" x14ac:dyDescent="0.3">
      <c r="A1365" s="2" t="s">
        <v>15</v>
      </c>
      <c r="B1365">
        <v>560026</v>
      </c>
      <c r="C1365" s="3">
        <v>44875</v>
      </c>
      <c r="D1365">
        <v>78.62</v>
      </c>
      <c r="E1365">
        <v>127.42</v>
      </c>
      <c r="F1365">
        <v>17.75</v>
      </c>
      <c r="G1365">
        <v>45.01</v>
      </c>
      <c r="H1365">
        <v>5.93</v>
      </c>
      <c r="I1365">
        <v>1.1200000000000001</v>
      </c>
      <c r="J1365">
        <v>4.75</v>
      </c>
      <c r="K1365">
        <f t="shared" si="210"/>
        <v>162.06666666666669</v>
      </c>
      <c r="L1365">
        <f t="shared" si="211"/>
        <v>118.28</v>
      </c>
      <c r="M1365">
        <f t="shared" si="212"/>
        <v>22.1875</v>
      </c>
      <c r="N1365">
        <f t="shared" si="213"/>
        <v>11.2525</v>
      </c>
      <c r="O1365">
        <f t="shared" si="214"/>
        <v>7.4124999999999996</v>
      </c>
      <c r="P1365">
        <f t="shared" si="215"/>
        <v>12.727272727272728</v>
      </c>
      <c r="Q1365">
        <f t="shared" si="216"/>
        <v>4.3981481481481479</v>
      </c>
      <c r="R1365">
        <f t="shared" si="217"/>
        <v>162.06666666666669</v>
      </c>
      <c r="S1365" t="str">
        <f t="shared" si="218"/>
        <v>Moderate</v>
      </c>
      <c r="T1365" t="str">
        <f t="shared" si="219"/>
        <v>PM2.5</v>
      </c>
      <c r="U1365">
        <v>24.39</v>
      </c>
      <c r="V1365">
        <v>43.58</v>
      </c>
    </row>
    <row r="1366" spans="1:22" x14ac:dyDescent="0.3">
      <c r="A1366" s="2" t="s">
        <v>15</v>
      </c>
      <c r="B1366">
        <v>560026</v>
      </c>
      <c r="C1366" s="3">
        <v>44877</v>
      </c>
      <c r="D1366">
        <v>56.52</v>
      </c>
      <c r="E1366">
        <v>72.78</v>
      </c>
      <c r="F1366">
        <v>13.55</v>
      </c>
      <c r="G1366">
        <v>47.17</v>
      </c>
      <c r="H1366">
        <v>6.51</v>
      </c>
      <c r="I1366">
        <v>1.37</v>
      </c>
      <c r="J1366">
        <v>5.15</v>
      </c>
      <c r="K1366">
        <f t="shared" si="210"/>
        <v>94.200000000000017</v>
      </c>
      <c r="L1366">
        <f t="shared" si="211"/>
        <v>72.78</v>
      </c>
      <c r="M1366">
        <f t="shared" si="212"/>
        <v>16.9375</v>
      </c>
      <c r="N1366">
        <f t="shared" si="213"/>
        <v>11.7925</v>
      </c>
      <c r="O1366">
        <f t="shared" si="214"/>
        <v>8.1374999999999993</v>
      </c>
      <c r="P1366">
        <f t="shared" si="215"/>
        <v>15.568181818181818</v>
      </c>
      <c r="Q1366">
        <f t="shared" si="216"/>
        <v>4.768518518518519</v>
      </c>
      <c r="R1366">
        <f t="shared" si="217"/>
        <v>94.200000000000017</v>
      </c>
      <c r="S1366" t="str">
        <f t="shared" si="218"/>
        <v>Satisfactory</v>
      </c>
      <c r="T1366" t="str">
        <f t="shared" si="219"/>
        <v>PM2.5</v>
      </c>
      <c r="U1366">
        <v>21.69</v>
      </c>
      <c r="V1366">
        <v>44.11</v>
      </c>
    </row>
    <row r="1367" spans="1:22" x14ac:dyDescent="0.3">
      <c r="A1367" s="2" t="s">
        <v>15</v>
      </c>
      <c r="B1367">
        <v>560026</v>
      </c>
      <c r="C1367" s="3">
        <v>44878</v>
      </c>
      <c r="D1367">
        <v>26</v>
      </c>
      <c r="E1367">
        <v>35</v>
      </c>
      <c r="F1367">
        <v>7.62</v>
      </c>
      <c r="G1367">
        <v>35.58</v>
      </c>
      <c r="H1367">
        <v>5.77</v>
      </c>
      <c r="I1367">
        <v>0.8</v>
      </c>
      <c r="J1367">
        <v>5.88</v>
      </c>
      <c r="K1367">
        <f t="shared" si="210"/>
        <v>43.333333333333336</v>
      </c>
      <c r="L1367">
        <f t="shared" si="211"/>
        <v>35</v>
      </c>
      <c r="M1367">
        <f t="shared" si="212"/>
        <v>9.5250000000000004</v>
      </c>
      <c r="N1367">
        <f t="shared" si="213"/>
        <v>8.8949999999999996</v>
      </c>
      <c r="O1367">
        <f t="shared" si="214"/>
        <v>7.2125000000000004</v>
      </c>
      <c r="P1367">
        <f t="shared" si="215"/>
        <v>9.0909090909090917</v>
      </c>
      <c r="Q1367">
        <f t="shared" si="216"/>
        <v>5.4444444444444446</v>
      </c>
      <c r="R1367">
        <f t="shared" si="217"/>
        <v>43.333333333333336</v>
      </c>
      <c r="S1367" t="str">
        <f t="shared" si="218"/>
        <v>Good</v>
      </c>
      <c r="T1367" t="str">
        <f t="shared" si="219"/>
        <v>PM2.5</v>
      </c>
      <c r="U1367">
        <v>21.25</v>
      </c>
      <c r="V1367">
        <v>45.75</v>
      </c>
    </row>
    <row r="1368" spans="1:22" x14ac:dyDescent="0.3">
      <c r="A1368" s="2" t="s">
        <v>15</v>
      </c>
      <c r="B1368">
        <v>560026</v>
      </c>
      <c r="C1368" s="3">
        <v>44879</v>
      </c>
      <c r="D1368">
        <v>49</v>
      </c>
      <c r="E1368">
        <v>71.900000000000006</v>
      </c>
      <c r="F1368">
        <v>8.84</v>
      </c>
      <c r="G1368">
        <v>59.88</v>
      </c>
      <c r="H1368">
        <v>5.72</v>
      </c>
      <c r="I1368">
        <v>1.44</v>
      </c>
      <c r="J1368">
        <v>9.24</v>
      </c>
      <c r="K1368">
        <f t="shared" si="210"/>
        <v>81.666666666666671</v>
      </c>
      <c r="L1368">
        <f t="shared" si="211"/>
        <v>71.900000000000006</v>
      </c>
      <c r="M1368">
        <f t="shared" si="212"/>
        <v>11.05</v>
      </c>
      <c r="N1368">
        <f t="shared" si="213"/>
        <v>14.97</v>
      </c>
      <c r="O1368">
        <f t="shared" si="214"/>
        <v>7.15</v>
      </c>
      <c r="P1368">
        <f t="shared" si="215"/>
        <v>16.363636363636363</v>
      </c>
      <c r="Q1368">
        <f t="shared" si="216"/>
        <v>8.5555555555555554</v>
      </c>
      <c r="R1368">
        <f t="shared" si="217"/>
        <v>81.666666666666671</v>
      </c>
      <c r="S1368" t="str">
        <f t="shared" si="218"/>
        <v>Satisfactory</v>
      </c>
      <c r="T1368" t="str">
        <f t="shared" si="219"/>
        <v>PM2.5</v>
      </c>
      <c r="U1368">
        <v>23.76</v>
      </c>
      <c r="V1368">
        <v>43.74</v>
      </c>
    </row>
    <row r="1369" spans="1:22" x14ac:dyDescent="0.3">
      <c r="A1369" s="2" t="s">
        <v>15</v>
      </c>
      <c r="B1369">
        <v>560026</v>
      </c>
      <c r="C1369" s="3">
        <v>44887</v>
      </c>
      <c r="D1369">
        <v>41.35</v>
      </c>
      <c r="E1369">
        <v>103.12</v>
      </c>
      <c r="F1369">
        <v>9.6999999999999993</v>
      </c>
      <c r="G1369">
        <v>31.25</v>
      </c>
      <c r="H1369">
        <v>5.35</v>
      </c>
      <c r="I1369">
        <v>1.24</v>
      </c>
      <c r="J1369">
        <v>6.21</v>
      </c>
      <c r="K1369">
        <f t="shared" ref="K1369:K1420" si="220">IF(ISTEXT(D1369),0,IF(D1369&lt;=30,D1369*50/30,IF(AND(D1369&gt;30,D1369&lt;=60),50+(D1369-30)*50/30,IF(AND(D1369&gt;60,D1369&lt;=90),100+(D1369-60)*100/30,IF(AND(D1369&gt;90,D1369&lt;=120),200+(D1369-90)*(100/30),IF(AND(D1369&gt;120,D1369&lt;=250),300+(D1369-120)*(100/130),IF(D1369&gt;250,400+(D1369-250)*(100/130))))))))</f>
        <v>68.916666666666671</v>
      </c>
      <c r="L1369">
        <f t="shared" ref="L1369:L1420" si="221">IF(ISTEXT(E1369),0,IF(E1369&lt;=50,E1369,IF(AND(E1369&gt;50,E1369&lt;=100),E1369,IF(AND(E1369&gt;100,E1369&lt;=250),100+(E1369-100)*100/150,IF(AND(E1369&gt;250,E1369&lt;=350),200+(E1369-250),IF(AND(E1369&gt;350,E1369&lt;=430),300+(E1369-350)*(100/80),IF(E1369&gt;430,400+(E1369-430)*(100/80))))))))</f>
        <v>102.08</v>
      </c>
      <c r="M1369">
        <f t="shared" ref="M1369:M1420" si="222">IF(ISTEXT(F1369),0,IF(F1369&lt;=40,F1369*50/40,IF(AND(F1369&gt;40,F1369&lt;=80),50+(F1369-40)*50/40,IF(AND(F1369&gt;80,F1369&lt;=180),100+(F1369-80)*100/100,IF(AND(F1369&gt;180,F1369&lt;=280),200+(F1369-180)*(100/100),IF(AND(F1369&gt;280,F1369&lt;=400),300+(F1369-280)*(100/120),IF(F1369&gt;400,400+(F1369-400)*(100/120))))))))</f>
        <v>12.124999999999998</v>
      </c>
      <c r="N1369">
        <f t="shared" ref="N1369:N1420" si="223">IF(ISTEXT(G1369),0,IF(G1369&lt;=200,G1369*50/200,IF(AND(G1369&gt;200,G1369&lt;=400),50+(G1369-200)*50/200,IF(AND(G1369&gt;400,G1369&lt;=800),100+(G1369-400)*100/400,IF(AND(G1369&gt;800,G1369&lt;=1200),200+(G1369-800)*(100/400),IF(AND(G1369&gt;1200,G1369&lt;=1800),300+(G1369-1200)*(100/600),IF(G1369&gt;1800,400+(G1369-1800)*(100/600))))))))</f>
        <v>7.8125</v>
      </c>
      <c r="O1369">
        <f t="shared" ref="O1369:O1420" si="224">IF(ISTEXT(H1369),0,IF(H1369&lt;=40,H1369*50/40,IF(AND(H1369&gt;40,H1369&lt;=80),50+(H1369-40)*50/40,IF(AND(H1369&gt;80,H1369&lt;=380),100+(H1369-80)*100/300,IF(AND(H1369&gt;380,H1369&lt;=800),200+(H1369-380)*(100/420),IF(AND(H1369&gt;800,H1369&lt;=1600),300+(H1369-800)*(100/800),IF(H1369&gt;1600,400+(H1369-1600)*(100/800))))))))</f>
        <v>6.6875</v>
      </c>
      <c r="P1369">
        <f t="shared" ref="P1369:P1420" si="225">IF(I1369&lt;=4.4,(50-0)/(4.4-0)*(I1369-0)+0,
IF(I1369&lt;=9.4,(100-51)/(9.4-4.5)*(I1369-4.5)+51,
IF(I1369&lt;=12.4,(150-101)/(12.4-9.5)*(I1369-9.5)+101,
IF(I1369&lt;=15.4,(200-151)/(15.4-12.5)*(I1369-12.5)+151,
IF(I1369&lt;=30.4,(300-201)/(30.4-15.5)*(I1369-15.5)+201,
(500-301)/(50.4-30.5)*(I1369-30.5)+301)))))</f>
        <v>14.09090909090909</v>
      </c>
      <c r="Q1369">
        <f t="shared" ref="Q1369:Q1420" si="226">IF(J1369&lt;=54,(50-0)/(54-0)*(J1369-0)+0,
IF(J1369&lt;=70,(100-51)/(70-55)*(J1369-55)+51,
IF(J1369&lt;=85,(150-101)/(85-71)*(J1369-71)+101,
IF(J1369&lt;=105,(200-151)/(105-86)*(J1369-86)+151,
IF(J1369&lt;=200,(300-201)/(200-106)*(J1369-106)+201,
(500-301)/(300-201)*(J1369-201)+301)))))</f>
        <v>5.75</v>
      </c>
      <c r="R1369">
        <f t="shared" ref="R1369:R1420" si="227">MAX(K1369:Q1369)</f>
        <v>102.08</v>
      </c>
      <c r="S1369" t="str">
        <f t="shared" ref="S1369:S1420" si="228">IF(R1369&lt;=50,"Good",
IF(R1369&lt;=100,"Satisfactory",
IF(R1369&lt;=200,"Moderate",
IF(R1369&lt;=300,"Poor",
IF(R1369&lt;=400,"Very Poor",
"Severe")))))</f>
        <v>Moderate</v>
      </c>
      <c r="T1369" t="str">
        <f t="shared" ref="T1369:T1420" si="229">IF(MAX(K1369:Q1369)=K1369,"PM2.5",
IF(MAX(K1369:Q1369)=L1369,"PM10",
IF(MAX(K1369:Q1369)=M1369,"NO2",
IF(MAX(K1369:Q1369)=N1369,"NH3",
IF(MAX(K1369:Q1369)=O1369,"SO2",
IF(MAX(K1369:Q1369)=P1369,"CO",
IF(MAX(K1369:Q1369)=Q1369,"OZONE","")))))))</f>
        <v>PM10</v>
      </c>
      <c r="U1369">
        <v>22.66</v>
      </c>
      <c r="V1369">
        <v>43.92</v>
      </c>
    </row>
    <row r="1370" spans="1:22" x14ac:dyDescent="0.3">
      <c r="A1370" s="2" t="s">
        <v>15</v>
      </c>
      <c r="B1370">
        <v>560026</v>
      </c>
      <c r="C1370" s="3">
        <v>44888</v>
      </c>
      <c r="D1370">
        <v>37.4</v>
      </c>
      <c r="E1370">
        <v>93.2</v>
      </c>
      <c r="F1370">
        <v>6.24</v>
      </c>
      <c r="G1370">
        <v>6.46</v>
      </c>
      <c r="H1370">
        <v>5.51</v>
      </c>
      <c r="I1370">
        <v>1.17</v>
      </c>
      <c r="J1370">
        <v>6.3</v>
      </c>
      <c r="K1370">
        <f t="shared" si="220"/>
        <v>62.333333333333329</v>
      </c>
      <c r="L1370">
        <f t="shared" si="221"/>
        <v>93.2</v>
      </c>
      <c r="M1370">
        <f t="shared" si="222"/>
        <v>7.8</v>
      </c>
      <c r="N1370">
        <f t="shared" si="223"/>
        <v>1.615</v>
      </c>
      <c r="O1370">
        <f t="shared" si="224"/>
        <v>6.8875000000000002</v>
      </c>
      <c r="P1370">
        <f t="shared" si="225"/>
        <v>13.295454545454545</v>
      </c>
      <c r="Q1370">
        <f t="shared" si="226"/>
        <v>5.833333333333333</v>
      </c>
      <c r="R1370">
        <f t="shared" si="227"/>
        <v>93.2</v>
      </c>
      <c r="S1370" t="str">
        <f t="shared" si="228"/>
        <v>Satisfactory</v>
      </c>
      <c r="T1370" t="str">
        <f t="shared" si="229"/>
        <v>PM10</v>
      </c>
      <c r="U1370">
        <v>23.18</v>
      </c>
      <c r="V1370">
        <v>43.72</v>
      </c>
    </row>
    <row r="1371" spans="1:22" x14ac:dyDescent="0.3">
      <c r="A1371" s="2" t="s">
        <v>15</v>
      </c>
      <c r="B1371">
        <v>560026</v>
      </c>
      <c r="C1371" s="3">
        <v>44889</v>
      </c>
      <c r="D1371">
        <v>72.88</v>
      </c>
      <c r="E1371">
        <v>102.32</v>
      </c>
      <c r="F1371">
        <v>4.38</v>
      </c>
      <c r="G1371">
        <v>3.5</v>
      </c>
      <c r="H1371">
        <v>6.45</v>
      </c>
      <c r="I1371">
        <v>1.22</v>
      </c>
      <c r="J1371">
        <v>6.06</v>
      </c>
      <c r="K1371">
        <f t="shared" si="220"/>
        <v>142.93333333333331</v>
      </c>
      <c r="L1371">
        <f t="shared" si="221"/>
        <v>101.54666666666667</v>
      </c>
      <c r="M1371">
        <f t="shared" si="222"/>
        <v>5.4749999999999996</v>
      </c>
      <c r="N1371">
        <f t="shared" si="223"/>
        <v>0.875</v>
      </c>
      <c r="O1371">
        <f t="shared" si="224"/>
        <v>8.0625</v>
      </c>
      <c r="P1371">
        <f t="shared" si="225"/>
        <v>13.863636363636363</v>
      </c>
      <c r="Q1371">
        <f t="shared" si="226"/>
        <v>5.6111111111111107</v>
      </c>
      <c r="R1371">
        <f t="shared" si="227"/>
        <v>142.93333333333331</v>
      </c>
      <c r="S1371" t="str">
        <f t="shared" si="228"/>
        <v>Moderate</v>
      </c>
      <c r="T1371" t="str">
        <f t="shared" si="229"/>
        <v>PM2.5</v>
      </c>
      <c r="U1371">
        <v>22.48</v>
      </c>
      <c r="V1371">
        <v>43.9</v>
      </c>
    </row>
    <row r="1372" spans="1:22" x14ac:dyDescent="0.3">
      <c r="A1372" s="2" t="s">
        <v>15</v>
      </c>
      <c r="B1372">
        <v>560026</v>
      </c>
      <c r="C1372" s="3">
        <v>44890</v>
      </c>
      <c r="D1372">
        <v>76.83</v>
      </c>
      <c r="E1372">
        <v>117.6</v>
      </c>
      <c r="F1372">
        <v>4.7300000000000004</v>
      </c>
      <c r="G1372">
        <v>3.06</v>
      </c>
      <c r="H1372">
        <v>6.54</v>
      </c>
      <c r="I1372">
        <v>1.1299999999999999</v>
      </c>
      <c r="J1372">
        <v>5.91</v>
      </c>
      <c r="K1372">
        <f t="shared" si="220"/>
        <v>156.1</v>
      </c>
      <c r="L1372">
        <f t="shared" si="221"/>
        <v>111.73333333333333</v>
      </c>
      <c r="M1372">
        <f t="shared" si="222"/>
        <v>5.9125000000000005</v>
      </c>
      <c r="N1372">
        <f t="shared" si="223"/>
        <v>0.76500000000000001</v>
      </c>
      <c r="O1372">
        <f t="shared" si="224"/>
        <v>8.1750000000000007</v>
      </c>
      <c r="P1372">
        <f t="shared" si="225"/>
        <v>12.84090909090909</v>
      </c>
      <c r="Q1372">
        <f t="shared" si="226"/>
        <v>5.4722222222222223</v>
      </c>
      <c r="R1372">
        <f t="shared" si="227"/>
        <v>156.1</v>
      </c>
      <c r="S1372" t="str">
        <f t="shared" si="228"/>
        <v>Moderate</v>
      </c>
      <c r="T1372" t="str">
        <f t="shared" si="229"/>
        <v>PM2.5</v>
      </c>
      <c r="U1372">
        <v>24</v>
      </c>
      <c r="V1372">
        <v>43.18</v>
      </c>
    </row>
    <row r="1373" spans="1:22" x14ac:dyDescent="0.3">
      <c r="A1373" s="2" t="s">
        <v>15</v>
      </c>
      <c r="B1373">
        <v>560026</v>
      </c>
      <c r="C1373" s="3">
        <v>44891</v>
      </c>
      <c r="D1373">
        <v>56.63</v>
      </c>
      <c r="E1373">
        <v>101.27</v>
      </c>
      <c r="F1373">
        <v>2.82</v>
      </c>
      <c r="G1373">
        <v>3.23</v>
      </c>
      <c r="H1373">
        <v>6.39</v>
      </c>
      <c r="I1373">
        <v>1.02</v>
      </c>
      <c r="J1373">
        <v>5.73</v>
      </c>
      <c r="K1373">
        <f t="shared" si="220"/>
        <v>94.38333333333334</v>
      </c>
      <c r="L1373">
        <f t="shared" si="221"/>
        <v>100.84666666666666</v>
      </c>
      <c r="M1373">
        <f t="shared" si="222"/>
        <v>3.5249999999999999</v>
      </c>
      <c r="N1373">
        <f t="shared" si="223"/>
        <v>0.8075</v>
      </c>
      <c r="O1373">
        <f t="shared" si="224"/>
        <v>7.9874999999999998</v>
      </c>
      <c r="P1373">
        <f t="shared" si="225"/>
        <v>11.59090909090909</v>
      </c>
      <c r="Q1373">
        <f t="shared" si="226"/>
        <v>5.3055555555555562</v>
      </c>
      <c r="R1373">
        <f t="shared" si="227"/>
        <v>100.84666666666666</v>
      </c>
      <c r="S1373" t="str">
        <f t="shared" si="228"/>
        <v>Moderate</v>
      </c>
      <c r="T1373" t="str">
        <f t="shared" si="229"/>
        <v>PM10</v>
      </c>
      <c r="U1373">
        <v>24.73</v>
      </c>
      <c r="V1373">
        <v>43.1</v>
      </c>
    </row>
    <row r="1374" spans="1:22" x14ac:dyDescent="0.3">
      <c r="A1374" s="2" t="s">
        <v>15</v>
      </c>
      <c r="B1374">
        <v>560026</v>
      </c>
      <c r="C1374" s="3">
        <v>44892</v>
      </c>
      <c r="D1374">
        <v>69.62</v>
      </c>
      <c r="E1374">
        <v>101.38</v>
      </c>
      <c r="F1374">
        <v>3.83</v>
      </c>
      <c r="G1374">
        <v>3.12</v>
      </c>
      <c r="H1374">
        <v>5.91</v>
      </c>
      <c r="I1374">
        <v>0.85</v>
      </c>
      <c r="J1374">
        <v>4.92</v>
      </c>
      <c r="K1374">
        <f t="shared" si="220"/>
        <v>132.06666666666669</v>
      </c>
      <c r="L1374">
        <f t="shared" si="221"/>
        <v>100.92</v>
      </c>
      <c r="M1374">
        <f t="shared" si="222"/>
        <v>4.7874999999999996</v>
      </c>
      <c r="N1374">
        <f t="shared" si="223"/>
        <v>0.78</v>
      </c>
      <c r="O1374">
        <f t="shared" si="224"/>
        <v>7.3875000000000002</v>
      </c>
      <c r="P1374">
        <f t="shared" si="225"/>
        <v>9.6590909090909083</v>
      </c>
      <c r="Q1374">
        <f t="shared" si="226"/>
        <v>4.5555555555555554</v>
      </c>
      <c r="R1374">
        <f t="shared" si="227"/>
        <v>132.06666666666669</v>
      </c>
      <c r="S1374" t="str">
        <f t="shared" si="228"/>
        <v>Moderate</v>
      </c>
      <c r="T1374" t="str">
        <f t="shared" si="229"/>
        <v>PM2.5</v>
      </c>
      <c r="U1374">
        <v>25.01</v>
      </c>
      <c r="V1374">
        <v>43.25</v>
      </c>
    </row>
    <row r="1375" spans="1:22" x14ac:dyDescent="0.3">
      <c r="A1375" s="2" t="s">
        <v>15</v>
      </c>
      <c r="B1375">
        <v>560026</v>
      </c>
      <c r="C1375" s="3">
        <v>44897</v>
      </c>
      <c r="D1375">
        <v>45.78</v>
      </c>
      <c r="E1375">
        <v>75.28</v>
      </c>
      <c r="F1375">
        <v>1.4</v>
      </c>
      <c r="G1375">
        <v>5.3</v>
      </c>
      <c r="H1375">
        <v>6.33</v>
      </c>
      <c r="I1375">
        <v>1.08</v>
      </c>
      <c r="J1375">
        <v>5.68</v>
      </c>
      <c r="K1375">
        <f t="shared" si="220"/>
        <v>76.3</v>
      </c>
      <c r="L1375">
        <f t="shared" si="221"/>
        <v>75.28</v>
      </c>
      <c r="M1375">
        <f t="shared" si="222"/>
        <v>1.75</v>
      </c>
      <c r="N1375">
        <f t="shared" si="223"/>
        <v>1.325</v>
      </c>
      <c r="O1375">
        <f t="shared" si="224"/>
        <v>7.9124999999999996</v>
      </c>
      <c r="P1375">
        <f t="shared" si="225"/>
        <v>12.272727272727273</v>
      </c>
      <c r="Q1375">
        <f t="shared" si="226"/>
        <v>5.2592592592592586</v>
      </c>
      <c r="R1375">
        <f t="shared" si="227"/>
        <v>76.3</v>
      </c>
      <c r="S1375" t="str">
        <f t="shared" si="228"/>
        <v>Satisfactory</v>
      </c>
      <c r="T1375" t="str">
        <f t="shared" si="229"/>
        <v>PM2.5</v>
      </c>
      <c r="U1375">
        <v>24.56</v>
      </c>
      <c r="V1375">
        <v>43.38</v>
      </c>
    </row>
    <row r="1376" spans="1:22" x14ac:dyDescent="0.3">
      <c r="A1376" s="2" t="s">
        <v>15</v>
      </c>
      <c r="B1376">
        <v>560026</v>
      </c>
      <c r="C1376" s="3">
        <v>44898</v>
      </c>
      <c r="D1376">
        <v>34.08</v>
      </c>
      <c r="E1376">
        <v>56.85</v>
      </c>
      <c r="F1376">
        <v>6.0808333330000002</v>
      </c>
      <c r="G1376">
        <v>5.36</v>
      </c>
      <c r="H1376">
        <v>5.77</v>
      </c>
      <c r="I1376">
        <v>0.92</v>
      </c>
      <c r="J1376">
        <v>5.77</v>
      </c>
      <c r="K1376">
        <f t="shared" si="220"/>
        <v>56.8</v>
      </c>
      <c r="L1376">
        <f t="shared" si="221"/>
        <v>56.85</v>
      </c>
      <c r="M1376">
        <f t="shared" si="222"/>
        <v>7.6010416662500004</v>
      </c>
      <c r="N1376">
        <f t="shared" si="223"/>
        <v>1.34</v>
      </c>
      <c r="O1376">
        <f t="shared" si="224"/>
        <v>7.2125000000000004</v>
      </c>
      <c r="P1376">
        <f t="shared" si="225"/>
        <v>10.454545454545455</v>
      </c>
      <c r="Q1376">
        <f t="shared" si="226"/>
        <v>5.3425925925925926</v>
      </c>
      <c r="R1376">
        <f t="shared" si="227"/>
        <v>56.85</v>
      </c>
      <c r="S1376" t="str">
        <f t="shared" si="228"/>
        <v>Satisfactory</v>
      </c>
      <c r="T1376" t="str">
        <f t="shared" si="229"/>
        <v>PM10</v>
      </c>
      <c r="U1376">
        <v>25.05</v>
      </c>
      <c r="V1376">
        <v>43.35</v>
      </c>
    </row>
    <row r="1377" spans="1:22" x14ac:dyDescent="0.3">
      <c r="A1377" s="2" t="s">
        <v>15</v>
      </c>
      <c r="B1377">
        <v>560026</v>
      </c>
      <c r="C1377" s="3">
        <v>44899</v>
      </c>
      <c r="D1377">
        <v>29.08</v>
      </c>
      <c r="E1377">
        <v>68.81</v>
      </c>
      <c r="F1377">
        <v>6.0808333330000002</v>
      </c>
      <c r="G1377">
        <v>6.26</v>
      </c>
      <c r="H1377">
        <v>5.37</v>
      </c>
      <c r="I1377">
        <v>0.85</v>
      </c>
      <c r="J1377">
        <v>5.33</v>
      </c>
      <c r="K1377">
        <f t="shared" si="220"/>
        <v>48.466666666666669</v>
      </c>
      <c r="L1377">
        <f t="shared" si="221"/>
        <v>68.81</v>
      </c>
      <c r="M1377">
        <f t="shared" si="222"/>
        <v>7.6010416662500004</v>
      </c>
      <c r="N1377">
        <f t="shared" si="223"/>
        <v>1.5649999999999999</v>
      </c>
      <c r="O1377">
        <f t="shared" si="224"/>
        <v>6.7125000000000004</v>
      </c>
      <c r="P1377">
        <f t="shared" si="225"/>
        <v>9.6590909090909083</v>
      </c>
      <c r="Q1377">
        <f t="shared" si="226"/>
        <v>4.9351851851851851</v>
      </c>
      <c r="R1377">
        <f t="shared" si="227"/>
        <v>68.81</v>
      </c>
      <c r="S1377" t="str">
        <f t="shared" si="228"/>
        <v>Satisfactory</v>
      </c>
      <c r="T1377" t="str">
        <f t="shared" si="229"/>
        <v>PM10</v>
      </c>
      <c r="U1377">
        <v>24.56</v>
      </c>
      <c r="V1377">
        <v>43.34</v>
      </c>
    </row>
    <row r="1378" spans="1:22" x14ac:dyDescent="0.3">
      <c r="A1378" s="2" t="s">
        <v>15</v>
      </c>
      <c r="B1378">
        <v>560026</v>
      </c>
      <c r="C1378" s="3">
        <v>44900</v>
      </c>
      <c r="D1378">
        <v>71.849999999999994</v>
      </c>
      <c r="E1378">
        <v>98.35</v>
      </c>
      <c r="F1378">
        <v>2.85</v>
      </c>
      <c r="G1378">
        <v>7.97</v>
      </c>
      <c r="H1378">
        <v>6.04</v>
      </c>
      <c r="I1378">
        <v>1.1000000000000001</v>
      </c>
      <c r="J1378">
        <v>5.56</v>
      </c>
      <c r="K1378">
        <f t="shared" si="220"/>
        <v>139.5</v>
      </c>
      <c r="L1378">
        <f t="shared" si="221"/>
        <v>98.35</v>
      </c>
      <c r="M1378">
        <f t="shared" si="222"/>
        <v>3.5625</v>
      </c>
      <c r="N1378">
        <f t="shared" si="223"/>
        <v>1.9924999999999999</v>
      </c>
      <c r="O1378">
        <f t="shared" si="224"/>
        <v>7.55</v>
      </c>
      <c r="P1378">
        <f t="shared" si="225"/>
        <v>12.5</v>
      </c>
      <c r="Q1378">
        <f t="shared" si="226"/>
        <v>5.1481481481481479</v>
      </c>
      <c r="R1378">
        <f t="shared" si="227"/>
        <v>139.5</v>
      </c>
      <c r="S1378" t="str">
        <f t="shared" si="228"/>
        <v>Moderate</v>
      </c>
      <c r="T1378" t="str">
        <f t="shared" si="229"/>
        <v>PM2.5</v>
      </c>
      <c r="U1378">
        <v>24.19</v>
      </c>
      <c r="V1378">
        <v>43.44</v>
      </c>
    </row>
    <row r="1379" spans="1:22" x14ac:dyDescent="0.3">
      <c r="A1379" s="2" t="s">
        <v>15</v>
      </c>
      <c r="B1379">
        <v>560026</v>
      </c>
      <c r="C1379" s="3">
        <v>44903</v>
      </c>
      <c r="D1379">
        <v>77.150000000000006</v>
      </c>
      <c r="E1379">
        <v>110.77</v>
      </c>
      <c r="F1379">
        <v>5.99</v>
      </c>
      <c r="G1379">
        <v>13.73</v>
      </c>
      <c r="H1379">
        <v>5.78</v>
      </c>
      <c r="I1379">
        <v>1.08</v>
      </c>
      <c r="J1379">
        <v>6.78</v>
      </c>
      <c r="K1379">
        <f t="shared" si="220"/>
        <v>157.16666666666669</v>
      </c>
      <c r="L1379">
        <f t="shared" si="221"/>
        <v>107.17999999999999</v>
      </c>
      <c r="M1379">
        <f t="shared" si="222"/>
        <v>7.4874999999999998</v>
      </c>
      <c r="N1379">
        <f t="shared" si="223"/>
        <v>3.4325000000000001</v>
      </c>
      <c r="O1379">
        <f t="shared" si="224"/>
        <v>7.2249999999999996</v>
      </c>
      <c r="P1379">
        <f t="shared" si="225"/>
        <v>12.272727272727273</v>
      </c>
      <c r="Q1379">
        <f t="shared" si="226"/>
        <v>6.2777777777777777</v>
      </c>
      <c r="R1379">
        <f t="shared" si="227"/>
        <v>157.16666666666669</v>
      </c>
      <c r="S1379" t="str">
        <f t="shared" si="228"/>
        <v>Moderate</v>
      </c>
      <c r="T1379" t="str">
        <f t="shared" si="229"/>
        <v>PM2.5</v>
      </c>
      <c r="U1379">
        <v>23.33</v>
      </c>
      <c r="V1379">
        <v>43.98</v>
      </c>
    </row>
    <row r="1380" spans="1:22" x14ac:dyDescent="0.3">
      <c r="A1380" s="2" t="s">
        <v>15</v>
      </c>
      <c r="B1380">
        <v>560026</v>
      </c>
      <c r="C1380" s="3">
        <v>44904</v>
      </c>
      <c r="D1380">
        <v>69.59</v>
      </c>
      <c r="E1380">
        <v>96.65</v>
      </c>
      <c r="F1380">
        <v>6.38</v>
      </c>
      <c r="G1380">
        <v>11.94</v>
      </c>
      <c r="H1380">
        <v>6.15</v>
      </c>
      <c r="I1380">
        <v>0.99</v>
      </c>
      <c r="J1380">
        <v>6.8</v>
      </c>
      <c r="K1380">
        <f t="shared" si="220"/>
        <v>131.96666666666667</v>
      </c>
      <c r="L1380">
        <f t="shared" si="221"/>
        <v>96.65</v>
      </c>
      <c r="M1380">
        <f t="shared" si="222"/>
        <v>7.9749999999999996</v>
      </c>
      <c r="N1380">
        <f t="shared" si="223"/>
        <v>2.9849999999999999</v>
      </c>
      <c r="O1380">
        <f t="shared" si="224"/>
        <v>7.6875</v>
      </c>
      <c r="P1380">
        <f t="shared" si="225"/>
        <v>11.25</v>
      </c>
      <c r="Q1380">
        <f t="shared" si="226"/>
        <v>6.2962962962962958</v>
      </c>
      <c r="R1380">
        <f t="shared" si="227"/>
        <v>131.96666666666667</v>
      </c>
      <c r="S1380" t="str">
        <f t="shared" si="228"/>
        <v>Moderate</v>
      </c>
      <c r="T1380" t="str">
        <f t="shared" si="229"/>
        <v>PM2.5</v>
      </c>
      <c r="U1380">
        <v>20.69</v>
      </c>
      <c r="V1380">
        <v>44.59</v>
      </c>
    </row>
    <row r="1381" spans="1:22" x14ac:dyDescent="0.3">
      <c r="A1381" s="2" t="s">
        <v>15</v>
      </c>
      <c r="B1381">
        <v>560026</v>
      </c>
      <c r="C1381" s="3">
        <v>44905</v>
      </c>
      <c r="D1381">
        <v>21.46</v>
      </c>
      <c r="E1381">
        <v>29.63</v>
      </c>
      <c r="F1381">
        <v>6.0808333330000002</v>
      </c>
      <c r="G1381">
        <v>10.4</v>
      </c>
      <c r="H1381">
        <v>6.13</v>
      </c>
      <c r="I1381">
        <v>0.8</v>
      </c>
      <c r="J1381">
        <v>6.73</v>
      </c>
      <c r="K1381">
        <f t="shared" si="220"/>
        <v>35.766666666666666</v>
      </c>
      <c r="L1381">
        <f t="shared" si="221"/>
        <v>29.63</v>
      </c>
      <c r="M1381">
        <f t="shared" si="222"/>
        <v>7.6010416662500004</v>
      </c>
      <c r="N1381">
        <f t="shared" si="223"/>
        <v>2.6</v>
      </c>
      <c r="O1381">
        <f t="shared" si="224"/>
        <v>7.6624999999999996</v>
      </c>
      <c r="P1381">
        <f t="shared" si="225"/>
        <v>9.0909090909090917</v>
      </c>
      <c r="Q1381">
        <f t="shared" si="226"/>
        <v>6.2314814814814818</v>
      </c>
      <c r="R1381">
        <f t="shared" si="227"/>
        <v>35.766666666666666</v>
      </c>
      <c r="S1381" t="str">
        <f t="shared" si="228"/>
        <v>Good</v>
      </c>
      <c r="T1381" t="str">
        <f t="shared" si="229"/>
        <v>PM2.5</v>
      </c>
      <c r="U1381">
        <v>19.12</v>
      </c>
      <c r="V1381">
        <v>47.69</v>
      </c>
    </row>
    <row r="1382" spans="1:22" x14ac:dyDescent="0.3">
      <c r="A1382" s="2" t="s">
        <v>15</v>
      </c>
      <c r="B1382">
        <v>560026</v>
      </c>
      <c r="C1382" s="3">
        <v>44906</v>
      </c>
      <c r="D1382">
        <v>20</v>
      </c>
      <c r="E1382">
        <v>28.19</v>
      </c>
      <c r="F1382">
        <v>6.0808333330000002</v>
      </c>
      <c r="G1382">
        <v>12.75</v>
      </c>
      <c r="H1382">
        <v>6.53</v>
      </c>
      <c r="I1382">
        <v>1</v>
      </c>
      <c r="J1382">
        <v>5.54</v>
      </c>
      <c r="K1382">
        <f t="shared" si="220"/>
        <v>33.333333333333336</v>
      </c>
      <c r="L1382">
        <f t="shared" si="221"/>
        <v>28.19</v>
      </c>
      <c r="M1382">
        <f t="shared" si="222"/>
        <v>7.6010416662500004</v>
      </c>
      <c r="N1382">
        <f t="shared" si="223"/>
        <v>3.1875</v>
      </c>
      <c r="O1382">
        <f t="shared" si="224"/>
        <v>8.1624999999999996</v>
      </c>
      <c r="P1382">
        <f t="shared" si="225"/>
        <v>11.363636363636363</v>
      </c>
      <c r="Q1382">
        <f t="shared" si="226"/>
        <v>5.1296296296296298</v>
      </c>
      <c r="R1382">
        <f t="shared" si="227"/>
        <v>33.333333333333336</v>
      </c>
      <c r="S1382" t="str">
        <f t="shared" si="228"/>
        <v>Good</v>
      </c>
      <c r="T1382" t="str">
        <f t="shared" si="229"/>
        <v>PM2.5</v>
      </c>
      <c r="U1382">
        <v>20.6</v>
      </c>
      <c r="V1382">
        <v>44.94</v>
      </c>
    </row>
    <row r="1383" spans="1:22" x14ac:dyDescent="0.3">
      <c r="A1383" s="2" t="s">
        <v>15</v>
      </c>
      <c r="B1383">
        <v>560026</v>
      </c>
      <c r="C1383" s="3">
        <v>44907</v>
      </c>
      <c r="D1383">
        <v>27.07</v>
      </c>
      <c r="E1383">
        <v>38.479999999999997</v>
      </c>
      <c r="F1383">
        <v>6.0808333330000002</v>
      </c>
      <c r="G1383">
        <v>11.77</v>
      </c>
      <c r="H1383">
        <v>6.17</v>
      </c>
      <c r="I1383">
        <v>1.02</v>
      </c>
      <c r="J1383">
        <v>5.42</v>
      </c>
      <c r="K1383">
        <f t="shared" si="220"/>
        <v>45.116666666666667</v>
      </c>
      <c r="L1383">
        <f t="shared" si="221"/>
        <v>38.479999999999997</v>
      </c>
      <c r="M1383">
        <f t="shared" si="222"/>
        <v>7.6010416662500004</v>
      </c>
      <c r="N1383">
        <f t="shared" si="223"/>
        <v>2.9424999999999999</v>
      </c>
      <c r="O1383">
        <f t="shared" si="224"/>
        <v>7.7125000000000004</v>
      </c>
      <c r="P1383">
        <f t="shared" si="225"/>
        <v>11.59090909090909</v>
      </c>
      <c r="Q1383">
        <f t="shared" si="226"/>
        <v>5.0185185185185182</v>
      </c>
      <c r="R1383">
        <f t="shared" si="227"/>
        <v>45.116666666666667</v>
      </c>
      <c r="S1383" t="str">
        <f t="shared" si="228"/>
        <v>Good</v>
      </c>
      <c r="T1383" t="str">
        <f t="shared" si="229"/>
        <v>PM2.5</v>
      </c>
      <c r="U1383">
        <v>22.4</v>
      </c>
      <c r="V1383">
        <v>44.47</v>
      </c>
    </row>
    <row r="1384" spans="1:22" x14ac:dyDescent="0.3">
      <c r="A1384" s="2" t="s">
        <v>15</v>
      </c>
      <c r="B1384">
        <v>560026</v>
      </c>
      <c r="C1384" s="3">
        <v>44908</v>
      </c>
      <c r="D1384">
        <v>27.99</v>
      </c>
      <c r="E1384">
        <v>46.66</v>
      </c>
      <c r="F1384">
        <v>0.32</v>
      </c>
      <c r="G1384">
        <v>10.07</v>
      </c>
      <c r="H1384">
        <v>5.95</v>
      </c>
      <c r="I1384">
        <v>0.89</v>
      </c>
      <c r="J1384">
        <v>5.6</v>
      </c>
      <c r="K1384">
        <f t="shared" si="220"/>
        <v>46.65</v>
      </c>
      <c r="L1384">
        <f t="shared" si="221"/>
        <v>46.66</v>
      </c>
      <c r="M1384">
        <f t="shared" si="222"/>
        <v>0.4</v>
      </c>
      <c r="N1384">
        <f t="shared" si="223"/>
        <v>2.5175000000000001</v>
      </c>
      <c r="O1384">
        <f t="shared" si="224"/>
        <v>7.4375</v>
      </c>
      <c r="P1384">
        <f t="shared" si="225"/>
        <v>10.113636363636363</v>
      </c>
      <c r="Q1384">
        <f t="shared" si="226"/>
        <v>5.1851851851851851</v>
      </c>
      <c r="R1384">
        <f t="shared" si="227"/>
        <v>46.66</v>
      </c>
      <c r="S1384" t="str">
        <f t="shared" si="228"/>
        <v>Good</v>
      </c>
      <c r="T1384" t="str">
        <f t="shared" si="229"/>
        <v>PM10</v>
      </c>
      <c r="U1384">
        <v>22.7</v>
      </c>
      <c r="V1384">
        <v>43.51</v>
      </c>
    </row>
    <row r="1385" spans="1:22" x14ac:dyDescent="0.3">
      <c r="A1385" s="2" t="s">
        <v>15</v>
      </c>
      <c r="B1385">
        <v>560026</v>
      </c>
      <c r="C1385" s="3">
        <v>44909</v>
      </c>
      <c r="D1385">
        <v>24.61</v>
      </c>
      <c r="E1385">
        <v>54.92</v>
      </c>
      <c r="F1385">
        <v>0.6</v>
      </c>
      <c r="G1385">
        <v>10.32</v>
      </c>
      <c r="H1385">
        <v>6.71</v>
      </c>
      <c r="I1385">
        <v>0.99</v>
      </c>
      <c r="J1385">
        <v>5.55</v>
      </c>
      <c r="K1385">
        <f t="shared" si="220"/>
        <v>41.016666666666666</v>
      </c>
      <c r="L1385">
        <f t="shared" si="221"/>
        <v>54.92</v>
      </c>
      <c r="M1385">
        <f t="shared" si="222"/>
        <v>0.75</v>
      </c>
      <c r="N1385">
        <f t="shared" si="223"/>
        <v>2.58</v>
      </c>
      <c r="O1385">
        <f t="shared" si="224"/>
        <v>8.3874999999999993</v>
      </c>
      <c r="P1385">
        <f t="shared" si="225"/>
        <v>11.25</v>
      </c>
      <c r="Q1385">
        <f t="shared" si="226"/>
        <v>5.1388888888888884</v>
      </c>
      <c r="R1385">
        <f t="shared" si="227"/>
        <v>54.92</v>
      </c>
      <c r="S1385" t="str">
        <f t="shared" si="228"/>
        <v>Satisfactory</v>
      </c>
      <c r="T1385" t="str">
        <f t="shared" si="229"/>
        <v>PM10</v>
      </c>
      <c r="U1385">
        <v>22.98</v>
      </c>
      <c r="V1385">
        <v>42</v>
      </c>
    </row>
    <row r="1386" spans="1:22" x14ac:dyDescent="0.3">
      <c r="A1386" s="2" t="s">
        <v>15</v>
      </c>
      <c r="B1386">
        <v>560026</v>
      </c>
      <c r="C1386" s="3">
        <v>44910</v>
      </c>
      <c r="D1386">
        <v>34.58</v>
      </c>
      <c r="E1386">
        <v>75.75</v>
      </c>
      <c r="F1386">
        <v>4.1900000000000004</v>
      </c>
      <c r="G1386">
        <v>12.16</v>
      </c>
      <c r="H1386">
        <v>5.83</v>
      </c>
      <c r="I1386">
        <v>1.19</v>
      </c>
      <c r="J1386">
        <v>6.22</v>
      </c>
      <c r="K1386">
        <f t="shared" si="220"/>
        <v>57.633333333333333</v>
      </c>
      <c r="L1386">
        <f t="shared" si="221"/>
        <v>75.75</v>
      </c>
      <c r="M1386">
        <f t="shared" si="222"/>
        <v>5.2375000000000007</v>
      </c>
      <c r="N1386">
        <f t="shared" si="223"/>
        <v>3.04</v>
      </c>
      <c r="O1386">
        <f t="shared" si="224"/>
        <v>7.2874999999999996</v>
      </c>
      <c r="P1386">
        <f t="shared" si="225"/>
        <v>13.522727272727272</v>
      </c>
      <c r="Q1386">
        <f t="shared" si="226"/>
        <v>5.7592592592592586</v>
      </c>
      <c r="R1386">
        <f t="shared" si="227"/>
        <v>75.75</v>
      </c>
      <c r="S1386" t="str">
        <f t="shared" si="228"/>
        <v>Satisfactory</v>
      </c>
      <c r="T1386" t="str">
        <f t="shared" si="229"/>
        <v>PM10</v>
      </c>
      <c r="U1386">
        <v>23.47</v>
      </c>
      <c r="V1386">
        <v>42.59</v>
      </c>
    </row>
    <row r="1387" spans="1:22" x14ac:dyDescent="0.3">
      <c r="A1387" s="2" t="s">
        <v>15</v>
      </c>
      <c r="B1387">
        <v>560026</v>
      </c>
      <c r="C1387" s="3">
        <v>44911</v>
      </c>
      <c r="D1387">
        <v>55.92</v>
      </c>
      <c r="E1387">
        <v>105.57</v>
      </c>
      <c r="F1387">
        <v>3.84</v>
      </c>
      <c r="G1387">
        <v>13.53</v>
      </c>
      <c r="H1387">
        <v>6.12</v>
      </c>
      <c r="I1387">
        <v>1.19</v>
      </c>
      <c r="J1387">
        <v>6.39</v>
      </c>
      <c r="K1387">
        <f t="shared" si="220"/>
        <v>93.2</v>
      </c>
      <c r="L1387">
        <f t="shared" si="221"/>
        <v>103.71333333333332</v>
      </c>
      <c r="M1387">
        <f t="shared" si="222"/>
        <v>4.8</v>
      </c>
      <c r="N1387">
        <f t="shared" si="223"/>
        <v>3.3824999999999998</v>
      </c>
      <c r="O1387">
        <f t="shared" si="224"/>
        <v>7.65</v>
      </c>
      <c r="P1387">
        <f t="shared" si="225"/>
        <v>13.522727272727272</v>
      </c>
      <c r="Q1387">
        <f t="shared" si="226"/>
        <v>5.9166666666666661</v>
      </c>
      <c r="R1387">
        <f t="shared" si="227"/>
        <v>103.71333333333332</v>
      </c>
      <c r="S1387" t="str">
        <f t="shared" si="228"/>
        <v>Moderate</v>
      </c>
      <c r="T1387" t="str">
        <f t="shared" si="229"/>
        <v>PM10</v>
      </c>
      <c r="U1387">
        <v>24.43</v>
      </c>
      <c r="V1387">
        <v>43.55</v>
      </c>
    </row>
    <row r="1388" spans="1:22" x14ac:dyDescent="0.3">
      <c r="A1388" s="2" t="s">
        <v>15</v>
      </c>
      <c r="B1388">
        <v>560026</v>
      </c>
      <c r="C1388" s="3">
        <v>44912</v>
      </c>
      <c r="D1388">
        <v>57.59</v>
      </c>
      <c r="E1388">
        <v>103.61</v>
      </c>
      <c r="F1388">
        <v>3.31</v>
      </c>
      <c r="G1388">
        <v>16</v>
      </c>
      <c r="H1388">
        <v>6.4</v>
      </c>
      <c r="I1388">
        <v>1.24</v>
      </c>
      <c r="J1388">
        <v>6.54</v>
      </c>
      <c r="K1388">
        <f t="shared" si="220"/>
        <v>95.983333333333348</v>
      </c>
      <c r="L1388">
        <f t="shared" si="221"/>
        <v>102.40666666666667</v>
      </c>
      <c r="M1388">
        <f t="shared" si="222"/>
        <v>4.1375000000000002</v>
      </c>
      <c r="N1388">
        <f t="shared" si="223"/>
        <v>4</v>
      </c>
      <c r="O1388">
        <f t="shared" si="224"/>
        <v>8</v>
      </c>
      <c r="P1388">
        <f t="shared" si="225"/>
        <v>14.09090909090909</v>
      </c>
      <c r="Q1388">
        <f t="shared" si="226"/>
        <v>6.0555555555555554</v>
      </c>
      <c r="R1388">
        <f t="shared" si="227"/>
        <v>102.40666666666667</v>
      </c>
      <c r="S1388" t="str">
        <f t="shared" si="228"/>
        <v>Moderate</v>
      </c>
      <c r="T1388" t="str">
        <f t="shared" si="229"/>
        <v>PM10</v>
      </c>
      <c r="U1388">
        <v>24.07</v>
      </c>
      <c r="V1388">
        <v>43.7</v>
      </c>
    </row>
    <row r="1389" spans="1:22" x14ac:dyDescent="0.3">
      <c r="A1389" s="2" t="s">
        <v>15</v>
      </c>
      <c r="B1389">
        <v>560026</v>
      </c>
      <c r="C1389" s="3">
        <v>44913</v>
      </c>
      <c r="D1389">
        <v>81.96</v>
      </c>
      <c r="E1389">
        <v>115.26</v>
      </c>
      <c r="F1389">
        <v>3.49</v>
      </c>
      <c r="G1389">
        <v>15.46</v>
      </c>
      <c r="H1389">
        <v>5.98</v>
      </c>
      <c r="I1389">
        <v>1.05</v>
      </c>
      <c r="J1389">
        <v>6.8</v>
      </c>
      <c r="K1389">
        <f t="shared" si="220"/>
        <v>173.2</v>
      </c>
      <c r="L1389">
        <f t="shared" si="221"/>
        <v>110.17333333333333</v>
      </c>
      <c r="M1389">
        <f t="shared" si="222"/>
        <v>4.3624999999999998</v>
      </c>
      <c r="N1389">
        <f t="shared" si="223"/>
        <v>3.8650000000000002</v>
      </c>
      <c r="O1389">
        <f t="shared" si="224"/>
        <v>7.4749999999999996</v>
      </c>
      <c r="P1389">
        <f t="shared" si="225"/>
        <v>11.931818181818182</v>
      </c>
      <c r="Q1389">
        <f t="shared" si="226"/>
        <v>6.2962962962962958</v>
      </c>
      <c r="R1389">
        <f t="shared" si="227"/>
        <v>173.2</v>
      </c>
      <c r="S1389" t="str">
        <f t="shared" si="228"/>
        <v>Moderate</v>
      </c>
      <c r="T1389" t="str">
        <f t="shared" si="229"/>
        <v>PM2.5</v>
      </c>
      <c r="U1389">
        <v>23.52</v>
      </c>
      <c r="V1389">
        <v>43.86</v>
      </c>
    </row>
    <row r="1390" spans="1:22" x14ac:dyDescent="0.3">
      <c r="A1390" s="2" t="s">
        <v>15</v>
      </c>
      <c r="B1390">
        <v>560026</v>
      </c>
      <c r="C1390" s="3">
        <v>44914</v>
      </c>
      <c r="D1390">
        <v>74.400000000000006</v>
      </c>
      <c r="E1390">
        <v>107.18</v>
      </c>
      <c r="F1390">
        <v>5.33</v>
      </c>
      <c r="G1390">
        <v>17.25</v>
      </c>
      <c r="H1390">
        <v>6.04</v>
      </c>
      <c r="I1390">
        <v>1.08</v>
      </c>
      <c r="J1390">
        <v>7.43</v>
      </c>
      <c r="K1390">
        <f t="shared" si="220"/>
        <v>148</v>
      </c>
      <c r="L1390">
        <f t="shared" si="221"/>
        <v>104.78666666666668</v>
      </c>
      <c r="M1390">
        <f t="shared" si="222"/>
        <v>6.6624999999999996</v>
      </c>
      <c r="N1390">
        <f t="shared" si="223"/>
        <v>4.3125</v>
      </c>
      <c r="O1390">
        <f t="shared" si="224"/>
        <v>7.55</v>
      </c>
      <c r="P1390">
        <f t="shared" si="225"/>
        <v>12.272727272727273</v>
      </c>
      <c r="Q1390">
        <f t="shared" si="226"/>
        <v>6.8796296296296298</v>
      </c>
      <c r="R1390">
        <f t="shared" si="227"/>
        <v>148</v>
      </c>
      <c r="S1390" t="str">
        <f t="shared" si="228"/>
        <v>Moderate</v>
      </c>
      <c r="T1390" t="str">
        <f t="shared" si="229"/>
        <v>PM2.5</v>
      </c>
      <c r="U1390">
        <v>22.95</v>
      </c>
      <c r="V1390">
        <v>43.94</v>
      </c>
    </row>
    <row r="1391" spans="1:22" x14ac:dyDescent="0.3">
      <c r="A1391" s="2" t="s">
        <v>15</v>
      </c>
      <c r="B1391">
        <v>560026</v>
      </c>
      <c r="C1391" s="3">
        <v>44915</v>
      </c>
      <c r="D1391">
        <v>53.02</v>
      </c>
      <c r="E1391">
        <v>84.13</v>
      </c>
      <c r="F1391">
        <v>5.81</v>
      </c>
      <c r="G1391">
        <v>26.42</v>
      </c>
      <c r="H1391">
        <v>6.52</v>
      </c>
      <c r="I1391">
        <v>0.98</v>
      </c>
      <c r="J1391">
        <v>9.6999999999999993</v>
      </c>
      <c r="K1391">
        <f t="shared" si="220"/>
        <v>88.366666666666674</v>
      </c>
      <c r="L1391">
        <f t="shared" si="221"/>
        <v>84.13</v>
      </c>
      <c r="M1391">
        <f t="shared" si="222"/>
        <v>7.2625000000000002</v>
      </c>
      <c r="N1391">
        <f t="shared" si="223"/>
        <v>6.6050000000000004</v>
      </c>
      <c r="O1391">
        <f t="shared" si="224"/>
        <v>8.15</v>
      </c>
      <c r="P1391">
        <f t="shared" si="225"/>
        <v>11.136363636363637</v>
      </c>
      <c r="Q1391">
        <f t="shared" si="226"/>
        <v>8.981481481481481</v>
      </c>
      <c r="R1391">
        <f t="shared" si="227"/>
        <v>88.366666666666674</v>
      </c>
      <c r="S1391" t="str">
        <f t="shared" si="228"/>
        <v>Satisfactory</v>
      </c>
      <c r="T1391" t="str">
        <f t="shared" si="229"/>
        <v>PM2.5</v>
      </c>
      <c r="U1391">
        <v>23.98</v>
      </c>
      <c r="V1391">
        <v>43.78</v>
      </c>
    </row>
    <row r="1392" spans="1:22" x14ac:dyDescent="0.3">
      <c r="A1392" s="2" t="s">
        <v>15</v>
      </c>
      <c r="B1392">
        <v>560026</v>
      </c>
      <c r="C1392" s="3">
        <v>44916</v>
      </c>
      <c r="D1392">
        <v>45.08</v>
      </c>
      <c r="E1392">
        <v>92.47</v>
      </c>
      <c r="F1392">
        <v>4.1900000000000004</v>
      </c>
      <c r="G1392">
        <v>43.53</v>
      </c>
      <c r="H1392">
        <v>5.55</v>
      </c>
      <c r="I1392">
        <v>1.28</v>
      </c>
      <c r="J1392">
        <v>15.93</v>
      </c>
      <c r="K1392">
        <f t="shared" si="220"/>
        <v>75.133333333333326</v>
      </c>
      <c r="L1392">
        <f t="shared" si="221"/>
        <v>92.47</v>
      </c>
      <c r="M1392">
        <f t="shared" si="222"/>
        <v>5.2375000000000007</v>
      </c>
      <c r="N1392">
        <f t="shared" si="223"/>
        <v>10.8825</v>
      </c>
      <c r="O1392">
        <f t="shared" si="224"/>
        <v>6.9375</v>
      </c>
      <c r="P1392">
        <f t="shared" si="225"/>
        <v>14.545454545454545</v>
      </c>
      <c r="Q1392">
        <f t="shared" si="226"/>
        <v>14.75</v>
      </c>
      <c r="R1392">
        <f t="shared" si="227"/>
        <v>92.47</v>
      </c>
      <c r="S1392" t="str">
        <f t="shared" si="228"/>
        <v>Satisfactory</v>
      </c>
      <c r="T1392" t="str">
        <f t="shared" si="229"/>
        <v>PM10</v>
      </c>
      <c r="U1392">
        <v>24.07</v>
      </c>
      <c r="V1392">
        <v>43.68</v>
      </c>
    </row>
    <row r="1393" spans="1:22" x14ac:dyDescent="0.3">
      <c r="A1393" s="2" t="s">
        <v>15</v>
      </c>
      <c r="B1393">
        <v>560026</v>
      </c>
      <c r="C1393" s="3">
        <v>44917</v>
      </c>
      <c r="D1393">
        <v>60.97</v>
      </c>
      <c r="E1393">
        <v>97.87</v>
      </c>
      <c r="F1393">
        <v>6.13</v>
      </c>
      <c r="G1393">
        <v>42.49</v>
      </c>
      <c r="H1393">
        <v>6.73</v>
      </c>
      <c r="I1393">
        <v>1.21</v>
      </c>
      <c r="J1393">
        <v>17.829999999999998</v>
      </c>
      <c r="K1393">
        <f t="shared" si="220"/>
        <v>103.23333333333333</v>
      </c>
      <c r="L1393">
        <f t="shared" si="221"/>
        <v>97.87</v>
      </c>
      <c r="M1393">
        <f t="shared" si="222"/>
        <v>7.6624999999999996</v>
      </c>
      <c r="N1393">
        <f t="shared" si="223"/>
        <v>10.6225</v>
      </c>
      <c r="O1393">
        <f t="shared" si="224"/>
        <v>8.4124999999999996</v>
      </c>
      <c r="P1393">
        <f t="shared" si="225"/>
        <v>13.75</v>
      </c>
      <c r="Q1393">
        <f t="shared" si="226"/>
        <v>16.50925925925926</v>
      </c>
      <c r="R1393">
        <f t="shared" si="227"/>
        <v>103.23333333333333</v>
      </c>
      <c r="S1393" t="str">
        <f t="shared" si="228"/>
        <v>Moderate</v>
      </c>
      <c r="T1393" t="str">
        <f t="shared" si="229"/>
        <v>PM2.5</v>
      </c>
      <c r="U1393">
        <v>23.91</v>
      </c>
      <c r="V1393">
        <v>43.65</v>
      </c>
    </row>
    <row r="1394" spans="1:22" x14ac:dyDescent="0.3">
      <c r="A1394" s="2" t="s">
        <v>15</v>
      </c>
      <c r="B1394">
        <v>560026</v>
      </c>
      <c r="C1394" s="3">
        <v>44918</v>
      </c>
      <c r="D1394">
        <v>78.150000000000006</v>
      </c>
      <c r="E1394">
        <v>114.57</v>
      </c>
      <c r="F1394">
        <v>6.87</v>
      </c>
      <c r="G1394">
        <v>45.23</v>
      </c>
      <c r="H1394">
        <v>6.1</v>
      </c>
      <c r="I1394">
        <v>1.35</v>
      </c>
      <c r="J1394">
        <v>18.079999999999998</v>
      </c>
      <c r="K1394">
        <f t="shared" si="220"/>
        <v>160.5</v>
      </c>
      <c r="L1394">
        <f t="shared" si="221"/>
        <v>109.71333333333332</v>
      </c>
      <c r="M1394">
        <f t="shared" si="222"/>
        <v>8.5875000000000004</v>
      </c>
      <c r="N1394">
        <f t="shared" si="223"/>
        <v>11.307499999999999</v>
      </c>
      <c r="O1394">
        <f t="shared" si="224"/>
        <v>7.625</v>
      </c>
      <c r="P1394">
        <f t="shared" si="225"/>
        <v>15.340909090909092</v>
      </c>
      <c r="Q1394">
        <f t="shared" si="226"/>
        <v>16.74074074074074</v>
      </c>
      <c r="R1394">
        <f t="shared" si="227"/>
        <v>160.5</v>
      </c>
      <c r="S1394" t="str">
        <f t="shared" si="228"/>
        <v>Moderate</v>
      </c>
      <c r="T1394" t="str">
        <f t="shared" si="229"/>
        <v>PM2.5</v>
      </c>
      <c r="U1394">
        <v>23.78</v>
      </c>
      <c r="V1394">
        <v>43.71</v>
      </c>
    </row>
    <row r="1395" spans="1:22" x14ac:dyDescent="0.3">
      <c r="A1395" s="2" t="s">
        <v>15</v>
      </c>
      <c r="B1395">
        <v>560026</v>
      </c>
      <c r="C1395" s="3">
        <v>44919</v>
      </c>
      <c r="D1395">
        <v>71.06</v>
      </c>
      <c r="E1395">
        <v>105.29</v>
      </c>
      <c r="F1395">
        <v>6.25</v>
      </c>
      <c r="G1395">
        <v>29.04</v>
      </c>
      <c r="H1395">
        <v>6.93</v>
      </c>
      <c r="I1395">
        <v>1.19</v>
      </c>
      <c r="J1395">
        <v>17.47</v>
      </c>
      <c r="K1395">
        <f t="shared" si="220"/>
        <v>136.86666666666667</v>
      </c>
      <c r="L1395">
        <f t="shared" si="221"/>
        <v>103.52666666666667</v>
      </c>
      <c r="M1395">
        <f t="shared" si="222"/>
        <v>7.8125</v>
      </c>
      <c r="N1395">
        <f t="shared" si="223"/>
        <v>7.26</v>
      </c>
      <c r="O1395">
        <f t="shared" si="224"/>
        <v>8.6624999999999996</v>
      </c>
      <c r="P1395">
        <f t="shared" si="225"/>
        <v>13.522727272727272</v>
      </c>
      <c r="Q1395">
        <f t="shared" si="226"/>
        <v>16.175925925925924</v>
      </c>
      <c r="R1395">
        <f t="shared" si="227"/>
        <v>136.86666666666667</v>
      </c>
      <c r="S1395" t="str">
        <f t="shared" si="228"/>
        <v>Moderate</v>
      </c>
      <c r="T1395" t="str">
        <f t="shared" si="229"/>
        <v>PM2.5</v>
      </c>
      <c r="U1395">
        <v>23.66</v>
      </c>
      <c r="V1395">
        <v>43.69</v>
      </c>
    </row>
    <row r="1396" spans="1:22" x14ac:dyDescent="0.3">
      <c r="A1396" s="2" t="s">
        <v>15</v>
      </c>
      <c r="B1396">
        <v>560026</v>
      </c>
      <c r="C1396" s="3">
        <v>44920</v>
      </c>
      <c r="D1396">
        <v>38.83</v>
      </c>
      <c r="E1396">
        <v>59.09</v>
      </c>
      <c r="F1396">
        <v>1.1499999999999999</v>
      </c>
      <c r="G1396">
        <v>17.21</v>
      </c>
      <c r="H1396">
        <v>6.64</v>
      </c>
      <c r="I1396">
        <v>1.06</v>
      </c>
      <c r="J1396">
        <v>19.66</v>
      </c>
      <c r="K1396">
        <f t="shared" si="220"/>
        <v>64.716666666666669</v>
      </c>
      <c r="L1396">
        <f t="shared" si="221"/>
        <v>59.09</v>
      </c>
      <c r="M1396">
        <f t="shared" si="222"/>
        <v>1.4374999999999998</v>
      </c>
      <c r="N1396">
        <f t="shared" si="223"/>
        <v>4.3025000000000002</v>
      </c>
      <c r="O1396">
        <f t="shared" si="224"/>
        <v>8.3000000000000007</v>
      </c>
      <c r="P1396">
        <f t="shared" si="225"/>
        <v>12.045454545454545</v>
      </c>
      <c r="Q1396">
        <f t="shared" si="226"/>
        <v>18.203703703703702</v>
      </c>
      <c r="R1396">
        <f t="shared" si="227"/>
        <v>64.716666666666669</v>
      </c>
      <c r="S1396" t="str">
        <f t="shared" si="228"/>
        <v>Satisfactory</v>
      </c>
      <c r="T1396" t="str">
        <f t="shared" si="229"/>
        <v>PM2.5</v>
      </c>
      <c r="U1396">
        <v>22.65</v>
      </c>
      <c r="V1396">
        <v>43.69</v>
      </c>
    </row>
    <row r="1397" spans="1:22" x14ac:dyDescent="0.3">
      <c r="A1397" s="2" t="s">
        <v>15</v>
      </c>
      <c r="B1397">
        <v>560026</v>
      </c>
      <c r="C1397" s="3">
        <v>44921</v>
      </c>
      <c r="D1397">
        <v>19.739999999999998</v>
      </c>
      <c r="E1397">
        <v>44.4</v>
      </c>
      <c r="F1397">
        <v>6.0808333330000002</v>
      </c>
      <c r="G1397">
        <v>23.29</v>
      </c>
      <c r="H1397">
        <v>6.79</v>
      </c>
      <c r="I1397">
        <v>0.95</v>
      </c>
      <c r="J1397">
        <v>20.399999999999999</v>
      </c>
      <c r="K1397">
        <f t="shared" si="220"/>
        <v>32.9</v>
      </c>
      <c r="L1397">
        <f t="shared" si="221"/>
        <v>44.4</v>
      </c>
      <c r="M1397">
        <f t="shared" si="222"/>
        <v>7.6010416662500004</v>
      </c>
      <c r="N1397">
        <f t="shared" si="223"/>
        <v>5.8224999999999998</v>
      </c>
      <c r="O1397">
        <f t="shared" si="224"/>
        <v>8.4875000000000007</v>
      </c>
      <c r="P1397">
        <f t="shared" si="225"/>
        <v>10.795454545454545</v>
      </c>
      <c r="Q1397">
        <f t="shared" si="226"/>
        <v>18.888888888888889</v>
      </c>
      <c r="R1397">
        <f t="shared" si="227"/>
        <v>44.4</v>
      </c>
      <c r="S1397" t="str">
        <f t="shared" si="228"/>
        <v>Good</v>
      </c>
      <c r="T1397" t="str">
        <f t="shared" si="229"/>
        <v>PM10</v>
      </c>
      <c r="U1397">
        <v>23.56</v>
      </c>
      <c r="V1397">
        <v>43.32</v>
      </c>
    </row>
    <row r="1398" spans="1:22" x14ac:dyDescent="0.3">
      <c r="A1398" s="2" t="s">
        <v>15</v>
      </c>
      <c r="B1398">
        <v>560026</v>
      </c>
      <c r="C1398" s="3">
        <v>44922</v>
      </c>
      <c r="D1398">
        <v>24.78</v>
      </c>
      <c r="E1398">
        <v>44.81</v>
      </c>
      <c r="F1398">
        <v>0.25</v>
      </c>
      <c r="G1398">
        <v>15.98</v>
      </c>
      <c r="H1398">
        <v>6.19</v>
      </c>
      <c r="I1398">
        <v>0.86</v>
      </c>
      <c r="J1398">
        <v>20.95</v>
      </c>
      <c r="K1398">
        <f t="shared" si="220"/>
        <v>41.3</v>
      </c>
      <c r="L1398">
        <f t="shared" si="221"/>
        <v>44.81</v>
      </c>
      <c r="M1398">
        <f t="shared" si="222"/>
        <v>0.3125</v>
      </c>
      <c r="N1398">
        <f t="shared" si="223"/>
        <v>3.9950000000000001</v>
      </c>
      <c r="O1398">
        <f t="shared" si="224"/>
        <v>7.7374999999999998</v>
      </c>
      <c r="P1398">
        <f t="shared" si="225"/>
        <v>9.7727272727272716</v>
      </c>
      <c r="Q1398">
        <f t="shared" si="226"/>
        <v>19.398148148148149</v>
      </c>
      <c r="R1398">
        <f t="shared" si="227"/>
        <v>44.81</v>
      </c>
      <c r="S1398" t="str">
        <f t="shared" si="228"/>
        <v>Good</v>
      </c>
      <c r="T1398" t="str">
        <f t="shared" si="229"/>
        <v>PM10</v>
      </c>
      <c r="U1398">
        <v>22.74</v>
      </c>
      <c r="V1398">
        <v>43.87</v>
      </c>
    </row>
    <row r="1399" spans="1:22" x14ac:dyDescent="0.3">
      <c r="A1399" s="2" t="s">
        <v>15</v>
      </c>
      <c r="B1399">
        <v>560026</v>
      </c>
      <c r="C1399" s="3">
        <v>44923</v>
      </c>
      <c r="D1399">
        <v>26.56</v>
      </c>
      <c r="E1399">
        <v>46.06</v>
      </c>
      <c r="F1399">
        <v>6.0808333330000002</v>
      </c>
      <c r="G1399">
        <v>6.44</v>
      </c>
      <c r="H1399">
        <v>6.2</v>
      </c>
      <c r="I1399">
        <v>0.75</v>
      </c>
      <c r="J1399">
        <v>20.97</v>
      </c>
      <c r="K1399">
        <f t="shared" si="220"/>
        <v>44.266666666666666</v>
      </c>
      <c r="L1399">
        <f t="shared" si="221"/>
        <v>46.06</v>
      </c>
      <c r="M1399">
        <f t="shared" si="222"/>
        <v>7.6010416662500004</v>
      </c>
      <c r="N1399">
        <f t="shared" si="223"/>
        <v>1.61</v>
      </c>
      <c r="O1399">
        <f t="shared" si="224"/>
        <v>7.75</v>
      </c>
      <c r="P1399">
        <f t="shared" si="225"/>
        <v>8.5227272727272734</v>
      </c>
      <c r="Q1399">
        <f t="shared" si="226"/>
        <v>19.416666666666664</v>
      </c>
      <c r="R1399">
        <f t="shared" si="227"/>
        <v>46.06</v>
      </c>
      <c r="S1399" t="str">
        <f t="shared" si="228"/>
        <v>Good</v>
      </c>
      <c r="T1399" t="str">
        <f t="shared" si="229"/>
        <v>PM10</v>
      </c>
      <c r="U1399">
        <v>24.52</v>
      </c>
      <c r="V1399">
        <v>43.45</v>
      </c>
    </row>
    <row r="1400" spans="1:22" x14ac:dyDescent="0.3">
      <c r="A1400" s="2" t="s">
        <v>15</v>
      </c>
      <c r="B1400">
        <v>560026</v>
      </c>
      <c r="C1400" s="3">
        <v>44924</v>
      </c>
      <c r="D1400">
        <v>31.02</v>
      </c>
      <c r="E1400">
        <v>52.71</v>
      </c>
      <c r="F1400">
        <v>2.27</v>
      </c>
      <c r="G1400">
        <v>1.02</v>
      </c>
      <c r="H1400">
        <v>5.89</v>
      </c>
      <c r="I1400">
        <v>0.93</v>
      </c>
      <c r="J1400">
        <v>20.97</v>
      </c>
      <c r="K1400">
        <f t="shared" si="220"/>
        <v>51.7</v>
      </c>
      <c r="L1400">
        <f t="shared" si="221"/>
        <v>52.71</v>
      </c>
      <c r="M1400">
        <f t="shared" si="222"/>
        <v>2.8374999999999999</v>
      </c>
      <c r="N1400">
        <f t="shared" si="223"/>
        <v>0.255</v>
      </c>
      <c r="O1400">
        <f t="shared" si="224"/>
        <v>7.3624999999999998</v>
      </c>
      <c r="P1400">
        <f t="shared" si="225"/>
        <v>10.568181818181818</v>
      </c>
      <c r="Q1400">
        <f t="shared" si="226"/>
        <v>19.416666666666664</v>
      </c>
      <c r="R1400">
        <f t="shared" si="227"/>
        <v>52.71</v>
      </c>
      <c r="S1400" t="str">
        <f t="shared" si="228"/>
        <v>Satisfactory</v>
      </c>
      <c r="T1400" t="str">
        <f t="shared" si="229"/>
        <v>PM10</v>
      </c>
      <c r="U1400">
        <v>23.59</v>
      </c>
      <c r="V1400">
        <v>43.49</v>
      </c>
    </row>
    <row r="1401" spans="1:22" x14ac:dyDescent="0.3">
      <c r="A1401" s="2" t="s">
        <v>15</v>
      </c>
      <c r="B1401">
        <v>560026</v>
      </c>
      <c r="C1401" s="3">
        <v>44925</v>
      </c>
      <c r="D1401">
        <v>45.98</v>
      </c>
      <c r="E1401">
        <v>72.02</v>
      </c>
      <c r="F1401">
        <v>1.93</v>
      </c>
      <c r="G1401">
        <v>0.3</v>
      </c>
      <c r="H1401">
        <v>5.47</v>
      </c>
      <c r="I1401">
        <v>1.23</v>
      </c>
      <c r="J1401">
        <v>21.92</v>
      </c>
      <c r="K1401">
        <f t="shared" si="220"/>
        <v>76.633333333333326</v>
      </c>
      <c r="L1401">
        <f t="shared" si="221"/>
        <v>72.02</v>
      </c>
      <c r="M1401">
        <f t="shared" si="222"/>
        <v>2.4125000000000001</v>
      </c>
      <c r="N1401">
        <f t="shared" si="223"/>
        <v>7.4999999999999997E-2</v>
      </c>
      <c r="O1401">
        <f t="shared" si="224"/>
        <v>6.8375000000000004</v>
      </c>
      <c r="P1401">
        <f t="shared" si="225"/>
        <v>13.977272727272727</v>
      </c>
      <c r="Q1401">
        <f t="shared" si="226"/>
        <v>20.296296296296298</v>
      </c>
      <c r="R1401">
        <f t="shared" si="227"/>
        <v>76.633333333333326</v>
      </c>
      <c r="S1401" t="str">
        <f t="shared" si="228"/>
        <v>Satisfactory</v>
      </c>
      <c r="T1401" t="str">
        <f t="shared" si="229"/>
        <v>PM2.5</v>
      </c>
      <c r="U1401">
        <v>22.1</v>
      </c>
      <c r="V1401">
        <v>44.61</v>
      </c>
    </row>
    <row r="1402" spans="1:22" x14ac:dyDescent="0.3">
      <c r="A1402" s="2" t="s">
        <v>15</v>
      </c>
      <c r="B1402">
        <v>560026</v>
      </c>
      <c r="C1402" s="3">
        <v>44926</v>
      </c>
      <c r="D1402">
        <v>65.84</v>
      </c>
      <c r="E1402">
        <v>101.55</v>
      </c>
      <c r="F1402">
        <v>61.87</v>
      </c>
      <c r="G1402">
        <v>34.26</v>
      </c>
      <c r="H1402">
        <v>6.09</v>
      </c>
      <c r="I1402">
        <v>1.22</v>
      </c>
      <c r="J1402">
        <v>22.76</v>
      </c>
      <c r="K1402">
        <f t="shared" si="220"/>
        <v>119.46666666666668</v>
      </c>
      <c r="L1402">
        <f t="shared" si="221"/>
        <v>101.03333333333333</v>
      </c>
      <c r="M1402">
        <f t="shared" si="222"/>
        <v>77.337499999999991</v>
      </c>
      <c r="N1402">
        <f t="shared" si="223"/>
        <v>8.5649999999999995</v>
      </c>
      <c r="O1402">
        <f t="shared" si="224"/>
        <v>7.6124999999999998</v>
      </c>
      <c r="P1402">
        <f t="shared" si="225"/>
        <v>13.863636363636363</v>
      </c>
      <c r="Q1402">
        <f t="shared" si="226"/>
        <v>21.074074074074076</v>
      </c>
      <c r="R1402">
        <f t="shared" si="227"/>
        <v>119.46666666666668</v>
      </c>
      <c r="S1402" t="str">
        <f t="shared" si="228"/>
        <v>Moderate</v>
      </c>
      <c r="T1402" t="str">
        <f t="shared" si="229"/>
        <v>PM2.5</v>
      </c>
      <c r="U1402">
        <v>24.84</v>
      </c>
      <c r="V1402">
        <v>43.53</v>
      </c>
    </row>
    <row r="1403" spans="1:22" x14ac:dyDescent="0.3">
      <c r="A1403" s="2" t="s">
        <v>15</v>
      </c>
      <c r="B1403">
        <v>560026</v>
      </c>
      <c r="C1403" s="4">
        <v>44927</v>
      </c>
      <c r="D1403">
        <v>70.547619047618994</v>
      </c>
      <c r="E1403">
        <v>101.5</v>
      </c>
      <c r="F1403">
        <v>69.064583333333303</v>
      </c>
      <c r="G1403">
        <v>44.368402777777703</v>
      </c>
      <c r="H1403">
        <v>6.52847222222222</v>
      </c>
      <c r="I1403">
        <v>1.01760416666666</v>
      </c>
      <c r="J1403">
        <v>20.986805555555499</v>
      </c>
      <c r="K1403">
        <f t="shared" si="220"/>
        <v>135.15873015872998</v>
      </c>
      <c r="L1403">
        <f t="shared" si="221"/>
        <v>101</v>
      </c>
      <c r="M1403">
        <f t="shared" si="222"/>
        <v>86.330729166666629</v>
      </c>
      <c r="N1403">
        <f t="shared" si="223"/>
        <v>11.092100694444426</v>
      </c>
      <c r="O1403">
        <f t="shared" si="224"/>
        <v>8.160590277777775</v>
      </c>
      <c r="P1403">
        <f t="shared" si="225"/>
        <v>11.563683712121136</v>
      </c>
      <c r="Q1403">
        <f t="shared" si="226"/>
        <v>19.432227366255091</v>
      </c>
      <c r="R1403">
        <f t="shared" si="227"/>
        <v>135.15873015872998</v>
      </c>
      <c r="S1403" t="str">
        <f t="shared" si="228"/>
        <v>Moderate</v>
      </c>
      <c r="T1403" t="str">
        <f t="shared" si="229"/>
        <v>PM2.5</v>
      </c>
      <c r="U1403">
        <v>24.539583333333301</v>
      </c>
      <c r="V1403">
        <v>43.5520833333333</v>
      </c>
    </row>
    <row r="1404" spans="1:22" x14ac:dyDescent="0.3">
      <c r="A1404" s="2" t="s">
        <v>15</v>
      </c>
      <c r="B1404">
        <v>560026</v>
      </c>
      <c r="C1404" s="4">
        <v>44928</v>
      </c>
      <c r="D1404">
        <v>57.079365079364997</v>
      </c>
      <c r="E1404">
        <v>88.609649122806999</v>
      </c>
      <c r="F1404">
        <v>66.026736111111106</v>
      </c>
      <c r="G1404">
        <v>43.511805555555497</v>
      </c>
      <c r="H1404">
        <v>5.9938405797101399</v>
      </c>
      <c r="I1404">
        <v>0.86559027777777697</v>
      </c>
      <c r="J1404">
        <v>21.613541666666599</v>
      </c>
      <c r="K1404">
        <f t="shared" si="220"/>
        <v>95.132275132274998</v>
      </c>
      <c r="L1404">
        <f t="shared" si="221"/>
        <v>88.609649122806999</v>
      </c>
      <c r="M1404">
        <f t="shared" si="222"/>
        <v>82.533420138888886</v>
      </c>
      <c r="N1404">
        <f t="shared" si="223"/>
        <v>10.877951388888873</v>
      </c>
      <c r="O1404">
        <f t="shared" si="224"/>
        <v>7.4923007246376754</v>
      </c>
      <c r="P1404">
        <f t="shared" si="225"/>
        <v>9.8362531565656468</v>
      </c>
      <c r="Q1404">
        <f t="shared" si="226"/>
        <v>20.012538580246851</v>
      </c>
      <c r="R1404">
        <f t="shared" si="227"/>
        <v>95.132275132274998</v>
      </c>
      <c r="S1404" t="str">
        <f t="shared" si="228"/>
        <v>Satisfactory</v>
      </c>
      <c r="T1404" t="str">
        <f t="shared" si="229"/>
        <v>PM2.5</v>
      </c>
      <c r="U1404">
        <v>23.503125000000001</v>
      </c>
      <c r="V1404">
        <v>43.7604166666666</v>
      </c>
    </row>
    <row r="1405" spans="1:22" x14ac:dyDescent="0.3">
      <c r="A1405" s="2" t="s">
        <v>15</v>
      </c>
      <c r="B1405">
        <v>560026</v>
      </c>
      <c r="C1405" s="4">
        <v>44929</v>
      </c>
      <c r="D1405">
        <v>49.6736111111111</v>
      </c>
      <c r="E1405">
        <v>85.3298611111111</v>
      </c>
      <c r="F1405">
        <v>66.747569444444395</v>
      </c>
      <c r="G1405">
        <v>46.34375</v>
      </c>
      <c r="H1405">
        <v>6.6361111111111102</v>
      </c>
      <c r="I1405">
        <v>0.79458333333333298</v>
      </c>
      <c r="J1405">
        <v>21.614236111111101</v>
      </c>
      <c r="K1405">
        <f t="shared" si="220"/>
        <v>82.789351851851833</v>
      </c>
      <c r="L1405">
        <f t="shared" si="221"/>
        <v>85.3298611111111</v>
      </c>
      <c r="M1405">
        <f t="shared" si="222"/>
        <v>83.434461805555486</v>
      </c>
      <c r="N1405">
        <f t="shared" si="223"/>
        <v>11.5859375</v>
      </c>
      <c r="O1405">
        <f t="shared" si="224"/>
        <v>8.2951388888888875</v>
      </c>
      <c r="P1405">
        <f t="shared" si="225"/>
        <v>9.029356060606057</v>
      </c>
      <c r="Q1405">
        <f t="shared" si="226"/>
        <v>20.01318158436213</v>
      </c>
      <c r="R1405">
        <f t="shared" si="227"/>
        <v>85.3298611111111</v>
      </c>
      <c r="S1405" t="str">
        <f t="shared" si="228"/>
        <v>Satisfactory</v>
      </c>
      <c r="T1405" t="str">
        <f t="shared" si="229"/>
        <v>PM10</v>
      </c>
      <c r="U1405">
        <v>22.889583333333299</v>
      </c>
      <c r="V1405">
        <v>43.9826388888888</v>
      </c>
    </row>
    <row r="1406" spans="1:22" x14ac:dyDescent="0.3">
      <c r="A1406" s="2" t="s">
        <v>15</v>
      </c>
      <c r="B1406">
        <v>560026</v>
      </c>
      <c r="C1406" s="4">
        <v>44930</v>
      </c>
      <c r="D1406">
        <v>57.0138888888888</v>
      </c>
      <c r="E1406">
        <v>91.3020833333333</v>
      </c>
      <c r="F1406">
        <v>64.3802083333333</v>
      </c>
      <c r="G1406">
        <v>41.639583333333299</v>
      </c>
      <c r="H1406">
        <v>6.6614583333333304</v>
      </c>
      <c r="I1406">
        <v>0.90065972222222201</v>
      </c>
      <c r="J1406">
        <v>21.340624999999999</v>
      </c>
      <c r="K1406">
        <f t="shared" si="220"/>
        <v>95.02314814814801</v>
      </c>
      <c r="L1406">
        <f t="shared" si="221"/>
        <v>91.3020833333333</v>
      </c>
      <c r="M1406">
        <f t="shared" si="222"/>
        <v>80.475260416666629</v>
      </c>
      <c r="N1406">
        <f t="shared" si="223"/>
        <v>10.409895833333326</v>
      </c>
      <c r="O1406">
        <f t="shared" si="224"/>
        <v>8.3268229166666625</v>
      </c>
      <c r="P1406">
        <f t="shared" si="225"/>
        <v>10.234769570707067</v>
      </c>
      <c r="Q1406">
        <f t="shared" si="226"/>
        <v>19.759837962962962</v>
      </c>
      <c r="R1406">
        <f t="shared" si="227"/>
        <v>95.02314814814801</v>
      </c>
      <c r="S1406" t="str">
        <f t="shared" si="228"/>
        <v>Satisfactory</v>
      </c>
      <c r="T1406" t="str">
        <f t="shared" si="229"/>
        <v>PM2.5</v>
      </c>
      <c r="U1406">
        <v>22.5677083333333</v>
      </c>
      <c r="V1406">
        <v>44.0520833333333</v>
      </c>
    </row>
    <row r="1407" spans="1:22" x14ac:dyDescent="0.3">
      <c r="A1407" s="2" t="s">
        <v>15</v>
      </c>
      <c r="B1407">
        <v>560026</v>
      </c>
      <c r="C1407" s="4">
        <v>44931</v>
      </c>
      <c r="D1407">
        <v>45.5173611111111</v>
      </c>
      <c r="E1407">
        <v>83.25</v>
      </c>
      <c r="F1407">
        <v>61.515277777777698</v>
      </c>
      <c r="G1407">
        <v>33.310606060605998</v>
      </c>
      <c r="H1407">
        <v>6.4978260869565201</v>
      </c>
      <c r="I1407">
        <v>0.84468750000000004</v>
      </c>
      <c r="J1407">
        <v>22.186458333333299</v>
      </c>
      <c r="K1407">
        <f t="shared" si="220"/>
        <v>75.862268518518505</v>
      </c>
      <c r="L1407">
        <f t="shared" si="221"/>
        <v>83.25</v>
      </c>
      <c r="M1407">
        <f t="shared" si="222"/>
        <v>76.894097222222115</v>
      </c>
      <c r="N1407">
        <f t="shared" si="223"/>
        <v>8.3276515151514996</v>
      </c>
      <c r="O1407">
        <f t="shared" si="224"/>
        <v>8.1222826086956506</v>
      </c>
      <c r="P1407">
        <f t="shared" si="225"/>
        <v>9.5987215909090917</v>
      </c>
      <c r="Q1407">
        <f t="shared" si="226"/>
        <v>20.54301697530861</v>
      </c>
      <c r="R1407">
        <f t="shared" si="227"/>
        <v>83.25</v>
      </c>
      <c r="S1407" t="str">
        <f t="shared" si="228"/>
        <v>Satisfactory</v>
      </c>
      <c r="T1407" t="str">
        <f t="shared" si="229"/>
        <v>PM10</v>
      </c>
      <c r="U1407">
        <v>21.912847222222201</v>
      </c>
      <c r="V1407">
        <v>44.15625</v>
      </c>
    </row>
    <row r="1408" spans="1:22" x14ac:dyDescent="0.3">
      <c r="A1408" s="2" t="s">
        <v>15</v>
      </c>
      <c r="B1408">
        <v>560026</v>
      </c>
      <c r="C1408" s="4">
        <v>44932</v>
      </c>
      <c r="D1408">
        <v>58.90625</v>
      </c>
      <c r="E1408">
        <v>105.5625</v>
      </c>
      <c r="F1408">
        <v>84.105303030303006</v>
      </c>
      <c r="G1408">
        <v>25.630158730158701</v>
      </c>
      <c r="H1408">
        <v>6.3659722222222204</v>
      </c>
      <c r="I1408">
        <v>0.95104166666666601</v>
      </c>
      <c r="J1408">
        <v>22.1010416666666</v>
      </c>
      <c r="K1408">
        <f t="shared" si="220"/>
        <v>98.177083333333343</v>
      </c>
      <c r="L1408">
        <f t="shared" si="221"/>
        <v>103.70833333333333</v>
      </c>
      <c r="M1408">
        <f t="shared" si="222"/>
        <v>104.10530303030301</v>
      </c>
      <c r="N1408">
        <f t="shared" si="223"/>
        <v>6.4075396825396753</v>
      </c>
      <c r="O1408">
        <f t="shared" si="224"/>
        <v>7.9574652777777759</v>
      </c>
      <c r="P1408">
        <f t="shared" si="225"/>
        <v>10.807291666666659</v>
      </c>
      <c r="Q1408">
        <f t="shared" si="226"/>
        <v>20.46392746913574</v>
      </c>
      <c r="R1408">
        <f t="shared" si="227"/>
        <v>104.10530303030301</v>
      </c>
      <c r="S1408" t="str">
        <f t="shared" si="228"/>
        <v>Moderate</v>
      </c>
      <c r="T1408" t="str">
        <f t="shared" si="229"/>
        <v>NO2</v>
      </c>
      <c r="U1408">
        <v>22.3333333333333</v>
      </c>
      <c r="V1408">
        <v>44.1423611111111</v>
      </c>
    </row>
    <row r="1409" spans="1:22" x14ac:dyDescent="0.3">
      <c r="A1409" s="2" t="s">
        <v>15</v>
      </c>
      <c r="B1409">
        <v>560026</v>
      </c>
      <c r="C1409" s="4">
        <v>44933</v>
      </c>
      <c r="D1409">
        <v>71.9027777777777</v>
      </c>
      <c r="E1409">
        <v>118.125</v>
      </c>
      <c r="F1409">
        <v>87.715079365079305</v>
      </c>
      <c r="G1409">
        <v>30.801190476190399</v>
      </c>
      <c r="H1409">
        <v>6.1815972222222202</v>
      </c>
      <c r="I1409">
        <v>1.1930208333333301</v>
      </c>
      <c r="J1409">
        <v>21.777083333333302</v>
      </c>
      <c r="K1409">
        <f t="shared" si="220"/>
        <v>139.67592592592567</v>
      </c>
      <c r="L1409">
        <f t="shared" si="221"/>
        <v>112.08333333333333</v>
      </c>
      <c r="M1409">
        <f t="shared" si="222"/>
        <v>107.7150793650793</v>
      </c>
      <c r="N1409">
        <f t="shared" si="223"/>
        <v>7.7002976190475998</v>
      </c>
      <c r="O1409">
        <f t="shared" si="224"/>
        <v>7.7269965277777759</v>
      </c>
      <c r="P1409">
        <f t="shared" si="225"/>
        <v>13.557054924242387</v>
      </c>
      <c r="Q1409">
        <f t="shared" si="226"/>
        <v>20.163966049382687</v>
      </c>
      <c r="R1409">
        <f t="shared" si="227"/>
        <v>139.67592592592567</v>
      </c>
      <c r="S1409" t="str">
        <f t="shared" si="228"/>
        <v>Moderate</v>
      </c>
      <c r="T1409" t="str">
        <f t="shared" si="229"/>
        <v>PM2.5</v>
      </c>
      <c r="U1409">
        <v>22.3663194444444</v>
      </c>
      <c r="V1409">
        <v>44.0590277777777</v>
      </c>
    </row>
    <row r="1410" spans="1:22" x14ac:dyDescent="0.3">
      <c r="A1410" s="2" t="s">
        <v>15</v>
      </c>
      <c r="B1410">
        <v>560026</v>
      </c>
      <c r="C1410" s="4">
        <v>44935</v>
      </c>
      <c r="D1410">
        <v>64.0659722222222</v>
      </c>
      <c r="E1410">
        <v>134.57608695652101</v>
      </c>
      <c r="F1410">
        <v>0.25</v>
      </c>
      <c r="G1410">
        <v>0.57307692307692304</v>
      </c>
      <c r="H1410">
        <v>5.6083333333333298</v>
      </c>
      <c r="I1410">
        <v>1.33572916666666</v>
      </c>
      <c r="J1410">
        <v>21.7604166666666</v>
      </c>
      <c r="K1410">
        <f t="shared" si="220"/>
        <v>113.55324074074066</v>
      </c>
      <c r="L1410">
        <f t="shared" si="221"/>
        <v>123.05072463768067</v>
      </c>
      <c r="M1410">
        <f t="shared" si="222"/>
        <v>0.3125</v>
      </c>
      <c r="N1410">
        <f t="shared" si="223"/>
        <v>0.14326923076923076</v>
      </c>
      <c r="O1410">
        <f t="shared" si="224"/>
        <v>7.0104166666666625</v>
      </c>
      <c r="P1410">
        <f t="shared" si="225"/>
        <v>15.178740530302953</v>
      </c>
      <c r="Q1410">
        <f t="shared" si="226"/>
        <v>20.148533950617221</v>
      </c>
      <c r="R1410">
        <f t="shared" si="227"/>
        <v>123.05072463768067</v>
      </c>
      <c r="S1410" t="str">
        <f t="shared" si="228"/>
        <v>Moderate</v>
      </c>
      <c r="T1410" t="str">
        <f t="shared" si="229"/>
        <v>PM10</v>
      </c>
      <c r="U1410">
        <v>22.493749999999999</v>
      </c>
      <c r="V1410">
        <v>44.0694444444444</v>
      </c>
    </row>
    <row r="1411" spans="1:22" x14ac:dyDescent="0.3">
      <c r="A1411" s="2" t="s">
        <v>15</v>
      </c>
      <c r="B1411">
        <v>560026</v>
      </c>
      <c r="C1411" s="4">
        <v>44936</v>
      </c>
      <c r="D1411">
        <v>41.6597222222222</v>
      </c>
      <c r="E1411">
        <v>119.159722222222</v>
      </c>
      <c r="F1411">
        <v>0.1</v>
      </c>
      <c r="G1411">
        <v>0.29166666666666602</v>
      </c>
      <c r="H1411">
        <v>7.1628472222222204</v>
      </c>
      <c r="I1411">
        <v>1.0581597222222201</v>
      </c>
      <c r="J1411">
        <v>22.134722222222202</v>
      </c>
      <c r="K1411">
        <f t="shared" si="220"/>
        <v>69.432870370370324</v>
      </c>
      <c r="L1411">
        <f t="shared" si="221"/>
        <v>112.773148148148</v>
      </c>
      <c r="M1411">
        <f t="shared" si="222"/>
        <v>0.125</v>
      </c>
      <c r="N1411">
        <f t="shared" si="223"/>
        <v>7.2916666666666505E-2</v>
      </c>
      <c r="O1411">
        <f t="shared" si="224"/>
        <v>8.953559027777775</v>
      </c>
      <c r="P1411">
        <f t="shared" si="225"/>
        <v>12.024542297979773</v>
      </c>
      <c r="Q1411">
        <f t="shared" si="226"/>
        <v>20.495113168724259</v>
      </c>
      <c r="R1411">
        <f t="shared" si="227"/>
        <v>112.773148148148</v>
      </c>
      <c r="S1411" t="str">
        <f t="shared" si="228"/>
        <v>Moderate</v>
      </c>
      <c r="T1411" t="str">
        <f t="shared" si="229"/>
        <v>PM10</v>
      </c>
      <c r="U1411">
        <v>21.924305555555499</v>
      </c>
      <c r="V1411">
        <v>44.2395833333333</v>
      </c>
    </row>
    <row r="1412" spans="1:22" x14ac:dyDescent="0.3">
      <c r="A1412" s="2" t="s">
        <v>15</v>
      </c>
      <c r="B1412">
        <v>560026</v>
      </c>
      <c r="C1412" s="4">
        <v>44937</v>
      </c>
      <c r="D1412">
        <v>38.616666666666603</v>
      </c>
      <c r="E1412">
        <v>110.416666666666</v>
      </c>
      <c r="F1412">
        <v>0.5</v>
      </c>
      <c r="G1412">
        <v>0.53636363636363604</v>
      </c>
      <c r="H1412">
        <v>6.9868421052631504</v>
      </c>
      <c r="I1412">
        <v>1.0922807017543801</v>
      </c>
      <c r="J1412">
        <v>21.918859649122801</v>
      </c>
      <c r="K1412">
        <f t="shared" si="220"/>
        <v>64.361111111111001</v>
      </c>
      <c r="L1412">
        <f t="shared" si="221"/>
        <v>106.944444444444</v>
      </c>
      <c r="M1412">
        <f t="shared" si="222"/>
        <v>0.625</v>
      </c>
      <c r="N1412">
        <f t="shared" si="223"/>
        <v>0.13409090909090901</v>
      </c>
      <c r="O1412">
        <f t="shared" si="224"/>
        <v>8.733552631578938</v>
      </c>
      <c r="P1412">
        <f t="shared" si="225"/>
        <v>12.41228070175432</v>
      </c>
      <c r="Q1412">
        <f t="shared" si="226"/>
        <v>20.295240415854444</v>
      </c>
      <c r="R1412">
        <f t="shared" si="227"/>
        <v>106.944444444444</v>
      </c>
      <c r="S1412" t="str">
        <f t="shared" si="228"/>
        <v>Moderate</v>
      </c>
      <c r="T1412" t="str">
        <f t="shared" si="229"/>
        <v>PM10</v>
      </c>
      <c r="U1412">
        <v>23.515416666666599</v>
      </c>
      <c r="V1412">
        <v>43.894736842105203</v>
      </c>
    </row>
    <row r="1413" spans="1:22" x14ac:dyDescent="0.3">
      <c r="A1413" s="2" t="s">
        <v>15</v>
      </c>
      <c r="B1413">
        <v>560026</v>
      </c>
      <c r="C1413" s="4">
        <v>44938</v>
      </c>
      <c r="D1413">
        <v>42.9131944444444</v>
      </c>
      <c r="E1413">
        <v>122.465277777777</v>
      </c>
      <c r="F1413">
        <v>34.867443369999997</v>
      </c>
      <c r="G1413">
        <v>0.41176470588235198</v>
      </c>
      <c r="H1413">
        <v>7.05277777777777</v>
      </c>
      <c r="I1413">
        <v>1.3171527777777701</v>
      </c>
      <c r="J1413">
        <v>21.936111111111099</v>
      </c>
      <c r="K1413">
        <f t="shared" si="220"/>
        <v>71.521990740740662</v>
      </c>
      <c r="L1413">
        <f t="shared" si="221"/>
        <v>114.97685185185134</v>
      </c>
      <c r="M1413">
        <f t="shared" si="222"/>
        <v>43.584304212499994</v>
      </c>
      <c r="N1413">
        <f t="shared" si="223"/>
        <v>0.10294117647058799</v>
      </c>
      <c r="O1413">
        <f t="shared" si="224"/>
        <v>8.8159722222222126</v>
      </c>
      <c r="P1413">
        <f t="shared" si="225"/>
        <v>14.967645202020114</v>
      </c>
      <c r="Q1413">
        <f t="shared" si="226"/>
        <v>20.311213991769538</v>
      </c>
      <c r="R1413">
        <f t="shared" si="227"/>
        <v>114.97685185185134</v>
      </c>
      <c r="S1413" t="str">
        <f t="shared" si="228"/>
        <v>Moderate</v>
      </c>
      <c r="T1413" t="str">
        <f t="shared" si="229"/>
        <v>PM10</v>
      </c>
      <c r="U1413">
        <v>23.7152777777777</v>
      </c>
      <c r="V1413">
        <v>43.6770833333333</v>
      </c>
    </row>
    <row r="1414" spans="1:22" x14ac:dyDescent="0.3">
      <c r="A1414" s="2" t="s">
        <v>15</v>
      </c>
      <c r="B1414">
        <v>560026</v>
      </c>
      <c r="C1414" s="4">
        <v>44939</v>
      </c>
      <c r="D1414">
        <v>42.5833333333333</v>
      </c>
      <c r="E1414">
        <v>121.5</v>
      </c>
      <c r="F1414">
        <v>34.867443369999997</v>
      </c>
      <c r="G1414">
        <v>0.61944444444444402</v>
      </c>
      <c r="H1414">
        <v>6.3312499999999998</v>
      </c>
      <c r="I1414">
        <v>1.2057291666666601</v>
      </c>
      <c r="J1414">
        <v>22.765625</v>
      </c>
      <c r="K1414">
        <f t="shared" si="220"/>
        <v>70.972222222222172</v>
      </c>
      <c r="L1414">
        <f t="shared" si="221"/>
        <v>114.33333333333333</v>
      </c>
      <c r="M1414">
        <f t="shared" si="222"/>
        <v>43.584304212499994</v>
      </c>
      <c r="N1414">
        <f t="shared" si="223"/>
        <v>0.15486111111111101</v>
      </c>
      <c r="O1414">
        <f t="shared" si="224"/>
        <v>7.9140625</v>
      </c>
      <c r="P1414">
        <f t="shared" si="225"/>
        <v>13.701467803030228</v>
      </c>
      <c r="Q1414">
        <f t="shared" si="226"/>
        <v>21.079282407407408</v>
      </c>
      <c r="R1414">
        <f t="shared" si="227"/>
        <v>114.33333333333333</v>
      </c>
      <c r="S1414" t="str">
        <f t="shared" si="228"/>
        <v>Moderate</v>
      </c>
      <c r="T1414" t="str">
        <f t="shared" si="229"/>
        <v>PM10</v>
      </c>
      <c r="U1414">
        <v>23.845833333333299</v>
      </c>
      <c r="V1414">
        <v>43.6979166666666</v>
      </c>
    </row>
    <row r="1415" spans="1:22" x14ac:dyDescent="0.3">
      <c r="A1415" s="2" t="s">
        <v>15</v>
      </c>
      <c r="B1415">
        <v>560026</v>
      </c>
      <c r="C1415" s="4">
        <v>44940</v>
      </c>
      <c r="D1415">
        <v>70.3090277777777</v>
      </c>
      <c r="E1415">
        <v>121.916666666666</v>
      </c>
      <c r="F1415">
        <v>34.867443369999997</v>
      </c>
      <c r="G1415">
        <v>0.45294117647058801</v>
      </c>
      <c r="H1415">
        <v>5.8791666666666602</v>
      </c>
      <c r="I1415">
        <v>1.4493055555555501</v>
      </c>
      <c r="J1415">
        <v>23.054513888888799</v>
      </c>
      <c r="K1415">
        <f t="shared" si="220"/>
        <v>134.36342592592567</v>
      </c>
      <c r="L1415">
        <f t="shared" si="221"/>
        <v>114.61111111111067</v>
      </c>
      <c r="M1415">
        <f t="shared" si="222"/>
        <v>43.584304212499994</v>
      </c>
      <c r="N1415">
        <f t="shared" si="223"/>
        <v>0.11323529411764702</v>
      </c>
      <c r="O1415">
        <f t="shared" si="224"/>
        <v>7.3489583333333259</v>
      </c>
      <c r="P1415">
        <f t="shared" si="225"/>
        <v>16.469381313131251</v>
      </c>
      <c r="Q1415">
        <f t="shared" si="226"/>
        <v>21.34677211934148</v>
      </c>
      <c r="R1415">
        <f t="shared" si="227"/>
        <v>134.36342592592567</v>
      </c>
      <c r="S1415" t="str">
        <f t="shared" si="228"/>
        <v>Moderate</v>
      </c>
      <c r="T1415" t="str">
        <f t="shared" si="229"/>
        <v>PM2.5</v>
      </c>
      <c r="U1415">
        <v>23.3420138888888</v>
      </c>
      <c r="V1415">
        <v>43.8333333333333</v>
      </c>
    </row>
    <row r="1416" spans="1:22" x14ac:dyDescent="0.3">
      <c r="A1416" s="2" t="s">
        <v>15</v>
      </c>
      <c r="B1416">
        <v>560026</v>
      </c>
      <c r="C1416" s="4">
        <v>44941</v>
      </c>
      <c r="D1416">
        <v>48.34375</v>
      </c>
      <c r="E1416">
        <v>137.930555555555</v>
      </c>
      <c r="F1416">
        <v>34.867443369999997</v>
      </c>
      <c r="G1416">
        <v>0.43666666666666598</v>
      </c>
      <c r="H1416">
        <v>6.36666666666666</v>
      </c>
      <c r="I1416">
        <v>0.99138888888888799</v>
      </c>
      <c r="J1416">
        <v>23.154166666666601</v>
      </c>
      <c r="K1416">
        <f t="shared" si="220"/>
        <v>80.572916666666671</v>
      </c>
      <c r="L1416">
        <f t="shared" si="221"/>
        <v>125.28703703703667</v>
      </c>
      <c r="M1416">
        <f t="shared" si="222"/>
        <v>43.584304212499994</v>
      </c>
      <c r="N1416">
        <f t="shared" si="223"/>
        <v>0.1091666666666665</v>
      </c>
      <c r="O1416">
        <f t="shared" si="224"/>
        <v>7.9583333333333259</v>
      </c>
      <c r="P1416">
        <f t="shared" si="225"/>
        <v>11.265782828282818</v>
      </c>
      <c r="Q1416">
        <f t="shared" si="226"/>
        <v>21.439043209876484</v>
      </c>
      <c r="R1416">
        <f t="shared" si="227"/>
        <v>125.28703703703667</v>
      </c>
      <c r="S1416" t="str">
        <f t="shared" si="228"/>
        <v>Moderate</v>
      </c>
      <c r="T1416" t="str">
        <f t="shared" si="229"/>
        <v>PM10</v>
      </c>
      <c r="U1416">
        <v>23.770138888888798</v>
      </c>
      <c r="V1416">
        <v>43.71875</v>
      </c>
    </row>
    <row r="1417" spans="1:22" x14ac:dyDescent="0.3">
      <c r="A1417" s="2" t="s">
        <v>15</v>
      </c>
      <c r="B1417">
        <v>560026</v>
      </c>
      <c r="C1417" s="4">
        <v>44942</v>
      </c>
      <c r="D1417">
        <v>47.65625</v>
      </c>
      <c r="E1417">
        <v>136.381944444444</v>
      </c>
      <c r="F1417">
        <v>0.2</v>
      </c>
      <c r="G1417">
        <v>0.255</v>
      </c>
      <c r="H1417">
        <v>5.7739583333333302</v>
      </c>
      <c r="I1417">
        <v>1.21194444444444</v>
      </c>
      <c r="J1417">
        <v>22.5541666666666</v>
      </c>
      <c r="K1417">
        <f t="shared" si="220"/>
        <v>79.427083333333329</v>
      </c>
      <c r="L1417">
        <f t="shared" si="221"/>
        <v>124.25462962962933</v>
      </c>
      <c r="M1417">
        <f t="shared" si="222"/>
        <v>0.25</v>
      </c>
      <c r="N1417">
        <f t="shared" si="223"/>
        <v>6.3750000000000001E-2</v>
      </c>
      <c r="O1417">
        <f t="shared" si="224"/>
        <v>7.2174479166666625</v>
      </c>
      <c r="P1417">
        <f t="shared" si="225"/>
        <v>13.772095959595909</v>
      </c>
      <c r="Q1417">
        <f t="shared" si="226"/>
        <v>20.883487654320927</v>
      </c>
      <c r="R1417">
        <f t="shared" si="227"/>
        <v>124.25462962962933</v>
      </c>
      <c r="S1417" t="str">
        <f t="shared" si="228"/>
        <v>Moderate</v>
      </c>
      <c r="T1417" t="str">
        <f t="shared" si="229"/>
        <v>PM10</v>
      </c>
      <c r="U1417">
        <v>24.091319444444402</v>
      </c>
      <c r="V1417">
        <v>43.6666666666666</v>
      </c>
    </row>
    <row r="1418" spans="1:22" x14ac:dyDescent="0.3">
      <c r="A1418" s="2" t="s">
        <v>15</v>
      </c>
      <c r="B1418">
        <v>560026</v>
      </c>
      <c r="C1418" s="4">
        <v>44943</v>
      </c>
      <c r="D1418">
        <v>33.0868055555555</v>
      </c>
      <c r="E1418">
        <v>94.4166666666666</v>
      </c>
      <c r="F1418">
        <v>0.4</v>
      </c>
      <c r="G1418">
        <v>0.46470588235294102</v>
      </c>
      <c r="H1418">
        <v>5.54270833333333</v>
      </c>
      <c r="I1418">
        <v>0.77684027777777698</v>
      </c>
      <c r="J1418">
        <v>22.9270833333333</v>
      </c>
      <c r="K1418">
        <f t="shared" si="220"/>
        <v>55.144675925925831</v>
      </c>
      <c r="L1418">
        <f t="shared" si="221"/>
        <v>94.4166666666666</v>
      </c>
      <c r="M1418">
        <f t="shared" si="222"/>
        <v>0.5</v>
      </c>
      <c r="N1418">
        <f t="shared" si="223"/>
        <v>0.11617647058823526</v>
      </c>
      <c r="O1418">
        <f t="shared" si="224"/>
        <v>6.9283854166666625</v>
      </c>
      <c r="P1418">
        <f t="shared" si="225"/>
        <v>8.8277304292929202</v>
      </c>
      <c r="Q1418">
        <f t="shared" si="226"/>
        <v>21.2287808641975</v>
      </c>
      <c r="R1418">
        <f t="shared" si="227"/>
        <v>94.4166666666666</v>
      </c>
      <c r="S1418" t="str">
        <f t="shared" si="228"/>
        <v>Satisfactory</v>
      </c>
      <c r="T1418" t="str">
        <f t="shared" si="229"/>
        <v>PM10</v>
      </c>
      <c r="U1418">
        <v>23.512499999999999</v>
      </c>
      <c r="V1418">
        <v>43.875</v>
      </c>
    </row>
    <row r="1419" spans="1:22" x14ac:dyDescent="0.3">
      <c r="A1419" s="2" t="s">
        <v>15</v>
      </c>
      <c r="B1419">
        <v>560026</v>
      </c>
      <c r="C1419" s="4">
        <v>44944</v>
      </c>
      <c r="D1419">
        <v>31.4583333333333</v>
      </c>
      <c r="E1419">
        <v>89.8368055555555</v>
      </c>
      <c r="F1419">
        <v>0.1</v>
      </c>
      <c r="G1419">
        <v>0.33181818181818101</v>
      </c>
      <c r="H1419">
        <v>6.3885416666666597</v>
      </c>
      <c r="I1419">
        <v>0.931805555555555</v>
      </c>
      <c r="J1419">
        <v>21.84375</v>
      </c>
      <c r="K1419">
        <f t="shared" si="220"/>
        <v>52.4305555555555</v>
      </c>
      <c r="L1419">
        <f t="shared" si="221"/>
        <v>89.8368055555555</v>
      </c>
      <c r="M1419">
        <f t="shared" si="222"/>
        <v>0.125</v>
      </c>
      <c r="N1419">
        <f t="shared" si="223"/>
        <v>8.2954545454545253E-2</v>
      </c>
      <c r="O1419">
        <f t="shared" si="224"/>
        <v>7.9856770833333242</v>
      </c>
      <c r="P1419">
        <f t="shared" si="225"/>
        <v>10.588699494949488</v>
      </c>
      <c r="Q1419">
        <f t="shared" si="226"/>
        <v>20.225694444444443</v>
      </c>
      <c r="R1419">
        <f t="shared" si="227"/>
        <v>89.8368055555555</v>
      </c>
      <c r="S1419" t="str">
        <f t="shared" si="228"/>
        <v>Satisfactory</v>
      </c>
      <c r="T1419" t="str">
        <f t="shared" si="229"/>
        <v>PM10</v>
      </c>
      <c r="U1419">
        <v>22.485763888888801</v>
      </c>
      <c r="V1419">
        <v>44.0520833333333</v>
      </c>
    </row>
    <row r="1420" spans="1:22" x14ac:dyDescent="0.3">
      <c r="A1420" s="2" t="s">
        <v>15</v>
      </c>
      <c r="B1420">
        <v>560026</v>
      </c>
      <c r="C1420" s="4">
        <v>44945</v>
      </c>
      <c r="D1420">
        <v>37.5798611111111</v>
      </c>
      <c r="E1420">
        <v>107.038194444444</v>
      </c>
      <c r="F1420">
        <v>34.867443369999997</v>
      </c>
      <c r="G1420">
        <v>0.46</v>
      </c>
      <c r="H1420">
        <v>4.2437499999999897</v>
      </c>
      <c r="I1420">
        <v>1.0012152777777701</v>
      </c>
      <c r="J1420">
        <v>21.847916666666599</v>
      </c>
      <c r="K1420">
        <f t="shared" si="220"/>
        <v>62.633101851851833</v>
      </c>
      <c r="L1420">
        <f t="shared" si="221"/>
        <v>104.69212962962933</v>
      </c>
      <c r="M1420">
        <f t="shared" si="222"/>
        <v>43.584304212499994</v>
      </c>
      <c r="N1420">
        <f t="shared" si="223"/>
        <v>0.115</v>
      </c>
      <c r="O1420">
        <f t="shared" si="224"/>
        <v>5.3046874999999876</v>
      </c>
      <c r="P1420">
        <f t="shared" si="225"/>
        <v>11.37744633838375</v>
      </c>
      <c r="Q1420">
        <f t="shared" si="226"/>
        <v>20.22955246913574</v>
      </c>
      <c r="R1420">
        <f t="shared" si="227"/>
        <v>104.69212962962933</v>
      </c>
      <c r="S1420" t="str">
        <f t="shared" si="228"/>
        <v>Moderate</v>
      </c>
      <c r="T1420" t="str">
        <f t="shared" si="229"/>
        <v>PM10</v>
      </c>
      <c r="U1420">
        <v>22.789236111111101</v>
      </c>
      <c r="V1420">
        <v>44.1354166666666</v>
      </c>
    </row>
    <row r="1421" spans="1:22" x14ac:dyDescent="0.3">
      <c r="A1421" s="2" t="s">
        <v>15</v>
      </c>
      <c r="B1421">
        <v>560026</v>
      </c>
      <c r="C1421" s="4">
        <v>44946</v>
      </c>
      <c r="D1421">
        <v>34.0416666666666</v>
      </c>
      <c r="E1421">
        <v>97.2256944444444</v>
      </c>
      <c r="F1421">
        <v>0.2</v>
      </c>
      <c r="G1421">
        <v>0.37948717948717903</v>
      </c>
      <c r="H1421">
        <v>4.7524305555555504</v>
      </c>
      <c r="I1421">
        <v>0.84319444444444402</v>
      </c>
      <c r="J1421">
        <v>22.079513888888801</v>
      </c>
      <c r="K1421">
        <f t="shared" ref="K1421:K1470" si="230">IF(ISTEXT(D1421),0,IF(D1421&lt;=30,D1421*50/30,IF(AND(D1421&gt;30,D1421&lt;=60),50+(D1421-30)*50/30,IF(AND(D1421&gt;60,D1421&lt;=90),100+(D1421-60)*100/30,IF(AND(D1421&gt;90,D1421&lt;=120),200+(D1421-90)*(100/30),IF(AND(D1421&gt;120,D1421&lt;=250),300+(D1421-120)*(100/130),IF(D1421&gt;250,400+(D1421-250)*(100/130))))))))</f>
        <v>56.736111111111001</v>
      </c>
      <c r="L1421">
        <f t="shared" ref="L1421:L1470" si="231">IF(ISTEXT(E1421),0,IF(E1421&lt;=50,E1421,IF(AND(E1421&gt;50,E1421&lt;=100),E1421,IF(AND(E1421&gt;100,E1421&lt;=250),100+(E1421-100)*100/150,IF(AND(E1421&gt;250,E1421&lt;=350),200+(E1421-250),IF(AND(E1421&gt;350,E1421&lt;=430),300+(E1421-350)*(100/80),IF(E1421&gt;430,400+(E1421-430)*(100/80))))))))</f>
        <v>97.2256944444444</v>
      </c>
      <c r="M1421">
        <f t="shared" ref="M1421:M1470" si="232">IF(ISTEXT(F1421),0,IF(F1421&lt;=40,F1421*50/40,IF(AND(F1421&gt;40,F1421&lt;=80),50+(F1421-40)*50/40,IF(AND(F1421&gt;80,F1421&lt;=180),100+(F1421-80)*100/100,IF(AND(F1421&gt;180,F1421&lt;=280),200+(F1421-180)*(100/100),IF(AND(F1421&gt;280,F1421&lt;=400),300+(F1421-280)*(100/120),IF(F1421&gt;400,400+(F1421-400)*(100/120))))))))</f>
        <v>0.25</v>
      </c>
      <c r="N1421">
        <f t="shared" ref="N1421:N1470" si="233">IF(ISTEXT(G1421),0,IF(G1421&lt;=200,G1421*50/200,IF(AND(G1421&gt;200,G1421&lt;=400),50+(G1421-200)*50/200,IF(AND(G1421&gt;400,G1421&lt;=800),100+(G1421-400)*100/400,IF(AND(G1421&gt;800,G1421&lt;=1200),200+(G1421-800)*(100/400),IF(AND(G1421&gt;1200,G1421&lt;=1800),300+(G1421-1200)*(100/600),IF(G1421&gt;1800,400+(G1421-1800)*(100/600))))))))</f>
        <v>9.4871794871794743E-2</v>
      </c>
      <c r="O1421">
        <f t="shared" ref="O1421:O1470" si="234">IF(ISTEXT(H1421),0,IF(H1421&lt;=40,H1421*50/40,IF(AND(H1421&gt;40,H1421&lt;=80),50+(H1421-40)*50/40,IF(AND(H1421&gt;80,H1421&lt;=380),100+(H1421-80)*100/300,IF(AND(H1421&gt;380,H1421&lt;=800),200+(H1421-380)*(100/420),IF(AND(H1421&gt;800,H1421&lt;=1600),300+(H1421-800)*(100/800),IF(H1421&gt;1600,400+(H1421-1600)*(100/800))))))))</f>
        <v>5.9405381944444375</v>
      </c>
      <c r="P1421">
        <f t="shared" ref="P1421:P1470" si="235">IF(I1421&lt;=4.4,(50-0)/(4.4-0)*(I1421-0)+0,
IF(I1421&lt;=9.4,(100-51)/(9.4-4.5)*(I1421-4.5)+51,
IF(I1421&lt;=12.4,(150-101)/(12.4-9.5)*(I1421-9.5)+101,
IF(I1421&lt;=15.4,(200-151)/(15.4-12.5)*(I1421-12.5)+151,
IF(I1421&lt;=30.4,(300-201)/(30.4-15.5)*(I1421-15.5)+201,
(500-301)/(50.4-30.5)*(I1421-30.5)+301)))))</f>
        <v>9.5817550505050448</v>
      </c>
      <c r="Q1421">
        <f t="shared" ref="Q1421:Q1470" si="236">IF(J1421&lt;=54,(50-0)/(54-0)*(J1421-0)+0,
IF(J1421&lt;=70,(100-51)/(70-55)*(J1421-55)+51,
IF(J1421&lt;=85,(150-101)/(85-71)*(J1421-71)+101,
IF(J1421&lt;=105,(200-151)/(105-86)*(J1421-86)+151,
IF(J1421&lt;=200,(300-201)/(200-106)*(J1421-106)+201,
(500-301)/(300-201)*(J1421-201)+301)))))</f>
        <v>20.443994341563705</v>
      </c>
      <c r="R1421">
        <f t="shared" ref="R1421:R1470" si="237">MAX(K1421:Q1421)</f>
        <v>97.2256944444444</v>
      </c>
      <c r="S1421" t="str">
        <f t="shared" ref="S1421:S1470" si="238">IF(R1421&lt;=50,"Good",
IF(R1421&lt;=100,"Satisfactory",
IF(R1421&lt;=200,"Moderate",
IF(R1421&lt;=300,"Poor",
IF(R1421&lt;=400,"Very Poor",
"Severe")))))</f>
        <v>Satisfactory</v>
      </c>
      <c r="T1421" t="str">
        <f t="shared" ref="T1421:T1470" si="239">IF(MAX(K1421:Q1421)=K1421,"PM2.5",
IF(MAX(K1421:Q1421)=L1421,"PM10",
IF(MAX(K1421:Q1421)=M1421,"NO2",
IF(MAX(K1421:Q1421)=N1421,"NH3",
IF(MAX(K1421:Q1421)=O1421,"SO2",
IF(MAX(K1421:Q1421)=P1421,"CO",
IF(MAX(K1421:Q1421)=Q1421,"OZONE","")))))))</f>
        <v>PM10</v>
      </c>
      <c r="U1421">
        <v>21.95</v>
      </c>
      <c r="V1421">
        <v>44.1458333333333</v>
      </c>
    </row>
    <row r="1422" spans="1:22" x14ac:dyDescent="0.3">
      <c r="A1422" s="2" t="s">
        <v>15</v>
      </c>
      <c r="B1422">
        <v>560026</v>
      </c>
      <c r="C1422" s="4">
        <v>44947</v>
      </c>
      <c r="D1422">
        <v>33.7777777777777</v>
      </c>
      <c r="E1422">
        <v>96.1041666666666</v>
      </c>
      <c r="F1422">
        <v>34.867443369999997</v>
      </c>
      <c r="G1422">
        <v>0.35</v>
      </c>
      <c r="H1422">
        <v>4.6749999999999998</v>
      </c>
      <c r="I1422">
        <v>0.78527777777777696</v>
      </c>
      <c r="J1422">
        <v>21.564583333333299</v>
      </c>
      <c r="K1422">
        <f t="shared" si="230"/>
        <v>56.29629629629617</v>
      </c>
      <c r="L1422">
        <f t="shared" si="231"/>
        <v>96.1041666666666</v>
      </c>
      <c r="M1422">
        <f t="shared" si="232"/>
        <v>43.584304212499994</v>
      </c>
      <c r="N1422">
        <f t="shared" si="233"/>
        <v>8.7499999999999994E-2</v>
      </c>
      <c r="O1422">
        <f t="shared" si="234"/>
        <v>5.84375</v>
      </c>
      <c r="P1422">
        <f t="shared" si="235"/>
        <v>8.9236111111111018</v>
      </c>
      <c r="Q1422">
        <f t="shared" si="236"/>
        <v>19.967206790123427</v>
      </c>
      <c r="R1422">
        <f t="shared" si="237"/>
        <v>96.1041666666666</v>
      </c>
      <c r="S1422" t="str">
        <f t="shared" si="238"/>
        <v>Satisfactory</v>
      </c>
      <c r="T1422" t="str">
        <f t="shared" si="239"/>
        <v>PM10</v>
      </c>
      <c r="U1422">
        <v>19.959722222222201</v>
      </c>
      <c r="V1422">
        <v>44.6041666666666</v>
      </c>
    </row>
    <row r="1423" spans="1:22" x14ac:dyDescent="0.3">
      <c r="A1423" s="2" t="s">
        <v>15</v>
      </c>
      <c r="B1423">
        <v>560026</v>
      </c>
      <c r="C1423" s="4">
        <v>44948</v>
      </c>
      <c r="D1423">
        <v>70.446323460000002</v>
      </c>
      <c r="E1423">
        <v>107.1357861</v>
      </c>
      <c r="F1423">
        <v>34.867443369999997</v>
      </c>
      <c r="G1423">
        <v>11.180224880000001</v>
      </c>
      <c r="H1423">
        <v>6.1467217300000003</v>
      </c>
      <c r="I1423">
        <v>1.0118149219999999</v>
      </c>
      <c r="J1423">
        <v>21.922676630000002</v>
      </c>
      <c r="K1423">
        <f t="shared" si="230"/>
        <v>134.82107820000002</v>
      </c>
      <c r="L1423">
        <f t="shared" si="231"/>
        <v>104.75719073333333</v>
      </c>
      <c r="M1423">
        <f t="shared" si="232"/>
        <v>43.584304212499994</v>
      </c>
      <c r="N1423">
        <f t="shared" si="233"/>
        <v>2.7950562200000002</v>
      </c>
      <c r="O1423">
        <f t="shared" si="234"/>
        <v>7.6834021625000002</v>
      </c>
      <c r="P1423">
        <f t="shared" si="235"/>
        <v>11.497896840909089</v>
      </c>
      <c r="Q1423">
        <f t="shared" si="236"/>
        <v>20.29877465740741</v>
      </c>
      <c r="R1423">
        <f t="shared" si="237"/>
        <v>134.82107820000002</v>
      </c>
      <c r="S1423" t="str">
        <f t="shared" si="238"/>
        <v>Moderate</v>
      </c>
      <c r="T1423" t="str">
        <f t="shared" si="239"/>
        <v>PM2.5</v>
      </c>
      <c r="U1423">
        <v>23.075929550000001</v>
      </c>
      <c r="V1423">
        <v>43.911877429999997</v>
      </c>
    </row>
    <row r="1424" spans="1:22" x14ac:dyDescent="0.3">
      <c r="A1424" s="2" t="s">
        <v>15</v>
      </c>
      <c r="B1424">
        <v>560026</v>
      </c>
      <c r="C1424" s="4">
        <v>44950</v>
      </c>
      <c r="D1424">
        <v>25.5507246376811</v>
      </c>
      <c r="E1424">
        <v>72.851449275362299</v>
      </c>
      <c r="F1424">
        <v>0.89999999999999902</v>
      </c>
      <c r="G1424">
        <v>0.35769230769230698</v>
      </c>
      <c r="H1424">
        <v>6.1637681159420197</v>
      </c>
      <c r="I1424">
        <v>0.70967391304347804</v>
      </c>
      <c r="J1424">
        <v>21.243478260869502</v>
      </c>
      <c r="K1424">
        <f t="shared" si="230"/>
        <v>42.584541062801833</v>
      </c>
      <c r="L1424">
        <f t="shared" si="231"/>
        <v>72.851449275362299</v>
      </c>
      <c r="M1424">
        <f t="shared" si="232"/>
        <v>1.1249999999999987</v>
      </c>
      <c r="N1424">
        <f t="shared" si="233"/>
        <v>8.9423076923076744E-2</v>
      </c>
      <c r="O1424">
        <f t="shared" si="234"/>
        <v>7.7047101449275246</v>
      </c>
      <c r="P1424">
        <f t="shared" si="235"/>
        <v>8.0644762845849769</v>
      </c>
      <c r="Q1424">
        <f t="shared" si="236"/>
        <v>19.669887278582873</v>
      </c>
      <c r="R1424">
        <f t="shared" si="237"/>
        <v>72.851449275362299</v>
      </c>
      <c r="S1424" t="str">
        <f t="shared" si="238"/>
        <v>Satisfactory</v>
      </c>
      <c r="T1424" t="str">
        <f t="shared" si="239"/>
        <v>PM10</v>
      </c>
      <c r="U1424">
        <v>23.240942028985501</v>
      </c>
      <c r="V1424">
        <v>44.032608695652101</v>
      </c>
    </row>
    <row r="1425" spans="1:22" x14ac:dyDescent="0.3">
      <c r="A1425" s="2" t="s">
        <v>15</v>
      </c>
      <c r="B1425">
        <v>560026</v>
      </c>
      <c r="C1425" s="4">
        <v>44952</v>
      </c>
      <c r="D1425">
        <v>67.9652777777777</v>
      </c>
      <c r="E1425">
        <v>95.865942028985501</v>
      </c>
      <c r="F1425">
        <v>34.867443369999997</v>
      </c>
      <c r="G1425">
        <v>0.32222222222222202</v>
      </c>
      <c r="H1425">
        <v>6.2708333333333304</v>
      </c>
      <c r="I1425">
        <v>0.77583333333333304</v>
      </c>
      <c r="J1425">
        <v>21.608333333333299</v>
      </c>
      <c r="K1425">
        <f t="shared" si="230"/>
        <v>126.55092592592567</v>
      </c>
      <c r="L1425">
        <f t="shared" si="231"/>
        <v>95.865942028985501</v>
      </c>
      <c r="M1425">
        <f t="shared" si="232"/>
        <v>43.584304212499994</v>
      </c>
      <c r="N1425">
        <f t="shared" si="233"/>
        <v>8.0555555555555505E-2</v>
      </c>
      <c r="O1425">
        <f t="shared" si="234"/>
        <v>7.8385416666666625</v>
      </c>
      <c r="P1425">
        <f t="shared" si="235"/>
        <v>8.8162878787878753</v>
      </c>
      <c r="Q1425">
        <f t="shared" si="236"/>
        <v>20.007716049382683</v>
      </c>
      <c r="R1425">
        <f t="shared" si="237"/>
        <v>126.55092592592567</v>
      </c>
      <c r="S1425" t="str">
        <f t="shared" si="238"/>
        <v>Moderate</v>
      </c>
      <c r="T1425" t="str">
        <f t="shared" si="239"/>
        <v>PM2.5</v>
      </c>
      <c r="U1425">
        <v>23.047569444444399</v>
      </c>
      <c r="V1425">
        <v>43.8541666666666</v>
      </c>
    </row>
    <row r="1426" spans="1:22" x14ac:dyDescent="0.3">
      <c r="A1426" s="2" t="s">
        <v>15</v>
      </c>
      <c r="B1426">
        <v>560026</v>
      </c>
      <c r="C1426" s="4">
        <v>44954</v>
      </c>
      <c r="D1426">
        <v>42.09375</v>
      </c>
      <c r="E1426">
        <v>120.121527777777</v>
      </c>
      <c r="F1426">
        <v>12.466666666666599</v>
      </c>
      <c r="G1426">
        <v>0.7</v>
      </c>
      <c r="H1426">
        <v>6.8638888888888898</v>
      </c>
      <c r="I1426">
        <v>0.91749999999999998</v>
      </c>
      <c r="J1426">
        <v>21.467708333333299</v>
      </c>
      <c r="K1426">
        <f t="shared" si="230"/>
        <v>70.15625</v>
      </c>
      <c r="L1426">
        <f t="shared" si="231"/>
        <v>113.41435185185134</v>
      </c>
      <c r="M1426">
        <f t="shared" si="232"/>
        <v>15.583333333333249</v>
      </c>
      <c r="N1426">
        <f t="shared" si="233"/>
        <v>0.17499999999999999</v>
      </c>
      <c r="O1426">
        <f t="shared" si="234"/>
        <v>8.5798611111111125</v>
      </c>
      <c r="P1426">
        <f t="shared" si="235"/>
        <v>10.426136363636363</v>
      </c>
      <c r="Q1426">
        <f t="shared" si="236"/>
        <v>19.877507716049351</v>
      </c>
      <c r="R1426">
        <f t="shared" si="237"/>
        <v>113.41435185185134</v>
      </c>
      <c r="S1426" t="str">
        <f t="shared" si="238"/>
        <v>Moderate</v>
      </c>
      <c r="T1426" t="str">
        <f t="shared" si="239"/>
        <v>PM10</v>
      </c>
      <c r="U1426">
        <v>23.587847222222202</v>
      </c>
      <c r="V1426">
        <v>43.7083333333333</v>
      </c>
    </row>
    <row r="1427" spans="1:22" x14ac:dyDescent="0.3">
      <c r="A1427" s="2" t="s">
        <v>15</v>
      </c>
      <c r="B1427">
        <v>560026</v>
      </c>
      <c r="C1427" s="4">
        <v>44955</v>
      </c>
      <c r="D1427">
        <v>38.0590277777777</v>
      </c>
      <c r="E1427">
        <v>108.729166666666</v>
      </c>
      <c r="F1427">
        <v>34.867443369999997</v>
      </c>
      <c r="G1427">
        <v>11.180224880000001</v>
      </c>
      <c r="H1427">
        <v>5.5430555555555499</v>
      </c>
      <c r="I1427">
        <v>0.83374999999999999</v>
      </c>
      <c r="J1427">
        <v>21.8944444444444</v>
      </c>
      <c r="K1427">
        <f t="shared" si="230"/>
        <v>63.431712962962834</v>
      </c>
      <c r="L1427">
        <f t="shared" si="231"/>
        <v>105.819444444444</v>
      </c>
      <c r="M1427">
        <f t="shared" si="232"/>
        <v>43.584304212499994</v>
      </c>
      <c r="N1427">
        <f t="shared" si="233"/>
        <v>2.7950562200000002</v>
      </c>
      <c r="O1427">
        <f t="shared" si="234"/>
        <v>6.9288194444444375</v>
      </c>
      <c r="P1427">
        <f t="shared" si="235"/>
        <v>9.4744318181818183</v>
      </c>
      <c r="Q1427">
        <f t="shared" si="236"/>
        <v>20.272633744855927</v>
      </c>
      <c r="R1427">
        <f t="shared" si="237"/>
        <v>105.819444444444</v>
      </c>
      <c r="S1427" t="str">
        <f t="shared" si="238"/>
        <v>Moderate</v>
      </c>
      <c r="T1427" t="str">
        <f t="shared" si="239"/>
        <v>PM10</v>
      </c>
      <c r="U1427">
        <v>23.599999999999898</v>
      </c>
      <c r="V1427">
        <v>43.7708333333333</v>
      </c>
    </row>
    <row r="1428" spans="1:22" x14ac:dyDescent="0.3">
      <c r="A1428" s="2" t="s">
        <v>15</v>
      </c>
      <c r="B1428">
        <v>560026</v>
      </c>
      <c r="C1428" s="4">
        <v>44956</v>
      </c>
      <c r="D1428">
        <v>40.7986111111111</v>
      </c>
      <c r="E1428">
        <v>116.857638888888</v>
      </c>
      <c r="F1428">
        <v>34.867443369999997</v>
      </c>
      <c r="G1428">
        <v>11.180224880000001</v>
      </c>
      <c r="H1428">
        <v>6.7822916666666604</v>
      </c>
      <c r="I1428">
        <v>1.06375</v>
      </c>
      <c r="J1428">
        <v>20.998958333333299</v>
      </c>
      <c r="K1428">
        <f t="shared" si="230"/>
        <v>67.997685185185162</v>
      </c>
      <c r="L1428">
        <f t="shared" si="231"/>
        <v>111.23842592592534</v>
      </c>
      <c r="M1428">
        <f t="shared" si="232"/>
        <v>43.584304212499994</v>
      </c>
      <c r="N1428">
        <f t="shared" si="233"/>
        <v>2.7950562200000002</v>
      </c>
      <c r="O1428">
        <f t="shared" si="234"/>
        <v>8.477864583333325</v>
      </c>
      <c r="P1428">
        <f t="shared" si="235"/>
        <v>12.088068181818182</v>
      </c>
      <c r="Q1428">
        <f t="shared" si="236"/>
        <v>19.443479938271572</v>
      </c>
      <c r="R1428">
        <f t="shared" si="237"/>
        <v>111.23842592592534</v>
      </c>
      <c r="S1428" t="str">
        <f t="shared" si="238"/>
        <v>Moderate</v>
      </c>
      <c r="T1428" t="str">
        <f t="shared" si="239"/>
        <v>PM10</v>
      </c>
      <c r="U1428">
        <v>24.077430555555502</v>
      </c>
      <c r="V1428">
        <v>43.7291666666666</v>
      </c>
    </row>
    <row r="1429" spans="1:22" x14ac:dyDescent="0.3">
      <c r="A1429" s="2" t="s">
        <v>15</v>
      </c>
      <c r="B1429">
        <v>560026</v>
      </c>
      <c r="C1429" s="4">
        <v>44957</v>
      </c>
      <c r="D1429">
        <v>39.40625</v>
      </c>
      <c r="E1429">
        <v>112.635416666666</v>
      </c>
      <c r="F1429">
        <v>34.867443369999997</v>
      </c>
      <c r="G1429">
        <v>11.180224880000001</v>
      </c>
      <c r="H1429">
        <v>7.0208333333333304</v>
      </c>
      <c r="I1429">
        <v>1.18690972222222</v>
      </c>
      <c r="J1429">
        <v>20.716319444444402</v>
      </c>
      <c r="K1429">
        <f t="shared" si="230"/>
        <v>65.677083333333329</v>
      </c>
      <c r="L1429">
        <f t="shared" si="231"/>
        <v>108.42361111111067</v>
      </c>
      <c r="M1429">
        <f t="shared" si="232"/>
        <v>43.584304212499994</v>
      </c>
      <c r="N1429">
        <f t="shared" si="233"/>
        <v>2.7950562200000002</v>
      </c>
      <c r="O1429">
        <f t="shared" si="234"/>
        <v>8.7760416666666625</v>
      </c>
      <c r="P1429">
        <f t="shared" si="235"/>
        <v>13.487610479797954</v>
      </c>
      <c r="Q1429">
        <f t="shared" si="236"/>
        <v>19.181777263374446</v>
      </c>
      <c r="R1429">
        <f t="shared" si="237"/>
        <v>108.42361111111067</v>
      </c>
      <c r="S1429" t="str">
        <f t="shared" si="238"/>
        <v>Moderate</v>
      </c>
      <c r="T1429" t="str">
        <f t="shared" si="239"/>
        <v>PM10</v>
      </c>
      <c r="U1429">
        <v>24.487500000000001</v>
      </c>
      <c r="V1429">
        <v>43.4791666666666</v>
      </c>
    </row>
    <row r="1430" spans="1:22" x14ac:dyDescent="0.3">
      <c r="A1430" s="2" t="s">
        <v>15</v>
      </c>
      <c r="B1430">
        <v>560026</v>
      </c>
      <c r="C1430" s="4">
        <v>44960</v>
      </c>
      <c r="D1430">
        <v>67.8125</v>
      </c>
      <c r="E1430">
        <v>116.756944444444</v>
      </c>
      <c r="F1430">
        <v>79.007402150000004</v>
      </c>
      <c r="G1430">
        <v>75.561280210000007</v>
      </c>
      <c r="H1430">
        <v>6.16909722222222</v>
      </c>
      <c r="I1430">
        <v>1.0802083333333301</v>
      </c>
      <c r="J1430">
        <v>21.605555555555501</v>
      </c>
      <c r="K1430">
        <f t="shared" si="230"/>
        <v>126.04166666666667</v>
      </c>
      <c r="L1430">
        <f t="shared" si="231"/>
        <v>111.17129629629601</v>
      </c>
      <c r="M1430">
        <f t="shared" si="232"/>
        <v>98.759252687500009</v>
      </c>
      <c r="N1430">
        <f t="shared" si="233"/>
        <v>18.890320052500002</v>
      </c>
      <c r="O1430">
        <f t="shared" si="234"/>
        <v>7.7113715277777741</v>
      </c>
      <c r="P1430">
        <f t="shared" si="235"/>
        <v>12.27509469696966</v>
      </c>
      <c r="Q1430">
        <f t="shared" si="236"/>
        <v>20.005144032921759</v>
      </c>
      <c r="R1430">
        <f t="shared" si="237"/>
        <v>126.04166666666667</v>
      </c>
      <c r="S1430" t="str">
        <f t="shared" si="238"/>
        <v>Moderate</v>
      </c>
      <c r="T1430" t="str">
        <f t="shared" si="239"/>
        <v>PM2.5</v>
      </c>
      <c r="U1430">
        <v>23.473263888888798</v>
      </c>
      <c r="V1430">
        <v>44.0694444444444</v>
      </c>
    </row>
    <row r="1431" spans="1:22" x14ac:dyDescent="0.3">
      <c r="A1431" s="2" t="s">
        <v>15</v>
      </c>
      <c r="B1431">
        <v>560026</v>
      </c>
      <c r="C1431" s="4">
        <v>44961</v>
      </c>
      <c r="D1431">
        <v>37.8506944444444</v>
      </c>
      <c r="E1431">
        <v>108.0625</v>
      </c>
      <c r="F1431">
        <v>79.007402150000004</v>
      </c>
      <c r="G1431">
        <v>75.561280210000007</v>
      </c>
      <c r="H1431">
        <v>6.8875000000000002</v>
      </c>
      <c r="I1431">
        <v>0.97680555555555504</v>
      </c>
      <c r="J1431">
        <v>21.669791666666601</v>
      </c>
      <c r="K1431">
        <f t="shared" si="230"/>
        <v>63.084490740740669</v>
      </c>
      <c r="L1431">
        <f t="shared" si="231"/>
        <v>105.375</v>
      </c>
      <c r="M1431">
        <f t="shared" si="232"/>
        <v>98.759252687500009</v>
      </c>
      <c r="N1431">
        <f t="shared" si="233"/>
        <v>18.890320052500002</v>
      </c>
      <c r="O1431">
        <f t="shared" si="234"/>
        <v>8.609375</v>
      </c>
      <c r="P1431">
        <f t="shared" si="235"/>
        <v>11.100063131313124</v>
      </c>
      <c r="Q1431">
        <f t="shared" si="236"/>
        <v>20.064621913580186</v>
      </c>
      <c r="R1431">
        <f t="shared" si="237"/>
        <v>105.375</v>
      </c>
      <c r="S1431" t="str">
        <f t="shared" si="238"/>
        <v>Moderate</v>
      </c>
      <c r="T1431" t="str">
        <f t="shared" si="239"/>
        <v>PM10</v>
      </c>
      <c r="U1431">
        <v>25.6701388888888</v>
      </c>
      <c r="V1431">
        <v>43.2916666666666</v>
      </c>
    </row>
    <row r="1432" spans="1:22" x14ac:dyDescent="0.3">
      <c r="A1432" s="2" t="s">
        <v>15</v>
      </c>
      <c r="B1432">
        <v>560026</v>
      </c>
      <c r="C1432" s="4">
        <v>44962</v>
      </c>
      <c r="D1432">
        <v>35.2743055555555</v>
      </c>
      <c r="E1432">
        <v>100.625</v>
      </c>
      <c r="F1432">
        <v>79.007402150000004</v>
      </c>
      <c r="G1432">
        <v>75.561280210000007</v>
      </c>
      <c r="H1432">
        <v>7.0406249999999897</v>
      </c>
      <c r="I1432">
        <v>0.86624999999999996</v>
      </c>
      <c r="J1432">
        <v>22.905208333333299</v>
      </c>
      <c r="K1432">
        <f t="shared" si="230"/>
        <v>58.790509259259167</v>
      </c>
      <c r="L1432">
        <f t="shared" si="231"/>
        <v>100.41666666666667</v>
      </c>
      <c r="M1432">
        <f t="shared" si="232"/>
        <v>98.759252687500009</v>
      </c>
      <c r="N1432">
        <f t="shared" si="233"/>
        <v>18.890320052500002</v>
      </c>
      <c r="O1432">
        <f t="shared" si="234"/>
        <v>8.8007812499999876</v>
      </c>
      <c r="P1432">
        <f t="shared" si="235"/>
        <v>9.84375</v>
      </c>
      <c r="Q1432">
        <f t="shared" si="236"/>
        <v>21.20852623456787</v>
      </c>
      <c r="R1432">
        <f t="shared" si="237"/>
        <v>100.41666666666667</v>
      </c>
      <c r="S1432" t="str">
        <f t="shared" si="238"/>
        <v>Moderate</v>
      </c>
      <c r="T1432" t="str">
        <f t="shared" si="239"/>
        <v>PM10</v>
      </c>
      <c r="U1432">
        <v>25.8489583333333</v>
      </c>
      <c r="V1432">
        <v>43.03125</v>
      </c>
    </row>
    <row r="1433" spans="1:22" x14ac:dyDescent="0.3">
      <c r="A1433" s="2" t="s">
        <v>15</v>
      </c>
      <c r="B1433">
        <v>560026</v>
      </c>
      <c r="C1433" s="4">
        <v>44963</v>
      </c>
      <c r="D1433">
        <v>37.9930555555555</v>
      </c>
      <c r="E1433">
        <v>108.395833333333</v>
      </c>
      <c r="F1433">
        <v>79.007402150000004</v>
      </c>
      <c r="G1433">
        <v>75.561280210000007</v>
      </c>
      <c r="H1433">
        <v>6.3645833333333304</v>
      </c>
      <c r="I1433">
        <v>1.3061111111111099</v>
      </c>
      <c r="J1433">
        <v>23.171875</v>
      </c>
      <c r="K1433">
        <f t="shared" si="230"/>
        <v>63.321759259259167</v>
      </c>
      <c r="L1433">
        <f t="shared" si="231"/>
        <v>105.597222222222</v>
      </c>
      <c r="M1433">
        <f t="shared" si="232"/>
        <v>98.759252687500009</v>
      </c>
      <c r="N1433">
        <f t="shared" si="233"/>
        <v>18.890320052500002</v>
      </c>
      <c r="O1433">
        <f t="shared" si="234"/>
        <v>7.9557291666666625</v>
      </c>
      <c r="P1433">
        <f t="shared" si="235"/>
        <v>14.842171717171702</v>
      </c>
      <c r="Q1433">
        <f t="shared" si="236"/>
        <v>21.455439814814817</v>
      </c>
      <c r="R1433">
        <f t="shared" si="237"/>
        <v>105.597222222222</v>
      </c>
      <c r="S1433" t="str">
        <f t="shared" si="238"/>
        <v>Moderate</v>
      </c>
      <c r="T1433" t="str">
        <f t="shared" si="239"/>
        <v>PM10</v>
      </c>
      <c r="U1433">
        <v>25.314930555555499</v>
      </c>
      <c r="V1433">
        <v>43.2083333333333</v>
      </c>
    </row>
    <row r="1434" spans="1:22" x14ac:dyDescent="0.3">
      <c r="A1434" s="2" t="s">
        <v>15</v>
      </c>
      <c r="B1434">
        <v>560026</v>
      </c>
      <c r="C1434" s="4">
        <v>44964</v>
      </c>
      <c r="D1434">
        <v>39.4201388888888</v>
      </c>
      <c r="E1434">
        <v>112.604166666666</v>
      </c>
      <c r="F1434">
        <v>79.007402150000004</v>
      </c>
      <c r="G1434">
        <v>75.561280210000007</v>
      </c>
      <c r="H1434">
        <v>7.0225694444444402</v>
      </c>
      <c r="I1434">
        <v>1.07739583333333</v>
      </c>
      <c r="J1434">
        <v>24.665624999999999</v>
      </c>
      <c r="K1434">
        <f t="shared" si="230"/>
        <v>65.700231481481339</v>
      </c>
      <c r="L1434">
        <f t="shared" si="231"/>
        <v>108.40277777777733</v>
      </c>
      <c r="M1434">
        <f t="shared" si="232"/>
        <v>98.759252687500009</v>
      </c>
      <c r="N1434">
        <f t="shared" si="233"/>
        <v>18.890320052500002</v>
      </c>
      <c r="O1434">
        <f t="shared" si="234"/>
        <v>8.77821180555555</v>
      </c>
      <c r="P1434">
        <f t="shared" si="235"/>
        <v>12.243134469696932</v>
      </c>
      <c r="Q1434">
        <f t="shared" si="236"/>
        <v>22.838541666666664</v>
      </c>
      <c r="R1434">
        <f t="shared" si="237"/>
        <v>108.40277777777733</v>
      </c>
      <c r="S1434" t="str">
        <f t="shared" si="238"/>
        <v>Moderate</v>
      </c>
      <c r="T1434" t="str">
        <f t="shared" si="239"/>
        <v>PM10</v>
      </c>
      <c r="U1434">
        <v>25.922569444444399</v>
      </c>
      <c r="V1434">
        <v>43.0208333333333</v>
      </c>
    </row>
    <row r="1435" spans="1:22" x14ac:dyDescent="0.3">
      <c r="A1435" s="2" t="s">
        <v>15</v>
      </c>
      <c r="B1435">
        <v>560026</v>
      </c>
      <c r="C1435" s="4">
        <v>44965</v>
      </c>
      <c r="D1435">
        <v>47.2847222222222</v>
      </c>
      <c r="E1435">
        <v>134.972222222222</v>
      </c>
      <c r="F1435">
        <v>85.012500000000003</v>
      </c>
      <c r="G1435">
        <v>57.2964285714285</v>
      </c>
      <c r="H1435">
        <v>7.0041666666666602</v>
      </c>
      <c r="I1435">
        <v>1.1859374999999901</v>
      </c>
      <c r="J1435">
        <v>23.277083333333302</v>
      </c>
      <c r="K1435">
        <f t="shared" si="230"/>
        <v>78.807870370370324</v>
      </c>
      <c r="L1435">
        <f t="shared" si="231"/>
        <v>123.31481481481467</v>
      </c>
      <c r="M1435">
        <f t="shared" si="232"/>
        <v>105.0125</v>
      </c>
      <c r="N1435">
        <f t="shared" si="233"/>
        <v>14.324107142857123</v>
      </c>
      <c r="O1435">
        <f t="shared" si="234"/>
        <v>8.755208333333325</v>
      </c>
      <c r="P1435">
        <f t="shared" si="235"/>
        <v>13.476562499999886</v>
      </c>
      <c r="Q1435">
        <f t="shared" si="236"/>
        <v>21.552854938271576</v>
      </c>
      <c r="R1435">
        <f t="shared" si="237"/>
        <v>123.31481481481467</v>
      </c>
      <c r="S1435" t="str">
        <f t="shared" si="238"/>
        <v>Moderate</v>
      </c>
      <c r="T1435" t="str">
        <f t="shared" si="239"/>
        <v>PM10</v>
      </c>
      <c r="U1435">
        <v>26.3420138888888</v>
      </c>
      <c r="V1435">
        <v>42.8854166666666</v>
      </c>
    </row>
    <row r="1436" spans="1:22" x14ac:dyDescent="0.3">
      <c r="A1436" s="2" t="s">
        <v>15</v>
      </c>
      <c r="B1436">
        <v>560026</v>
      </c>
      <c r="C1436" s="4">
        <v>44966</v>
      </c>
      <c r="D1436">
        <v>44.8125</v>
      </c>
      <c r="E1436">
        <v>127.802083333333</v>
      </c>
      <c r="F1436">
        <v>80.030208333333306</v>
      </c>
      <c r="G1436">
        <v>69.632291666666603</v>
      </c>
      <c r="H1436">
        <v>7.1996527777777697</v>
      </c>
      <c r="I1436">
        <v>1.1157638888888799</v>
      </c>
      <c r="J1436">
        <v>20.7</v>
      </c>
      <c r="K1436">
        <f t="shared" si="230"/>
        <v>74.6875</v>
      </c>
      <c r="L1436">
        <f t="shared" si="231"/>
        <v>118.534722222222</v>
      </c>
      <c r="M1436">
        <f t="shared" si="232"/>
        <v>100.03020833333331</v>
      </c>
      <c r="N1436">
        <f t="shared" si="233"/>
        <v>17.408072916666651</v>
      </c>
      <c r="O1436">
        <f t="shared" si="234"/>
        <v>8.9995659722222108</v>
      </c>
      <c r="P1436">
        <f t="shared" si="235"/>
        <v>12.679135101009999</v>
      </c>
      <c r="Q1436">
        <f t="shared" si="236"/>
        <v>19.166666666666668</v>
      </c>
      <c r="R1436">
        <f t="shared" si="237"/>
        <v>118.534722222222</v>
      </c>
      <c r="S1436" t="str">
        <f t="shared" si="238"/>
        <v>Moderate</v>
      </c>
      <c r="T1436" t="str">
        <f t="shared" si="239"/>
        <v>PM10</v>
      </c>
      <c r="U1436">
        <v>25.801041666666599</v>
      </c>
      <c r="V1436">
        <v>43.1354166666666</v>
      </c>
    </row>
    <row r="1437" spans="1:22" x14ac:dyDescent="0.3">
      <c r="A1437" s="2" t="s">
        <v>15</v>
      </c>
      <c r="B1437">
        <v>560026</v>
      </c>
      <c r="C1437" s="4">
        <v>44967</v>
      </c>
      <c r="D1437">
        <v>45.9131944444444</v>
      </c>
      <c r="E1437">
        <v>131.097222222222</v>
      </c>
      <c r="F1437">
        <v>80.346874999999997</v>
      </c>
      <c r="G1437">
        <v>71.483333333333306</v>
      </c>
      <c r="H1437">
        <v>6.8302083333333297</v>
      </c>
      <c r="I1437">
        <v>1.2593055555555499</v>
      </c>
      <c r="J1437">
        <v>21.801041666666599</v>
      </c>
      <c r="K1437">
        <f t="shared" si="230"/>
        <v>76.521990740740662</v>
      </c>
      <c r="L1437">
        <f t="shared" si="231"/>
        <v>120.73148148148132</v>
      </c>
      <c r="M1437">
        <f t="shared" si="232"/>
        <v>100.346875</v>
      </c>
      <c r="N1437">
        <f t="shared" si="233"/>
        <v>17.870833333333326</v>
      </c>
      <c r="O1437">
        <f t="shared" si="234"/>
        <v>8.5377604166666607</v>
      </c>
      <c r="P1437">
        <f t="shared" si="235"/>
        <v>14.310290404040339</v>
      </c>
      <c r="Q1437">
        <f t="shared" si="236"/>
        <v>20.186149691357961</v>
      </c>
      <c r="R1437">
        <f t="shared" si="237"/>
        <v>120.73148148148132</v>
      </c>
      <c r="S1437" t="str">
        <f t="shared" si="238"/>
        <v>Moderate</v>
      </c>
      <c r="T1437" t="str">
        <f t="shared" si="239"/>
        <v>PM10</v>
      </c>
      <c r="U1437">
        <v>25.7920138888888</v>
      </c>
      <c r="V1437">
        <v>43.0625</v>
      </c>
    </row>
    <row r="1438" spans="1:22" x14ac:dyDescent="0.3">
      <c r="A1438" s="2" t="s">
        <v>15</v>
      </c>
      <c r="B1438">
        <v>560026</v>
      </c>
      <c r="C1438" s="4">
        <v>44968</v>
      </c>
      <c r="D1438">
        <v>45.9340277777777</v>
      </c>
      <c r="E1438">
        <v>131.020833333333</v>
      </c>
      <c r="F1438">
        <v>83.670833333333306</v>
      </c>
      <c r="G1438">
        <v>80.048958333333303</v>
      </c>
      <c r="H1438">
        <v>6.2024305555555497</v>
      </c>
      <c r="I1438">
        <v>1.3635069444444401</v>
      </c>
      <c r="J1438">
        <v>22.047916666666602</v>
      </c>
      <c r="K1438">
        <f t="shared" si="230"/>
        <v>76.556712962962834</v>
      </c>
      <c r="L1438">
        <f t="shared" si="231"/>
        <v>120.68055555555534</v>
      </c>
      <c r="M1438">
        <f t="shared" si="232"/>
        <v>103.67083333333331</v>
      </c>
      <c r="N1438">
        <f t="shared" si="233"/>
        <v>20.012239583333326</v>
      </c>
      <c r="O1438">
        <f t="shared" si="234"/>
        <v>7.7530381944444375</v>
      </c>
      <c r="P1438">
        <f t="shared" si="235"/>
        <v>15.494397095959545</v>
      </c>
      <c r="Q1438">
        <f t="shared" si="236"/>
        <v>20.414737654320927</v>
      </c>
      <c r="R1438">
        <f t="shared" si="237"/>
        <v>120.68055555555534</v>
      </c>
      <c r="S1438" t="str">
        <f t="shared" si="238"/>
        <v>Moderate</v>
      </c>
      <c r="T1438" t="str">
        <f t="shared" si="239"/>
        <v>PM10</v>
      </c>
      <c r="U1438">
        <v>25.879166666666599</v>
      </c>
      <c r="V1438">
        <v>43.0416666666666</v>
      </c>
    </row>
    <row r="1439" spans="1:22" x14ac:dyDescent="0.3">
      <c r="A1439" s="2" t="s">
        <v>15</v>
      </c>
      <c r="B1439">
        <v>560026</v>
      </c>
      <c r="C1439" s="4">
        <v>44969</v>
      </c>
      <c r="D1439">
        <v>40.1041666666666</v>
      </c>
      <c r="E1439">
        <v>114.375</v>
      </c>
      <c r="F1439">
        <v>70.878124999999997</v>
      </c>
      <c r="G1439">
        <v>76.454166666666595</v>
      </c>
      <c r="H1439">
        <v>6.0791666666666604</v>
      </c>
      <c r="I1439">
        <v>0.94628472222222204</v>
      </c>
      <c r="J1439">
        <v>21.9427083333333</v>
      </c>
      <c r="K1439">
        <f t="shared" si="230"/>
        <v>66.840277777777672</v>
      </c>
      <c r="L1439">
        <f t="shared" si="231"/>
        <v>109.58333333333333</v>
      </c>
      <c r="M1439">
        <f t="shared" si="232"/>
        <v>88.59765625</v>
      </c>
      <c r="N1439">
        <f t="shared" si="233"/>
        <v>19.113541666666649</v>
      </c>
      <c r="O1439">
        <f t="shared" si="234"/>
        <v>7.5989583333333259</v>
      </c>
      <c r="P1439">
        <f t="shared" si="235"/>
        <v>10.753235479797977</v>
      </c>
      <c r="Q1439">
        <f t="shared" si="236"/>
        <v>20.317322530864168</v>
      </c>
      <c r="R1439">
        <f t="shared" si="237"/>
        <v>109.58333333333333</v>
      </c>
      <c r="S1439" t="str">
        <f t="shared" si="238"/>
        <v>Moderate</v>
      </c>
      <c r="T1439" t="str">
        <f t="shared" si="239"/>
        <v>PM10</v>
      </c>
      <c r="U1439">
        <v>26.186458333333299</v>
      </c>
      <c r="V1439">
        <v>43.0520833333333</v>
      </c>
    </row>
    <row r="1440" spans="1:22" x14ac:dyDescent="0.3">
      <c r="A1440" s="2" t="s">
        <v>15</v>
      </c>
      <c r="B1440">
        <v>560026</v>
      </c>
      <c r="C1440" s="4">
        <v>44971</v>
      </c>
      <c r="D1440">
        <v>65.3020833333333</v>
      </c>
      <c r="E1440">
        <v>134.659722222222</v>
      </c>
      <c r="F1440">
        <v>94.365277777777706</v>
      </c>
      <c r="G1440">
        <v>84.067013888888894</v>
      </c>
      <c r="H1440">
        <v>6.3201388888888799</v>
      </c>
      <c r="I1440">
        <v>1.27482638888888</v>
      </c>
      <c r="J1440">
        <v>25.327430555555502</v>
      </c>
      <c r="K1440">
        <f t="shared" si="230"/>
        <v>117.673611111111</v>
      </c>
      <c r="L1440">
        <f t="shared" si="231"/>
        <v>123.10648148148132</v>
      </c>
      <c r="M1440">
        <f t="shared" si="232"/>
        <v>114.36527777777771</v>
      </c>
      <c r="N1440">
        <f t="shared" si="233"/>
        <v>21.01675347222222</v>
      </c>
      <c r="O1440">
        <f t="shared" si="234"/>
        <v>7.9001736111111001</v>
      </c>
      <c r="P1440">
        <f t="shared" si="235"/>
        <v>14.486663510100909</v>
      </c>
      <c r="Q1440">
        <f t="shared" si="236"/>
        <v>23.451324588477316</v>
      </c>
      <c r="R1440">
        <f t="shared" si="237"/>
        <v>123.10648148148132</v>
      </c>
      <c r="S1440" t="str">
        <f t="shared" si="238"/>
        <v>Moderate</v>
      </c>
      <c r="T1440" t="str">
        <f t="shared" si="239"/>
        <v>PM10</v>
      </c>
      <c r="U1440">
        <v>26.2416666666666</v>
      </c>
      <c r="V1440">
        <v>42.9756944444444</v>
      </c>
    </row>
    <row r="1441" spans="1:22" x14ac:dyDescent="0.3">
      <c r="A1441" s="2" t="s">
        <v>15</v>
      </c>
      <c r="B1441">
        <v>560026</v>
      </c>
      <c r="C1441" s="4">
        <v>44972</v>
      </c>
      <c r="D1441">
        <v>47.2326388888888</v>
      </c>
      <c r="E1441">
        <v>134.947916666666</v>
      </c>
      <c r="F1441">
        <v>89.314583333333303</v>
      </c>
      <c r="G1441">
        <v>91.272916666666603</v>
      </c>
      <c r="H1441">
        <v>6.6423611111111098</v>
      </c>
      <c r="I1441">
        <v>1.2392361111111101</v>
      </c>
      <c r="J1441">
        <v>20.902083333333302</v>
      </c>
      <c r="K1441">
        <f t="shared" si="230"/>
        <v>78.721064814814667</v>
      </c>
      <c r="L1441">
        <f t="shared" si="231"/>
        <v>123.29861111111067</v>
      </c>
      <c r="M1441">
        <f t="shared" si="232"/>
        <v>109.3145833333333</v>
      </c>
      <c r="N1441">
        <f t="shared" si="233"/>
        <v>22.818229166666651</v>
      </c>
      <c r="O1441">
        <f t="shared" si="234"/>
        <v>8.3029513888888875</v>
      </c>
      <c r="P1441">
        <f t="shared" si="235"/>
        <v>14.082228535353524</v>
      </c>
      <c r="Q1441">
        <f t="shared" si="236"/>
        <v>19.353780864197503</v>
      </c>
      <c r="R1441">
        <f t="shared" si="237"/>
        <v>123.29861111111067</v>
      </c>
      <c r="S1441" t="str">
        <f t="shared" si="238"/>
        <v>Moderate</v>
      </c>
      <c r="T1441" t="str">
        <f t="shared" si="239"/>
        <v>PM10</v>
      </c>
      <c r="U1441">
        <v>26.0451388888888</v>
      </c>
      <c r="V1441">
        <v>43.1354166666666</v>
      </c>
    </row>
    <row r="1442" spans="1:22" x14ac:dyDescent="0.3">
      <c r="A1442" s="2" t="s">
        <v>15</v>
      </c>
      <c r="B1442">
        <v>560026</v>
      </c>
      <c r="C1442" s="4">
        <v>44973</v>
      </c>
      <c r="D1442">
        <v>46.7395833333333</v>
      </c>
      <c r="E1442">
        <v>133.284722222222</v>
      </c>
      <c r="F1442">
        <v>87.597916666666606</v>
      </c>
      <c r="G1442">
        <v>83.335416666666603</v>
      </c>
      <c r="H1442">
        <v>6.9701388888888802</v>
      </c>
      <c r="I1442">
        <v>1.02993055555555</v>
      </c>
      <c r="J1442">
        <v>21.5697916666666</v>
      </c>
      <c r="K1442">
        <f t="shared" si="230"/>
        <v>77.8993055555555</v>
      </c>
      <c r="L1442">
        <f t="shared" si="231"/>
        <v>122.18981481481467</v>
      </c>
      <c r="M1442">
        <f t="shared" si="232"/>
        <v>107.59791666666661</v>
      </c>
      <c r="N1442">
        <f t="shared" si="233"/>
        <v>20.833854166666651</v>
      </c>
      <c r="O1442">
        <f t="shared" si="234"/>
        <v>8.7126736111111001</v>
      </c>
      <c r="P1442">
        <f t="shared" si="235"/>
        <v>11.703756313131249</v>
      </c>
      <c r="Q1442">
        <f t="shared" si="236"/>
        <v>19.972029320987591</v>
      </c>
      <c r="R1442">
        <f t="shared" si="237"/>
        <v>122.18981481481467</v>
      </c>
      <c r="S1442" t="str">
        <f t="shared" si="238"/>
        <v>Moderate</v>
      </c>
      <c r="T1442" t="str">
        <f t="shared" si="239"/>
        <v>PM10</v>
      </c>
      <c r="U1442">
        <v>25.9621527777777</v>
      </c>
      <c r="V1442">
        <v>43.0625</v>
      </c>
    </row>
    <row r="1443" spans="1:22" x14ac:dyDescent="0.3">
      <c r="A1443" s="2" t="s">
        <v>15</v>
      </c>
      <c r="B1443">
        <v>560026</v>
      </c>
      <c r="C1443" s="4">
        <v>44974</v>
      </c>
      <c r="D1443">
        <v>43.2951388888888</v>
      </c>
      <c r="E1443">
        <v>123.795138888888</v>
      </c>
      <c r="F1443">
        <v>83.6927083333333</v>
      </c>
      <c r="G1443">
        <v>75.109375</v>
      </c>
      <c r="H1443">
        <v>6.2687499999999998</v>
      </c>
      <c r="I1443">
        <v>1.09229166666666</v>
      </c>
      <c r="J1443">
        <v>20.769791666666599</v>
      </c>
      <c r="K1443">
        <f t="shared" si="230"/>
        <v>72.158564814814667</v>
      </c>
      <c r="L1443">
        <f t="shared" si="231"/>
        <v>115.86342592592534</v>
      </c>
      <c r="M1443">
        <f t="shared" si="232"/>
        <v>103.6927083333333</v>
      </c>
      <c r="N1443">
        <f t="shared" si="233"/>
        <v>18.77734375</v>
      </c>
      <c r="O1443">
        <f t="shared" si="234"/>
        <v>7.8359375</v>
      </c>
      <c r="P1443">
        <f t="shared" si="235"/>
        <v>12.412405303030226</v>
      </c>
      <c r="Q1443">
        <f t="shared" si="236"/>
        <v>19.231288580246851</v>
      </c>
      <c r="R1443">
        <f t="shared" si="237"/>
        <v>115.86342592592534</v>
      </c>
      <c r="S1443" t="str">
        <f t="shared" si="238"/>
        <v>Moderate</v>
      </c>
      <c r="T1443" t="str">
        <f t="shared" si="239"/>
        <v>PM10</v>
      </c>
      <c r="U1443">
        <v>25.662499999999898</v>
      </c>
      <c r="V1443">
        <v>43.2604166666666</v>
      </c>
    </row>
    <row r="1444" spans="1:22" x14ac:dyDescent="0.3">
      <c r="A1444" s="2" t="s">
        <v>15</v>
      </c>
      <c r="B1444">
        <v>560026</v>
      </c>
      <c r="C1444" s="4">
        <v>44975</v>
      </c>
      <c r="D1444">
        <v>48.6111111111111</v>
      </c>
      <c r="E1444">
        <v>139.03125</v>
      </c>
      <c r="F1444">
        <v>80.7604166666666</v>
      </c>
      <c r="G1444">
        <v>79.141666666666595</v>
      </c>
      <c r="H1444">
        <v>6.6062500000000002</v>
      </c>
      <c r="I1444">
        <v>1.14513888888888</v>
      </c>
      <c r="J1444">
        <v>20.5385416666666</v>
      </c>
      <c r="K1444">
        <f t="shared" si="230"/>
        <v>81.018518518518505</v>
      </c>
      <c r="L1444">
        <f t="shared" si="231"/>
        <v>126.02083333333333</v>
      </c>
      <c r="M1444">
        <f t="shared" si="232"/>
        <v>100.7604166666666</v>
      </c>
      <c r="N1444">
        <f t="shared" si="233"/>
        <v>19.785416666666649</v>
      </c>
      <c r="O1444">
        <f t="shared" si="234"/>
        <v>8.2578125</v>
      </c>
      <c r="P1444">
        <f t="shared" si="235"/>
        <v>13.012941919191819</v>
      </c>
      <c r="Q1444">
        <f t="shared" si="236"/>
        <v>19.01716820987648</v>
      </c>
      <c r="R1444">
        <f t="shared" si="237"/>
        <v>126.02083333333333</v>
      </c>
      <c r="S1444" t="str">
        <f t="shared" si="238"/>
        <v>Moderate</v>
      </c>
      <c r="T1444" t="str">
        <f t="shared" si="239"/>
        <v>PM10</v>
      </c>
      <c r="U1444">
        <v>26.0833333333333</v>
      </c>
      <c r="V1444">
        <v>43.1354166666666</v>
      </c>
    </row>
    <row r="1445" spans="1:22" x14ac:dyDescent="0.3">
      <c r="A1445" s="2" t="s">
        <v>15</v>
      </c>
      <c r="B1445">
        <v>560026</v>
      </c>
      <c r="C1445" s="4">
        <v>44976</v>
      </c>
      <c r="D1445">
        <v>58.4409722222222</v>
      </c>
      <c r="E1445">
        <v>87.8402777777777</v>
      </c>
      <c r="F1445">
        <v>59.561111111111103</v>
      </c>
      <c r="G1445">
        <v>71.943055555555503</v>
      </c>
      <c r="H1445">
        <v>5.8562500000000002</v>
      </c>
      <c r="I1445">
        <v>0.88503472222222201</v>
      </c>
      <c r="J1445">
        <v>20.865277777777699</v>
      </c>
      <c r="K1445">
        <f t="shared" si="230"/>
        <v>97.401620370370324</v>
      </c>
      <c r="L1445">
        <f t="shared" si="231"/>
        <v>87.8402777777777</v>
      </c>
      <c r="M1445">
        <f t="shared" si="232"/>
        <v>74.451388888888886</v>
      </c>
      <c r="N1445">
        <f t="shared" si="233"/>
        <v>17.985763888888876</v>
      </c>
      <c r="O1445">
        <f t="shared" si="234"/>
        <v>7.3203125</v>
      </c>
      <c r="P1445">
        <f t="shared" si="235"/>
        <v>10.057212752525249</v>
      </c>
      <c r="Q1445">
        <f t="shared" si="236"/>
        <v>19.319701646090461</v>
      </c>
      <c r="R1445">
        <f t="shared" si="237"/>
        <v>97.401620370370324</v>
      </c>
      <c r="S1445" t="str">
        <f t="shared" si="238"/>
        <v>Satisfactory</v>
      </c>
      <c r="T1445" t="str">
        <f t="shared" si="239"/>
        <v>PM2.5</v>
      </c>
      <c r="U1445">
        <v>25.7920138888888</v>
      </c>
      <c r="V1445">
        <v>43.1527777777777</v>
      </c>
    </row>
    <row r="1446" spans="1:22" x14ac:dyDescent="0.3">
      <c r="A1446" s="2" t="s">
        <v>15</v>
      </c>
      <c r="B1446">
        <v>560026</v>
      </c>
      <c r="C1446" s="4">
        <v>44977</v>
      </c>
      <c r="D1446">
        <v>34.2465277777777</v>
      </c>
      <c r="E1446">
        <v>97.6701388888889</v>
      </c>
      <c r="F1446">
        <v>68.620833333333294</v>
      </c>
      <c r="G1446">
        <v>71.379166666666606</v>
      </c>
      <c r="H1446">
        <v>6.1680555555555499</v>
      </c>
      <c r="I1446">
        <v>1.10361111111111</v>
      </c>
      <c r="J1446">
        <v>19.390625</v>
      </c>
      <c r="K1446">
        <f t="shared" si="230"/>
        <v>57.07754629629617</v>
      </c>
      <c r="L1446">
        <f t="shared" si="231"/>
        <v>97.6701388888889</v>
      </c>
      <c r="M1446">
        <f t="shared" si="232"/>
        <v>85.776041666666615</v>
      </c>
      <c r="N1446">
        <f t="shared" si="233"/>
        <v>17.844791666666652</v>
      </c>
      <c r="O1446">
        <f t="shared" si="234"/>
        <v>7.7100694444444375</v>
      </c>
      <c r="P1446">
        <f t="shared" si="235"/>
        <v>12.54103535353534</v>
      </c>
      <c r="Q1446">
        <f t="shared" si="236"/>
        <v>17.954282407407408</v>
      </c>
      <c r="R1446">
        <f t="shared" si="237"/>
        <v>97.6701388888889</v>
      </c>
      <c r="S1446" t="str">
        <f t="shared" si="238"/>
        <v>Satisfactory</v>
      </c>
      <c r="T1446" t="str">
        <f t="shared" si="239"/>
        <v>PM10</v>
      </c>
      <c r="U1446">
        <v>26.038888888888799</v>
      </c>
      <c r="V1446">
        <v>43.09375</v>
      </c>
    </row>
    <row r="1447" spans="1:22" x14ac:dyDescent="0.3">
      <c r="A1447" s="2" t="s">
        <v>15</v>
      </c>
      <c r="B1447">
        <v>560026</v>
      </c>
      <c r="C1447" s="4">
        <v>44978</v>
      </c>
      <c r="D1447">
        <v>43.1145833333333</v>
      </c>
      <c r="E1447">
        <v>123.541666666666</v>
      </c>
      <c r="F1447">
        <v>82.577083333333306</v>
      </c>
      <c r="G1447">
        <v>83.034374999999997</v>
      </c>
      <c r="H1447">
        <v>6.4343750000000002</v>
      </c>
      <c r="I1447">
        <v>1.1396875</v>
      </c>
      <c r="J1447">
        <v>21.596875000000001</v>
      </c>
      <c r="K1447">
        <f t="shared" si="230"/>
        <v>71.857638888888829</v>
      </c>
      <c r="L1447">
        <f t="shared" si="231"/>
        <v>115.694444444444</v>
      </c>
      <c r="M1447">
        <f t="shared" si="232"/>
        <v>102.57708333333331</v>
      </c>
      <c r="N1447">
        <f t="shared" si="233"/>
        <v>20.758593749999999</v>
      </c>
      <c r="O1447">
        <f t="shared" si="234"/>
        <v>8.04296875</v>
      </c>
      <c r="P1447">
        <f t="shared" si="235"/>
        <v>12.950994318181817</v>
      </c>
      <c r="Q1447">
        <f t="shared" si="236"/>
        <v>19.997106481481481</v>
      </c>
      <c r="R1447">
        <f t="shared" si="237"/>
        <v>115.694444444444</v>
      </c>
      <c r="S1447" t="str">
        <f t="shared" si="238"/>
        <v>Moderate</v>
      </c>
      <c r="T1447" t="str">
        <f t="shared" si="239"/>
        <v>PM10</v>
      </c>
      <c r="U1447">
        <v>26.502083333333299</v>
      </c>
      <c r="V1447">
        <v>43</v>
      </c>
    </row>
    <row r="1448" spans="1:22" x14ac:dyDescent="0.3">
      <c r="A1448" s="2" t="s">
        <v>15</v>
      </c>
      <c r="B1448">
        <v>560026</v>
      </c>
      <c r="C1448" s="4">
        <v>44979</v>
      </c>
      <c r="D1448">
        <v>47.8368055555555</v>
      </c>
      <c r="E1448">
        <v>136.809027777777</v>
      </c>
      <c r="F1448">
        <v>86.465625000000003</v>
      </c>
      <c r="G1448">
        <v>89.6145833333333</v>
      </c>
      <c r="H1448">
        <v>6.1826388888888797</v>
      </c>
      <c r="I1448">
        <v>1.0142013888888799</v>
      </c>
      <c r="J1448">
        <v>19.678124999999898</v>
      </c>
      <c r="K1448">
        <f t="shared" si="230"/>
        <v>79.728009259259167</v>
      </c>
      <c r="L1448">
        <f t="shared" si="231"/>
        <v>124.53935185185134</v>
      </c>
      <c r="M1448">
        <f t="shared" si="232"/>
        <v>106.465625</v>
      </c>
      <c r="N1448">
        <f t="shared" si="233"/>
        <v>22.403645833333325</v>
      </c>
      <c r="O1448">
        <f t="shared" si="234"/>
        <v>7.7282986111111001</v>
      </c>
      <c r="P1448">
        <f t="shared" si="235"/>
        <v>11.525015782828181</v>
      </c>
      <c r="Q1448">
        <f t="shared" si="236"/>
        <v>18.220486111111018</v>
      </c>
      <c r="R1448">
        <f t="shared" si="237"/>
        <v>124.53935185185134</v>
      </c>
      <c r="S1448" t="str">
        <f t="shared" si="238"/>
        <v>Moderate</v>
      </c>
      <c r="T1448" t="str">
        <f t="shared" si="239"/>
        <v>PM10</v>
      </c>
      <c r="U1448">
        <v>26.504513888888798</v>
      </c>
      <c r="V1448">
        <v>43.0416666666666</v>
      </c>
    </row>
    <row r="1449" spans="1:22" x14ac:dyDescent="0.3">
      <c r="A1449" s="2" t="s">
        <v>15</v>
      </c>
      <c r="B1449">
        <v>560026</v>
      </c>
      <c r="C1449" s="4">
        <v>44980</v>
      </c>
      <c r="D1449">
        <v>49.8541666666666</v>
      </c>
      <c r="E1449">
        <v>142.715277777777</v>
      </c>
      <c r="F1449">
        <v>88.171875</v>
      </c>
      <c r="G1449">
        <v>86.680208333333297</v>
      </c>
      <c r="H1449">
        <v>6.24027777777777</v>
      </c>
      <c r="I1449">
        <v>1.14208333333333</v>
      </c>
      <c r="J1449">
        <v>21.203125</v>
      </c>
      <c r="K1449">
        <f t="shared" si="230"/>
        <v>83.090277777777672</v>
      </c>
      <c r="L1449">
        <f t="shared" si="231"/>
        <v>128.47685185185134</v>
      </c>
      <c r="M1449">
        <f t="shared" si="232"/>
        <v>108.171875</v>
      </c>
      <c r="N1449">
        <f t="shared" si="233"/>
        <v>21.670052083333324</v>
      </c>
      <c r="O1449">
        <f t="shared" si="234"/>
        <v>7.8003472222222126</v>
      </c>
      <c r="P1449">
        <f t="shared" si="235"/>
        <v>12.978219696969658</v>
      </c>
      <c r="Q1449">
        <f t="shared" si="236"/>
        <v>19.632523148148149</v>
      </c>
      <c r="R1449">
        <f t="shared" si="237"/>
        <v>128.47685185185134</v>
      </c>
      <c r="S1449" t="str">
        <f t="shared" si="238"/>
        <v>Moderate</v>
      </c>
      <c r="T1449" t="str">
        <f t="shared" si="239"/>
        <v>PM10</v>
      </c>
      <c r="U1449">
        <v>25.773611111111101</v>
      </c>
      <c r="V1449">
        <v>43.2291666666666</v>
      </c>
    </row>
    <row r="1450" spans="1:22" x14ac:dyDescent="0.3">
      <c r="A1450" s="2" t="s">
        <v>15</v>
      </c>
      <c r="B1450">
        <v>560026</v>
      </c>
      <c r="C1450" s="4">
        <v>44981</v>
      </c>
      <c r="D1450">
        <v>34.8298611111111</v>
      </c>
      <c r="E1450">
        <v>99.7048611111111</v>
      </c>
      <c r="F1450">
        <v>75.251041666666595</v>
      </c>
      <c r="G1450">
        <v>71.969791666666595</v>
      </c>
      <c r="H1450">
        <v>6.3899305555555497</v>
      </c>
      <c r="I1450">
        <v>1.0493055555555499</v>
      </c>
      <c r="J1450">
        <v>17.412499999999898</v>
      </c>
      <c r="K1450">
        <f t="shared" si="230"/>
        <v>58.049768518518498</v>
      </c>
      <c r="L1450">
        <f t="shared" si="231"/>
        <v>99.7048611111111</v>
      </c>
      <c r="M1450">
        <f t="shared" si="232"/>
        <v>94.063802083333243</v>
      </c>
      <c r="N1450">
        <f t="shared" si="233"/>
        <v>17.992447916666649</v>
      </c>
      <c r="O1450">
        <f t="shared" si="234"/>
        <v>7.9874131944444375</v>
      </c>
      <c r="P1450">
        <f t="shared" si="235"/>
        <v>11.923926767676704</v>
      </c>
      <c r="Q1450">
        <f t="shared" si="236"/>
        <v>16.122685185185091</v>
      </c>
      <c r="R1450">
        <f t="shared" si="237"/>
        <v>99.7048611111111</v>
      </c>
      <c r="S1450" t="str">
        <f t="shared" si="238"/>
        <v>Satisfactory</v>
      </c>
      <c r="T1450" t="str">
        <f t="shared" si="239"/>
        <v>PM10</v>
      </c>
      <c r="U1450">
        <v>26.0572916666666</v>
      </c>
      <c r="V1450">
        <v>43.2083333333333</v>
      </c>
    </row>
    <row r="1451" spans="1:22" x14ac:dyDescent="0.3">
      <c r="A1451" s="2" t="s">
        <v>15</v>
      </c>
      <c r="B1451">
        <v>560026</v>
      </c>
      <c r="C1451" s="4">
        <v>44983</v>
      </c>
      <c r="D1451">
        <v>39.0069444444444</v>
      </c>
      <c r="E1451">
        <v>111.402777777777</v>
      </c>
      <c r="F1451">
        <v>80.643749999999997</v>
      </c>
      <c r="G1451">
        <v>85.592708333333306</v>
      </c>
      <c r="H1451">
        <v>6.8982638888888799</v>
      </c>
      <c r="I1451">
        <v>0.84975694444444405</v>
      </c>
      <c r="J1451">
        <v>23.0541666666666</v>
      </c>
      <c r="K1451">
        <f t="shared" si="230"/>
        <v>65.011574074074005</v>
      </c>
      <c r="L1451">
        <f t="shared" si="231"/>
        <v>107.60185185185134</v>
      </c>
      <c r="M1451">
        <f t="shared" si="232"/>
        <v>100.64375</v>
      </c>
      <c r="N1451">
        <f t="shared" si="233"/>
        <v>21.398177083333326</v>
      </c>
      <c r="O1451">
        <f t="shared" si="234"/>
        <v>8.6228298611111001</v>
      </c>
      <c r="P1451">
        <f t="shared" si="235"/>
        <v>9.6563289141414099</v>
      </c>
      <c r="Q1451">
        <f t="shared" si="236"/>
        <v>21.346450617283889</v>
      </c>
      <c r="R1451">
        <f t="shared" si="237"/>
        <v>107.60185185185134</v>
      </c>
      <c r="S1451" t="str">
        <f t="shared" si="238"/>
        <v>Moderate</v>
      </c>
      <c r="T1451" t="str">
        <f t="shared" si="239"/>
        <v>PM10</v>
      </c>
      <c r="U1451">
        <v>25.926736111111101</v>
      </c>
      <c r="V1451">
        <v>43.15625</v>
      </c>
    </row>
    <row r="1452" spans="1:22" x14ac:dyDescent="0.3">
      <c r="A1452" s="2" t="s">
        <v>15</v>
      </c>
      <c r="B1452">
        <v>560026</v>
      </c>
      <c r="C1452" s="4">
        <v>44984</v>
      </c>
      <c r="D1452">
        <v>33.0659722222222</v>
      </c>
      <c r="E1452">
        <v>94.4027777777777</v>
      </c>
      <c r="F1452">
        <v>74.408333333333303</v>
      </c>
      <c r="G1452">
        <v>75.073958333333294</v>
      </c>
      <c r="H1452">
        <v>6.0065972222222204</v>
      </c>
      <c r="I1452">
        <v>0.94836805555555503</v>
      </c>
      <c r="J1452">
        <v>21.544791666666601</v>
      </c>
      <c r="K1452">
        <f t="shared" si="230"/>
        <v>55.109953703703667</v>
      </c>
      <c r="L1452">
        <f t="shared" si="231"/>
        <v>94.4027777777777</v>
      </c>
      <c r="M1452">
        <f t="shared" si="232"/>
        <v>93.010416666666629</v>
      </c>
      <c r="N1452">
        <f t="shared" si="233"/>
        <v>18.768489583333324</v>
      </c>
      <c r="O1452">
        <f t="shared" si="234"/>
        <v>7.5082465277777759</v>
      </c>
      <c r="P1452">
        <f t="shared" si="235"/>
        <v>10.776909722222216</v>
      </c>
      <c r="Q1452">
        <f t="shared" si="236"/>
        <v>19.948881172839446</v>
      </c>
      <c r="R1452">
        <f t="shared" si="237"/>
        <v>94.4027777777777</v>
      </c>
      <c r="S1452" t="str">
        <f t="shared" si="238"/>
        <v>Satisfactory</v>
      </c>
      <c r="T1452" t="str">
        <f t="shared" si="239"/>
        <v>PM10</v>
      </c>
      <c r="U1452">
        <v>24.969791666666602</v>
      </c>
      <c r="V1452">
        <v>43.4479166666666</v>
      </c>
    </row>
    <row r="1453" spans="1:22" x14ac:dyDescent="0.3">
      <c r="A1453" s="2" t="s">
        <v>15</v>
      </c>
      <c r="B1453">
        <v>560026</v>
      </c>
      <c r="C1453" s="4">
        <v>44985</v>
      </c>
      <c r="D1453">
        <v>36.3680555555555</v>
      </c>
      <c r="E1453">
        <v>103.743055555555</v>
      </c>
      <c r="F1453">
        <v>76.568055555555503</v>
      </c>
      <c r="G1453">
        <v>84.117708333333297</v>
      </c>
      <c r="H1453">
        <v>6.25451388888888</v>
      </c>
      <c r="I1453">
        <v>1.00270833333333</v>
      </c>
      <c r="J1453">
        <v>21.872222222222199</v>
      </c>
      <c r="K1453">
        <f t="shared" si="230"/>
        <v>60.613425925925831</v>
      </c>
      <c r="L1453">
        <f t="shared" si="231"/>
        <v>102.49537037037</v>
      </c>
      <c r="M1453">
        <f t="shared" si="232"/>
        <v>95.710069444444372</v>
      </c>
      <c r="N1453">
        <f t="shared" si="233"/>
        <v>21.029427083333324</v>
      </c>
      <c r="O1453">
        <f t="shared" si="234"/>
        <v>7.8181423611111001</v>
      </c>
      <c r="P1453">
        <f t="shared" si="235"/>
        <v>11.39441287878784</v>
      </c>
      <c r="Q1453">
        <f t="shared" si="236"/>
        <v>20.252057613168702</v>
      </c>
      <c r="R1453">
        <f t="shared" si="237"/>
        <v>102.49537037037</v>
      </c>
      <c r="S1453" t="str">
        <f t="shared" si="238"/>
        <v>Moderate</v>
      </c>
      <c r="T1453" t="str">
        <f t="shared" si="239"/>
        <v>PM10</v>
      </c>
      <c r="U1453">
        <v>25.056597222222202</v>
      </c>
      <c r="V1453">
        <v>43.40625</v>
      </c>
    </row>
    <row r="1454" spans="1:22" x14ac:dyDescent="0.3">
      <c r="A1454" s="2" t="s">
        <v>15</v>
      </c>
      <c r="B1454">
        <v>560026</v>
      </c>
      <c r="C1454" s="4">
        <v>44986</v>
      </c>
      <c r="D1454">
        <v>33.9444444444444</v>
      </c>
      <c r="E1454">
        <v>96.96875</v>
      </c>
      <c r="F1454">
        <v>62.315624999999997</v>
      </c>
      <c r="G1454">
        <v>76.039583333333297</v>
      </c>
      <c r="H1454">
        <v>5.8458333333333297</v>
      </c>
      <c r="I1454">
        <v>0.97909722222222195</v>
      </c>
      <c r="J1454">
        <v>20.945833333333301</v>
      </c>
      <c r="K1454">
        <f t="shared" si="230"/>
        <v>56.574074074073998</v>
      </c>
      <c r="L1454">
        <f t="shared" si="231"/>
        <v>96.96875</v>
      </c>
      <c r="M1454">
        <f t="shared" si="232"/>
        <v>77.89453125</v>
      </c>
      <c r="N1454">
        <f t="shared" si="233"/>
        <v>19.009895833333324</v>
      </c>
      <c r="O1454">
        <f t="shared" si="234"/>
        <v>7.3072916666666616</v>
      </c>
      <c r="P1454">
        <f t="shared" si="235"/>
        <v>11.126104797979794</v>
      </c>
      <c r="Q1454">
        <f t="shared" si="236"/>
        <v>19.394290123456759</v>
      </c>
      <c r="R1454">
        <f t="shared" si="237"/>
        <v>96.96875</v>
      </c>
      <c r="S1454" t="str">
        <f t="shared" si="238"/>
        <v>Satisfactory</v>
      </c>
      <c r="T1454" t="str">
        <f t="shared" si="239"/>
        <v>PM10</v>
      </c>
      <c r="U1454">
        <v>25.4114583333333</v>
      </c>
      <c r="V1454">
        <v>43.375</v>
      </c>
    </row>
    <row r="1455" spans="1:22" x14ac:dyDescent="0.3">
      <c r="A1455" s="2" t="s">
        <v>15</v>
      </c>
      <c r="B1455">
        <v>560026</v>
      </c>
      <c r="C1455" s="4">
        <v>44987</v>
      </c>
      <c r="D1455">
        <v>36.6284722222222</v>
      </c>
      <c r="E1455">
        <v>104.666666666666</v>
      </c>
      <c r="F1455">
        <v>75.219791666666595</v>
      </c>
      <c r="G1455">
        <v>70.495833333333294</v>
      </c>
      <c r="H1455">
        <v>5.9534722222222198</v>
      </c>
      <c r="I1455">
        <v>0.84409722222222205</v>
      </c>
      <c r="J1455">
        <v>21.345833333333299</v>
      </c>
      <c r="K1455">
        <f t="shared" si="230"/>
        <v>61.047453703703667</v>
      </c>
      <c r="L1455">
        <f t="shared" si="231"/>
        <v>103.11111111111067</v>
      </c>
      <c r="M1455">
        <f t="shared" si="232"/>
        <v>94.024739583333243</v>
      </c>
      <c r="N1455">
        <f t="shared" si="233"/>
        <v>17.623958333333324</v>
      </c>
      <c r="O1455">
        <f t="shared" si="234"/>
        <v>7.4418402777777741</v>
      </c>
      <c r="P1455">
        <f t="shared" si="235"/>
        <v>9.5920138888888875</v>
      </c>
      <c r="Q1455">
        <f t="shared" si="236"/>
        <v>19.76466049382713</v>
      </c>
      <c r="R1455">
        <f t="shared" si="237"/>
        <v>103.11111111111067</v>
      </c>
      <c r="S1455" t="str">
        <f t="shared" si="238"/>
        <v>Moderate</v>
      </c>
      <c r="T1455" t="str">
        <f t="shared" si="239"/>
        <v>PM10</v>
      </c>
      <c r="U1455">
        <v>25.307986111111099</v>
      </c>
      <c r="V1455">
        <v>43.3645833333333</v>
      </c>
    </row>
    <row r="1456" spans="1:22" x14ac:dyDescent="0.3">
      <c r="A1456" s="2" t="s">
        <v>15</v>
      </c>
      <c r="B1456">
        <v>560026</v>
      </c>
      <c r="C1456" s="4">
        <v>44988</v>
      </c>
      <c r="D1456">
        <v>40.6493055555555</v>
      </c>
      <c r="E1456">
        <v>115.861111111111</v>
      </c>
      <c r="F1456">
        <v>84.183333333333294</v>
      </c>
      <c r="G1456">
        <v>78.266666666666595</v>
      </c>
      <c r="H1456">
        <v>6.91770833333333</v>
      </c>
      <c r="I1456">
        <v>0.88857638888888801</v>
      </c>
      <c r="J1456">
        <v>22.064583333333299</v>
      </c>
      <c r="K1456">
        <f t="shared" si="230"/>
        <v>67.748842592592496</v>
      </c>
      <c r="L1456">
        <f t="shared" si="231"/>
        <v>110.57407407407401</v>
      </c>
      <c r="M1456">
        <f t="shared" si="232"/>
        <v>104.18333333333329</v>
      </c>
      <c r="N1456">
        <f t="shared" si="233"/>
        <v>19.566666666666649</v>
      </c>
      <c r="O1456">
        <f t="shared" si="234"/>
        <v>8.6471354166666625</v>
      </c>
      <c r="P1456">
        <f t="shared" si="235"/>
        <v>10.097458964646455</v>
      </c>
      <c r="Q1456">
        <f t="shared" si="236"/>
        <v>20.430169753086389</v>
      </c>
      <c r="R1456">
        <f t="shared" si="237"/>
        <v>110.57407407407401</v>
      </c>
      <c r="S1456" t="str">
        <f t="shared" si="238"/>
        <v>Moderate</v>
      </c>
      <c r="T1456" t="str">
        <f t="shared" si="239"/>
        <v>PM10</v>
      </c>
      <c r="U1456">
        <v>25.4409722222222</v>
      </c>
      <c r="V1456">
        <v>43.3958333333333</v>
      </c>
    </row>
    <row r="1457" spans="1:22" x14ac:dyDescent="0.3">
      <c r="A1457" s="2" t="s">
        <v>15</v>
      </c>
      <c r="B1457">
        <v>560026</v>
      </c>
      <c r="C1457" s="4">
        <v>44989</v>
      </c>
      <c r="D1457">
        <v>36.28125</v>
      </c>
      <c r="E1457">
        <v>103.690972222222</v>
      </c>
      <c r="F1457">
        <v>85.951041666666598</v>
      </c>
      <c r="G1457">
        <v>96.668750000000003</v>
      </c>
      <c r="H1457">
        <v>6.4937499999999897</v>
      </c>
      <c r="I1457">
        <v>0.97777777777777697</v>
      </c>
      <c r="J1457">
        <v>21.704166666666602</v>
      </c>
      <c r="K1457">
        <f t="shared" si="230"/>
        <v>60.46875</v>
      </c>
      <c r="L1457">
        <f t="shared" si="231"/>
        <v>102.460648148148</v>
      </c>
      <c r="M1457">
        <f t="shared" si="232"/>
        <v>105.9510416666666</v>
      </c>
      <c r="N1457">
        <f t="shared" si="233"/>
        <v>24.167187500000001</v>
      </c>
      <c r="O1457">
        <f t="shared" si="234"/>
        <v>8.1171874999999876</v>
      </c>
      <c r="P1457">
        <f t="shared" si="235"/>
        <v>11.111111111111102</v>
      </c>
      <c r="Q1457">
        <f t="shared" si="236"/>
        <v>20.096450617283892</v>
      </c>
      <c r="R1457">
        <f t="shared" si="237"/>
        <v>105.9510416666666</v>
      </c>
      <c r="S1457" t="str">
        <f t="shared" si="238"/>
        <v>Moderate</v>
      </c>
      <c r="T1457" t="str">
        <f t="shared" si="239"/>
        <v>NO2</v>
      </c>
      <c r="U1457">
        <v>26.145138888888798</v>
      </c>
      <c r="V1457">
        <v>43.1354166666666</v>
      </c>
    </row>
    <row r="1458" spans="1:22" x14ac:dyDescent="0.3">
      <c r="A1458" s="2" t="s">
        <v>15</v>
      </c>
      <c r="B1458">
        <v>560026</v>
      </c>
      <c r="C1458" s="4">
        <v>44991</v>
      </c>
      <c r="D1458">
        <v>35.8194444444444</v>
      </c>
      <c r="E1458">
        <v>102.46875</v>
      </c>
      <c r="F1458">
        <v>77.029166666666598</v>
      </c>
      <c r="G1458">
        <v>89.2760416666666</v>
      </c>
      <c r="H1458">
        <v>5.7590277777777699</v>
      </c>
      <c r="I1458">
        <v>0.91364583333333305</v>
      </c>
      <c r="J1458">
        <v>20.5677083333333</v>
      </c>
      <c r="K1458">
        <f t="shared" si="230"/>
        <v>59.699074074073998</v>
      </c>
      <c r="L1458">
        <f t="shared" si="231"/>
        <v>101.64583333333333</v>
      </c>
      <c r="M1458">
        <f t="shared" si="232"/>
        <v>96.286458333333243</v>
      </c>
      <c r="N1458">
        <f t="shared" si="233"/>
        <v>22.31901041666665</v>
      </c>
      <c r="O1458">
        <f t="shared" si="234"/>
        <v>7.1987847222222126</v>
      </c>
      <c r="P1458">
        <f t="shared" si="235"/>
        <v>10.382339015151512</v>
      </c>
      <c r="Q1458">
        <f t="shared" si="236"/>
        <v>19.044174382716019</v>
      </c>
      <c r="R1458">
        <f t="shared" si="237"/>
        <v>101.64583333333333</v>
      </c>
      <c r="S1458" t="str">
        <f t="shared" si="238"/>
        <v>Moderate</v>
      </c>
      <c r="T1458" t="str">
        <f t="shared" si="239"/>
        <v>PM10</v>
      </c>
      <c r="U1458">
        <v>26.3611111111111</v>
      </c>
      <c r="V1458">
        <v>43.1666666666666</v>
      </c>
    </row>
    <row r="1459" spans="1:22" x14ac:dyDescent="0.3">
      <c r="A1459" s="2" t="s">
        <v>15</v>
      </c>
      <c r="B1459">
        <v>560026</v>
      </c>
      <c r="C1459" s="4">
        <v>44992</v>
      </c>
      <c r="D1459">
        <v>34.0069444444444</v>
      </c>
      <c r="E1459">
        <v>97.1631944444444</v>
      </c>
      <c r="F1459">
        <v>74.05</v>
      </c>
      <c r="G1459">
        <v>87.242708333333297</v>
      </c>
      <c r="H1459">
        <v>6.71736111111111</v>
      </c>
      <c r="I1459">
        <v>0.90920138888888802</v>
      </c>
      <c r="J1459">
        <v>20.297916666666602</v>
      </c>
      <c r="K1459">
        <f t="shared" si="230"/>
        <v>56.678240740740669</v>
      </c>
      <c r="L1459">
        <f t="shared" si="231"/>
        <v>97.1631944444444</v>
      </c>
      <c r="M1459">
        <f t="shared" si="232"/>
        <v>92.5625</v>
      </c>
      <c r="N1459">
        <f t="shared" si="233"/>
        <v>21.810677083333324</v>
      </c>
      <c r="O1459">
        <f t="shared" si="234"/>
        <v>8.3967013888888875</v>
      </c>
      <c r="P1459">
        <f t="shared" si="235"/>
        <v>10.331833964646455</v>
      </c>
      <c r="Q1459">
        <f t="shared" si="236"/>
        <v>18.794367283950557</v>
      </c>
      <c r="R1459">
        <f t="shared" si="237"/>
        <v>97.1631944444444</v>
      </c>
      <c r="S1459" t="str">
        <f t="shared" si="238"/>
        <v>Satisfactory</v>
      </c>
      <c r="T1459" t="str">
        <f t="shared" si="239"/>
        <v>PM10</v>
      </c>
      <c r="U1459">
        <v>26.216319444444402</v>
      </c>
      <c r="V1459">
        <v>43.2395833333333</v>
      </c>
    </row>
    <row r="1460" spans="1:22" x14ac:dyDescent="0.3">
      <c r="A1460" s="2" t="s">
        <v>15</v>
      </c>
      <c r="B1460">
        <v>560026</v>
      </c>
      <c r="C1460" s="4">
        <v>44993</v>
      </c>
      <c r="D1460">
        <v>33.4131944444444</v>
      </c>
      <c r="E1460">
        <v>95.2708333333333</v>
      </c>
      <c r="F1460">
        <v>70.9270833333333</v>
      </c>
      <c r="G1460">
        <v>80.189583333333303</v>
      </c>
      <c r="H1460">
        <v>6.38923611111111</v>
      </c>
      <c r="I1460">
        <v>0.83902777777777704</v>
      </c>
      <c r="J1460">
        <v>20.2135416666666</v>
      </c>
      <c r="K1460">
        <f t="shared" si="230"/>
        <v>55.688657407407334</v>
      </c>
      <c r="L1460">
        <f t="shared" si="231"/>
        <v>95.2708333333333</v>
      </c>
      <c r="M1460">
        <f t="shared" si="232"/>
        <v>88.658854166666629</v>
      </c>
      <c r="N1460">
        <f t="shared" si="233"/>
        <v>20.047395833333326</v>
      </c>
      <c r="O1460">
        <f t="shared" si="234"/>
        <v>7.9865451388888875</v>
      </c>
      <c r="P1460">
        <f t="shared" si="235"/>
        <v>9.5344065656565569</v>
      </c>
      <c r="Q1460">
        <f t="shared" si="236"/>
        <v>18.716242283950557</v>
      </c>
      <c r="R1460">
        <f t="shared" si="237"/>
        <v>95.2708333333333</v>
      </c>
      <c r="S1460" t="str">
        <f t="shared" si="238"/>
        <v>Satisfactory</v>
      </c>
      <c r="T1460" t="str">
        <f t="shared" si="239"/>
        <v>PM10</v>
      </c>
      <c r="U1460">
        <v>25.7291666666666</v>
      </c>
      <c r="V1460">
        <v>43.2916666666666</v>
      </c>
    </row>
    <row r="1461" spans="1:22" x14ac:dyDescent="0.3">
      <c r="A1461" s="2" t="s">
        <v>15</v>
      </c>
      <c r="B1461">
        <v>560026</v>
      </c>
      <c r="C1461" s="4">
        <v>44994</v>
      </c>
      <c r="D1461">
        <v>68.5868055555555</v>
      </c>
      <c r="E1461">
        <v>98.4236111111111</v>
      </c>
      <c r="F1461">
        <v>81.477083333333297</v>
      </c>
      <c r="G1461">
        <v>80.6545138888888</v>
      </c>
      <c r="H1461">
        <v>6.0329861111111098</v>
      </c>
      <c r="I1461">
        <v>0.88871527777777704</v>
      </c>
      <c r="J1461">
        <v>21.0902777777777</v>
      </c>
      <c r="K1461">
        <f t="shared" si="230"/>
        <v>128.62268518518499</v>
      </c>
      <c r="L1461">
        <f t="shared" si="231"/>
        <v>98.4236111111111</v>
      </c>
      <c r="M1461">
        <f t="shared" si="232"/>
        <v>101.4770833333333</v>
      </c>
      <c r="N1461">
        <f t="shared" si="233"/>
        <v>20.1636284722222</v>
      </c>
      <c r="O1461">
        <f t="shared" si="234"/>
        <v>7.5412326388888875</v>
      </c>
      <c r="P1461">
        <f t="shared" si="235"/>
        <v>10.099037247474739</v>
      </c>
      <c r="Q1461">
        <f t="shared" si="236"/>
        <v>19.528034979423797</v>
      </c>
      <c r="R1461">
        <f t="shared" si="237"/>
        <v>128.62268518518499</v>
      </c>
      <c r="S1461" t="str">
        <f t="shared" si="238"/>
        <v>Moderate</v>
      </c>
      <c r="T1461" t="str">
        <f t="shared" si="239"/>
        <v>PM2.5</v>
      </c>
      <c r="U1461">
        <v>25.431249999999999</v>
      </c>
      <c r="V1461">
        <v>43.28125</v>
      </c>
    </row>
    <row r="1462" spans="1:22" x14ac:dyDescent="0.3">
      <c r="A1462" s="2" t="s">
        <v>15</v>
      </c>
      <c r="B1462">
        <v>560026</v>
      </c>
      <c r="C1462" s="4">
        <v>44996</v>
      </c>
      <c r="D1462">
        <v>37.5625</v>
      </c>
      <c r="E1462">
        <v>107.319444444444</v>
      </c>
      <c r="F1462">
        <v>76.288541666666603</v>
      </c>
      <c r="G1462">
        <v>101.4875</v>
      </c>
      <c r="H1462">
        <v>6.5121527777777697</v>
      </c>
      <c r="I1462">
        <v>1.01555555555555</v>
      </c>
      <c r="J1462">
        <v>20.6770833333333</v>
      </c>
      <c r="K1462">
        <f t="shared" si="230"/>
        <v>62.604166666666664</v>
      </c>
      <c r="L1462">
        <f t="shared" si="231"/>
        <v>104.87962962962933</v>
      </c>
      <c r="M1462">
        <f t="shared" si="232"/>
        <v>95.360677083333258</v>
      </c>
      <c r="N1462">
        <f t="shared" si="233"/>
        <v>25.371874999999999</v>
      </c>
      <c r="O1462">
        <f t="shared" si="234"/>
        <v>8.1401909722222108</v>
      </c>
      <c r="P1462">
        <f t="shared" si="235"/>
        <v>11.540404040403978</v>
      </c>
      <c r="Q1462">
        <f t="shared" si="236"/>
        <v>19.145447530864168</v>
      </c>
      <c r="R1462">
        <f t="shared" si="237"/>
        <v>104.87962962962933</v>
      </c>
      <c r="S1462" t="str">
        <f t="shared" si="238"/>
        <v>Moderate</v>
      </c>
      <c r="T1462" t="str">
        <f t="shared" si="239"/>
        <v>PM10</v>
      </c>
      <c r="U1462">
        <v>25.896527777777699</v>
      </c>
      <c r="V1462">
        <v>43.3541666666666</v>
      </c>
    </row>
    <row r="1463" spans="1:22" x14ac:dyDescent="0.3">
      <c r="A1463" s="2" t="s">
        <v>15</v>
      </c>
      <c r="B1463">
        <v>560026</v>
      </c>
      <c r="C1463" s="4">
        <v>44997</v>
      </c>
      <c r="D1463">
        <v>27.0798611111111</v>
      </c>
      <c r="E1463">
        <v>77.2777777777777</v>
      </c>
      <c r="F1463">
        <v>49.840624999999903</v>
      </c>
      <c r="G1463">
        <v>82.806249999999906</v>
      </c>
      <c r="H1463">
        <v>5.64652777777777</v>
      </c>
      <c r="I1463">
        <v>0.73361111111111099</v>
      </c>
      <c r="J1463">
        <v>19.996874999999999</v>
      </c>
      <c r="K1463">
        <f t="shared" si="230"/>
        <v>45.133101851851833</v>
      </c>
      <c r="L1463">
        <f t="shared" si="231"/>
        <v>77.2777777777777</v>
      </c>
      <c r="M1463">
        <f t="shared" si="232"/>
        <v>62.300781249999879</v>
      </c>
      <c r="N1463">
        <f t="shared" si="233"/>
        <v>20.701562499999977</v>
      </c>
      <c r="O1463">
        <f t="shared" si="234"/>
        <v>7.0581597222222126</v>
      </c>
      <c r="P1463">
        <f t="shared" si="235"/>
        <v>8.3364898989898979</v>
      </c>
      <c r="Q1463">
        <f t="shared" si="236"/>
        <v>18.515625</v>
      </c>
      <c r="R1463">
        <f t="shared" si="237"/>
        <v>77.2777777777777</v>
      </c>
      <c r="S1463" t="str">
        <f t="shared" si="238"/>
        <v>Satisfactory</v>
      </c>
      <c r="T1463" t="str">
        <f t="shared" si="239"/>
        <v>PM10</v>
      </c>
      <c r="U1463">
        <v>26.0104166666666</v>
      </c>
      <c r="V1463">
        <v>43.3854166666666</v>
      </c>
    </row>
    <row r="1464" spans="1:22" x14ac:dyDescent="0.3">
      <c r="A1464" s="2" t="s">
        <v>15</v>
      </c>
      <c r="B1464">
        <v>560026</v>
      </c>
      <c r="C1464" s="4">
        <v>44998</v>
      </c>
      <c r="D1464">
        <v>27.9861111111111</v>
      </c>
      <c r="E1464">
        <v>79.8055555555555</v>
      </c>
      <c r="F1464">
        <v>49.021875000000001</v>
      </c>
      <c r="G1464">
        <v>84.131249999999994</v>
      </c>
      <c r="H1464">
        <v>5.03125</v>
      </c>
      <c r="I1464">
        <v>0.87211805555555499</v>
      </c>
      <c r="J1464">
        <v>19.1822916666666</v>
      </c>
      <c r="K1464">
        <f t="shared" si="230"/>
        <v>46.643518518518498</v>
      </c>
      <c r="L1464">
        <f t="shared" si="231"/>
        <v>79.8055555555555</v>
      </c>
      <c r="M1464">
        <f t="shared" si="232"/>
        <v>61.27734375</v>
      </c>
      <c r="N1464">
        <f t="shared" si="233"/>
        <v>21.032812499999999</v>
      </c>
      <c r="O1464">
        <f t="shared" si="234"/>
        <v>6.2890625</v>
      </c>
      <c r="P1464">
        <f t="shared" si="235"/>
        <v>9.9104324494949427</v>
      </c>
      <c r="Q1464">
        <f t="shared" si="236"/>
        <v>17.761381172839446</v>
      </c>
      <c r="R1464">
        <f t="shared" si="237"/>
        <v>79.8055555555555</v>
      </c>
      <c r="S1464" t="str">
        <f t="shared" si="238"/>
        <v>Satisfactory</v>
      </c>
      <c r="T1464" t="str">
        <f t="shared" si="239"/>
        <v>PM10</v>
      </c>
      <c r="U1464">
        <v>27.2048611111111</v>
      </c>
      <c r="V1464">
        <v>43.0729166666666</v>
      </c>
    </row>
    <row r="1465" spans="1:22" x14ac:dyDescent="0.3">
      <c r="A1465" s="2" t="s">
        <v>15</v>
      </c>
      <c r="B1465">
        <v>560026</v>
      </c>
      <c r="C1465" s="4">
        <v>45003</v>
      </c>
      <c r="D1465">
        <v>17.2326388888888</v>
      </c>
      <c r="E1465">
        <v>49.0243055555555</v>
      </c>
      <c r="F1465">
        <v>33.888541666666598</v>
      </c>
      <c r="G1465">
        <v>62.3489583333333</v>
      </c>
      <c r="H1465">
        <v>5.74722222222222</v>
      </c>
      <c r="I1465">
        <v>0.95295329500000003</v>
      </c>
      <c r="J1465">
        <v>17.665624999999999</v>
      </c>
      <c r="K1465">
        <f t="shared" si="230"/>
        <v>28.721064814814667</v>
      </c>
      <c r="L1465">
        <f t="shared" si="231"/>
        <v>49.0243055555555</v>
      </c>
      <c r="M1465">
        <f t="shared" si="232"/>
        <v>42.360677083333243</v>
      </c>
      <c r="N1465">
        <f t="shared" si="233"/>
        <v>15.587239583333325</v>
      </c>
      <c r="O1465">
        <f t="shared" si="234"/>
        <v>7.1840277777777741</v>
      </c>
      <c r="P1465">
        <f t="shared" si="235"/>
        <v>10.829014715909091</v>
      </c>
      <c r="Q1465">
        <f t="shared" si="236"/>
        <v>16.357060185185183</v>
      </c>
      <c r="R1465">
        <f t="shared" si="237"/>
        <v>49.0243055555555</v>
      </c>
      <c r="S1465" t="str">
        <f t="shared" si="238"/>
        <v>Good</v>
      </c>
      <c r="T1465" t="str">
        <f t="shared" si="239"/>
        <v>PM10</v>
      </c>
      <c r="U1465">
        <v>26.036111111111101</v>
      </c>
      <c r="V1465">
        <v>43.1770833333333</v>
      </c>
    </row>
    <row r="1466" spans="1:22" x14ac:dyDescent="0.3">
      <c r="A1466" s="2" t="s">
        <v>15</v>
      </c>
      <c r="B1466">
        <v>560026</v>
      </c>
      <c r="C1466" s="4">
        <v>45004</v>
      </c>
      <c r="D1466">
        <v>44.6180555555555</v>
      </c>
      <c r="E1466">
        <v>52.7638888888888</v>
      </c>
      <c r="F1466">
        <v>34.368749999999999</v>
      </c>
      <c r="G1466">
        <v>62.448958333333302</v>
      </c>
      <c r="H1466">
        <v>5.8454861111111098</v>
      </c>
      <c r="I1466">
        <v>0.49886363636363601</v>
      </c>
      <c r="J1466">
        <v>18.131249999999898</v>
      </c>
      <c r="K1466">
        <f t="shared" si="230"/>
        <v>74.363425925925839</v>
      </c>
      <c r="L1466">
        <f t="shared" si="231"/>
        <v>52.7638888888888</v>
      </c>
      <c r="M1466">
        <f t="shared" si="232"/>
        <v>42.9609375</v>
      </c>
      <c r="N1466">
        <f t="shared" si="233"/>
        <v>15.612239583333325</v>
      </c>
      <c r="O1466">
        <f t="shared" si="234"/>
        <v>7.3068576388888875</v>
      </c>
      <c r="P1466">
        <f t="shared" si="235"/>
        <v>5.6689049586776816</v>
      </c>
      <c r="Q1466">
        <f t="shared" si="236"/>
        <v>16.78819444444435</v>
      </c>
      <c r="R1466">
        <f t="shared" si="237"/>
        <v>74.363425925925839</v>
      </c>
      <c r="S1466" t="str">
        <f t="shared" si="238"/>
        <v>Satisfactory</v>
      </c>
      <c r="T1466" t="str">
        <f t="shared" si="239"/>
        <v>PM2.5</v>
      </c>
      <c r="U1466">
        <v>26.7590277777777</v>
      </c>
      <c r="V1466">
        <v>43.1041666666666</v>
      </c>
    </row>
    <row r="1467" spans="1:22" x14ac:dyDescent="0.3">
      <c r="A1467" s="2" t="s">
        <v>15</v>
      </c>
      <c r="B1467">
        <v>560026</v>
      </c>
      <c r="C1467" s="4">
        <v>45005</v>
      </c>
      <c r="D1467">
        <v>20.4722222222222</v>
      </c>
      <c r="E1467">
        <v>58.435185185185098</v>
      </c>
      <c r="F1467">
        <v>28.219444444444399</v>
      </c>
      <c r="G1467">
        <v>53.269444444444403</v>
      </c>
      <c r="H1467">
        <v>5.6938405797101401</v>
      </c>
      <c r="I1467">
        <v>0.70791666666666597</v>
      </c>
      <c r="J1467">
        <v>19.369444444444401</v>
      </c>
      <c r="K1467">
        <f t="shared" si="230"/>
        <v>34.120370370370331</v>
      </c>
      <c r="L1467">
        <f t="shared" si="231"/>
        <v>58.435185185185098</v>
      </c>
      <c r="M1467">
        <f t="shared" si="232"/>
        <v>35.2743055555555</v>
      </c>
      <c r="N1467">
        <f t="shared" si="233"/>
        <v>13.317361111111103</v>
      </c>
      <c r="O1467">
        <f t="shared" si="234"/>
        <v>7.1173007246376754</v>
      </c>
      <c r="P1467">
        <f t="shared" si="235"/>
        <v>8.0445075757575673</v>
      </c>
      <c r="Q1467">
        <f t="shared" si="236"/>
        <v>17.934670781892965</v>
      </c>
      <c r="R1467">
        <f t="shared" si="237"/>
        <v>58.435185185185098</v>
      </c>
      <c r="S1467" t="str">
        <f t="shared" si="238"/>
        <v>Satisfactory</v>
      </c>
      <c r="T1467" t="str">
        <f t="shared" si="239"/>
        <v>PM10</v>
      </c>
      <c r="U1467">
        <v>23.070370370370298</v>
      </c>
      <c r="V1467">
        <v>43.0972222222222</v>
      </c>
    </row>
    <row r="1468" spans="1:22" x14ac:dyDescent="0.3">
      <c r="A1468" s="2" t="s">
        <v>15</v>
      </c>
      <c r="B1468">
        <v>560026</v>
      </c>
      <c r="C1468" s="4">
        <v>45010</v>
      </c>
      <c r="D1468">
        <v>71.5</v>
      </c>
      <c r="E1468">
        <v>53.767857142857103</v>
      </c>
      <c r="F1468">
        <v>32.314285714285703</v>
      </c>
      <c r="G1468">
        <v>81.529761904761898</v>
      </c>
      <c r="H1468">
        <v>5.0138888888888804</v>
      </c>
      <c r="I1468">
        <v>0.33575757575757498</v>
      </c>
      <c r="J1468">
        <v>23.967261904761902</v>
      </c>
      <c r="K1468">
        <f t="shared" si="230"/>
        <v>138.33333333333334</v>
      </c>
      <c r="L1468">
        <f t="shared" si="231"/>
        <v>53.767857142857103</v>
      </c>
      <c r="M1468">
        <f t="shared" si="232"/>
        <v>40.392857142857125</v>
      </c>
      <c r="N1468">
        <f t="shared" si="233"/>
        <v>20.382440476190474</v>
      </c>
      <c r="O1468">
        <f t="shared" si="234"/>
        <v>6.2673611111111009</v>
      </c>
      <c r="P1468">
        <f t="shared" si="235"/>
        <v>3.81542699724517</v>
      </c>
      <c r="Q1468">
        <f t="shared" si="236"/>
        <v>22.191909171075835</v>
      </c>
      <c r="R1468">
        <f t="shared" si="237"/>
        <v>138.33333333333334</v>
      </c>
      <c r="S1468" t="str">
        <f t="shared" si="238"/>
        <v>Moderate</v>
      </c>
      <c r="T1468" t="str">
        <f t="shared" si="239"/>
        <v>PM2.5</v>
      </c>
      <c r="U1468">
        <v>30.675000000000001</v>
      </c>
      <c r="V1468">
        <v>42.964285714285701</v>
      </c>
    </row>
    <row r="1469" spans="1:22" x14ac:dyDescent="0.3">
      <c r="A1469" s="2" t="s">
        <v>15</v>
      </c>
      <c r="B1469">
        <v>560026</v>
      </c>
      <c r="C1469" s="4">
        <v>45013</v>
      </c>
      <c r="D1469">
        <v>39.8888888888888</v>
      </c>
      <c r="E1469">
        <v>114.013888888888</v>
      </c>
      <c r="F1469">
        <v>72.237499999999997</v>
      </c>
      <c r="G1469">
        <v>101.122916666666</v>
      </c>
      <c r="H1469">
        <v>5.01423611111111</v>
      </c>
      <c r="I1469">
        <v>1.0410763888888801</v>
      </c>
      <c r="J1469">
        <v>23.519791666666599</v>
      </c>
      <c r="K1469">
        <f t="shared" si="230"/>
        <v>66.481481481481339</v>
      </c>
      <c r="L1469">
        <f t="shared" si="231"/>
        <v>109.342592592592</v>
      </c>
      <c r="M1469">
        <f t="shared" si="232"/>
        <v>90.296875</v>
      </c>
      <c r="N1469">
        <f t="shared" si="233"/>
        <v>25.2807291666665</v>
      </c>
      <c r="O1469">
        <f t="shared" si="234"/>
        <v>6.2677951388888875</v>
      </c>
      <c r="P1469">
        <f t="shared" si="235"/>
        <v>11.830413510100909</v>
      </c>
      <c r="Q1469">
        <f t="shared" si="236"/>
        <v>21.777584876543148</v>
      </c>
      <c r="R1469">
        <f t="shared" si="237"/>
        <v>109.342592592592</v>
      </c>
      <c r="S1469" t="str">
        <f t="shared" si="238"/>
        <v>Moderate</v>
      </c>
      <c r="T1469" t="str">
        <f t="shared" si="239"/>
        <v>PM10</v>
      </c>
      <c r="U1469">
        <v>30.282291666666602</v>
      </c>
      <c r="V1469">
        <v>42.59375</v>
      </c>
    </row>
    <row r="1470" spans="1:22" x14ac:dyDescent="0.3">
      <c r="A1470" s="2" t="s">
        <v>15</v>
      </c>
      <c r="B1470">
        <v>560026</v>
      </c>
      <c r="C1470" s="4">
        <v>45015</v>
      </c>
      <c r="D1470">
        <v>74.4756944444444</v>
      </c>
      <c r="E1470">
        <v>73.391304347826093</v>
      </c>
      <c r="F1470">
        <v>48.912500000000001</v>
      </c>
      <c r="G1470">
        <v>74.790624999999906</v>
      </c>
      <c r="H1470">
        <v>5.5949275362318804</v>
      </c>
      <c r="I1470">
        <v>1.0095652173912999</v>
      </c>
      <c r="J1470">
        <v>22.370833333333302</v>
      </c>
      <c r="K1470">
        <f t="shared" si="230"/>
        <v>148.25231481481467</v>
      </c>
      <c r="L1470">
        <f t="shared" si="231"/>
        <v>73.391304347826093</v>
      </c>
      <c r="M1470">
        <f t="shared" si="232"/>
        <v>61.140625</v>
      </c>
      <c r="N1470">
        <f t="shared" si="233"/>
        <v>18.697656249999977</v>
      </c>
      <c r="O1470">
        <f t="shared" si="234"/>
        <v>6.9936594202898501</v>
      </c>
      <c r="P1470">
        <f t="shared" si="235"/>
        <v>11.472332015810226</v>
      </c>
      <c r="Q1470">
        <f t="shared" si="236"/>
        <v>20.713734567901206</v>
      </c>
      <c r="R1470">
        <f t="shared" si="237"/>
        <v>148.25231481481467</v>
      </c>
      <c r="S1470" t="str">
        <f t="shared" si="238"/>
        <v>Moderate</v>
      </c>
      <c r="T1470" t="str">
        <f t="shared" si="239"/>
        <v>PM2.5</v>
      </c>
      <c r="U1470">
        <v>28.162847222222201</v>
      </c>
      <c r="V1470">
        <v>43.076086956521699</v>
      </c>
    </row>
    <row r="1471" spans="1:22" x14ac:dyDescent="0.3">
      <c r="A1471" s="2" t="s">
        <v>15</v>
      </c>
      <c r="B1471">
        <v>560026</v>
      </c>
      <c r="C1471" s="4">
        <v>45016</v>
      </c>
      <c r="D1471">
        <v>24.4479166666666</v>
      </c>
      <c r="E1471">
        <v>69.7534722222222</v>
      </c>
      <c r="F1471">
        <v>46.489930555555503</v>
      </c>
      <c r="G1471">
        <v>72.789236111111094</v>
      </c>
      <c r="H1471">
        <v>5.4395833333333297</v>
      </c>
      <c r="I1471">
        <v>0.97600694444444402</v>
      </c>
      <c r="J1471">
        <v>23.027083333333302</v>
      </c>
      <c r="K1471">
        <f t="shared" ref="K1471:K1533" si="240">IF(ISTEXT(D1471),0,IF(D1471&lt;=30,D1471*50/30,IF(AND(D1471&gt;30,D1471&lt;=60),50+(D1471-30)*50/30,IF(AND(D1471&gt;60,D1471&lt;=90),100+(D1471-60)*100/30,IF(AND(D1471&gt;90,D1471&lt;=120),200+(D1471-90)*(100/30),IF(AND(D1471&gt;120,D1471&lt;=250),300+(D1471-120)*(100/130),IF(D1471&gt;250,400+(D1471-250)*(100/130))))))))</f>
        <v>40.746527777777672</v>
      </c>
      <c r="L1471">
        <f t="shared" ref="L1471:L1533" si="241">IF(ISTEXT(E1471),0,IF(E1471&lt;=50,E1471,IF(AND(E1471&gt;50,E1471&lt;=100),E1471,IF(AND(E1471&gt;100,E1471&lt;=250),100+(E1471-100)*100/150,IF(AND(E1471&gt;250,E1471&lt;=350),200+(E1471-250),IF(AND(E1471&gt;350,E1471&lt;=430),300+(E1471-350)*(100/80),IF(E1471&gt;430,400+(E1471-430)*(100/80))))))))</f>
        <v>69.7534722222222</v>
      </c>
      <c r="M1471">
        <f t="shared" ref="M1471:M1533" si="242">IF(ISTEXT(F1471),0,IF(F1471&lt;=40,F1471*50/40,IF(AND(F1471&gt;40,F1471&lt;=80),50+(F1471-40)*50/40,IF(AND(F1471&gt;80,F1471&lt;=180),100+(F1471-80)*100/100,IF(AND(F1471&gt;180,F1471&lt;=280),200+(F1471-180)*(100/100),IF(AND(F1471&gt;280,F1471&lt;=400),300+(F1471-280)*(100/120),IF(F1471&gt;400,400+(F1471-400)*(100/120))))))))</f>
        <v>58.112413194444379</v>
      </c>
      <c r="N1471">
        <f t="shared" ref="N1471:N1533" si="243">IF(ISTEXT(G1471),0,IF(G1471&lt;=200,G1471*50/200,IF(AND(G1471&gt;200,G1471&lt;=400),50+(G1471-200)*50/200,IF(AND(G1471&gt;400,G1471&lt;=800),100+(G1471-400)*100/400,IF(AND(G1471&gt;800,G1471&lt;=1200),200+(G1471-800)*(100/400),IF(AND(G1471&gt;1200,G1471&lt;=1800),300+(G1471-1200)*(100/600),IF(G1471&gt;1800,400+(G1471-1800)*(100/600))))))))</f>
        <v>18.197309027777774</v>
      </c>
      <c r="O1471">
        <f t="shared" ref="O1471:O1533" si="244">IF(ISTEXT(H1471),0,IF(H1471&lt;=40,H1471*50/40,IF(AND(H1471&gt;40,H1471&lt;=80),50+(H1471-40)*50/40,IF(AND(H1471&gt;80,H1471&lt;=380),100+(H1471-80)*100/300,IF(AND(H1471&gt;380,H1471&lt;=800),200+(H1471-380)*(100/420),IF(AND(H1471&gt;800,H1471&lt;=1600),300+(H1471-800)*(100/800),IF(H1471&gt;1600,400+(H1471-1600)*(100/800))))))))</f>
        <v>6.7994791666666616</v>
      </c>
      <c r="P1471">
        <f t="shared" ref="P1471:P1533" si="245">IF(I1471&lt;=4.4,(50-0)/(4.4-0)*(I1471-0)+0,
IF(I1471&lt;=9.4,(100-51)/(9.4-4.5)*(I1471-4.5)+51,
IF(I1471&lt;=12.4,(150-101)/(12.4-9.5)*(I1471-9.5)+101,
IF(I1471&lt;=15.4,(200-151)/(15.4-12.5)*(I1471-12.5)+151,
IF(I1471&lt;=30.4,(300-201)/(30.4-15.5)*(I1471-15.5)+201,
(500-301)/(50.4-30.5)*(I1471-30.5)+301)))))</f>
        <v>11.0909880050505</v>
      </c>
      <c r="Q1471">
        <f t="shared" ref="Q1471:Q1533" si="246">IF(J1471&lt;=54,(50-0)/(54-0)*(J1471-0)+0,
IF(J1471&lt;=70,(100-51)/(70-55)*(J1471-55)+51,
IF(J1471&lt;=85,(150-101)/(85-71)*(J1471-71)+101,
IF(J1471&lt;=105,(200-151)/(105-86)*(J1471-86)+151,
IF(J1471&lt;=200,(300-201)/(200-106)*(J1471-106)+201,
(500-301)/(300-201)*(J1471-201)+301)))))</f>
        <v>21.321373456790095</v>
      </c>
      <c r="R1471">
        <f t="shared" ref="R1471:R1533" si="247">MAX(K1471:Q1471)</f>
        <v>69.7534722222222</v>
      </c>
      <c r="S1471" t="str">
        <f t="shared" ref="S1471:S1533" si="248">IF(R1471&lt;=50,"Good",
IF(R1471&lt;=100,"Satisfactory",
IF(R1471&lt;=200,"Moderate",
IF(R1471&lt;=300,"Poor",
IF(R1471&lt;=400,"Very Poor",
"Severe")))))</f>
        <v>Satisfactory</v>
      </c>
      <c r="T1471" t="str">
        <f t="shared" ref="T1471:T1533" si="249">IF(MAX(K1471:Q1471)=K1471,"PM2.5",
IF(MAX(K1471:Q1471)=L1471,"PM10",
IF(MAX(K1471:Q1471)=M1471,"NO2",
IF(MAX(K1471:Q1471)=N1471,"NH3",
IF(MAX(K1471:Q1471)=O1471,"SO2",
IF(MAX(K1471:Q1471)=P1471,"CO",
IF(MAX(K1471:Q1471)=Q1471,"OZONE","")))))))</f>
        <v>PM10</v>
      </c>
      <c r="U1471">
        <v>28.404166666666601</v>
      </c>
      <c r="V1471">
        <v>42.9270833333333</v>
      </c>
    </row>
    <row r="1472" spans="1:22" x14ac:dyDescent="0.3">
      <c r="A1472" s="2" t="s">
        <v>15</v>
      </c>
      <c r="B1472">
        <v>560026</v>
      </c>
      <c r="C1472" s="4">
        <v>45017</v>
      </c>
      <c r="D1472">
        <v>25.1736111111111</v>
      </c>
      <c r="E1472">
        <v>71.9444444444444</v>
      </c>
      <c r="F1472">
        <v>44.168749999999903</v>
      </c>
      <c r="G1472">
        <v>91.909374999999997</v>
      </c>
      <c r="H1472">
        <v>5.5774305555555497</v>
      </c>
      <c r="I1472">
        <v>0.69309027777777699</v>
      </c>
      <c r="J1472">
        <v>23.133333333333301</v>
      </c>
      <c r="K1472">
        <f t="shared" si="240"/>
        <v>41.956018518518498</v>
      </c>
      <c r="L1472">
        <f t="shared" si="241"/>
        <v>71.9444444444444</v>
      </c>
      <c r="M1472">
        <f t="shared" si="242"/>
        <v>55.210937499999879</v>
      </c>
      <c r="N1472">
        <f t="shared" si="243"/>
        <v>22.977343749999999</v>
      </c>
      <c r="O1472">
        <f t="shared" si="244"/>
        <v>6.9717881944444375</v>
      </c>
      <c r="P1472">
        <f t="shared" si="245"/>
        <v>7.8760258838383743</v>
      </c>
      <c r="Q1472">
        <f t="shared" si="246"/>
        <v>21.419753086419725</v>
      </c>
      <c r="R1472">
        <f t="shared" si="247"/>
        <v>71.9444444444444</v>
      </c>
      <c r="S1472" t="str">
        <f t="shared" si="248"/>
        <v>Satisfactory</v>
      </c>
      <c r="T1472" t="str">
        <f t="shared" si="249"/>
        <v>PM10</v>
      </c>
      <c r="U1472">
        <v>29.309722222222199</v>
      </c>
      <c r="V1472">
        <v>42.7708333333333</v>
      </c>
    </row>
    <row r="1473" spans="1:22" x14ac:dyDescent="0.3">
      <c r="A1473" s="2" t="s">
        <v>15</v>
      </c>
      <c r="B1473">
        <v>560026</v>
      </c>
      <c r="C1473" s="4">
        <v>45018</v>
      </c>
      <c r="D1473">
        <v>22.4722222222222</v>
      </c>
      <c r="E1473">
        <v>64.2951388888888</v>
      </c>
      <c r="F1473">
        <v>36.855555555555497</v>
      </c>
      <c r="G1473">
        <v>75.120486111111106</v>
      </c>
      <c r="H1473">
        <v>5.7253472222222204</v>
      </c>
      <c r="I1473">
        <v>0.611493055555555</v>
      </c>
      <c r="J1473">
        <v>23.226388888888799</v>
      </c>
      <c r="K1473">
        <f t="shared" si="240"/>
        <v>37.453703703703667</v>
      </c>
      <c r="L1473">
        <f t="shared" si="241"/>
        <v>64.2951388888888</v>
      </c>
      <c r="M1473">
        <f t="shared" si="242"/>
        <v>46.069444444444372</v>
      </c>
      <c r="N1473">
        <f t="shared" si="243"/>
        <v>18.780121527777776</v>
      </c>
      <c r="O1473">
        <f t="shared" si="244"/>
        <v>7.1566840277777759</v>
      </c>
      <c r="P1473">
        <f t="shared" si="245"/>
        <v>6.9487847222222161</v>
      </c>
      <c r="Q1473">
        <f t="shared" si="246"/>
        <v>21.505915637859999</v>
      </c>
      <c r="R1473">
        <f t="shared" si="247"/>
        <v>64.2951388888888</v>
      </c>
      <c r="S1473" t="str">
        <f t="shared" si="248"/>
        <v>Satisfactory</v>
      </c>
      <c r="T1473" t="str">
        <f t="shared" si="249"/>
        <v>PM10</v>
      </c>
      <c r="U1473">
        <v>29.0541666666666</v>
      </c>
      <c r="V1473">
        <v>42.8680555555555</v>
      </c>
    </row>
    <row r="1474" spans="1:22" x14ac:dyDescent="0.3">
      <c r="A1474" s="2" t="s">
        <v>15</v>
      </c>
      <c r="B1474">
        <v>560026</v>
      </c>
      <c r="C1474" s="4">
        <v>45019</v>
      </c>
      <c r="D1474">
        <v>61.5173611111111</v>
      </c>
      <c r="E1474">
        <v>89.2986111111111</v>
      </c>
      <c r="F1474">
        <v>45.258695652173898</v>
      </c>
      <c r="G1474">
        <v>74.679347826086897</v>
      </c>
      <c r="H1474">
        <v>5.2789855072463698</v>
      </c>
      <c r="I1474">
        <v>1.30894927536231</v>
      </c>
      <c r="J1474">
        <v>22.076086956521699</v>
      </c>
      <c r="K1474">
        <f t="shared" si="240"/>
        <v>105.05787037037034</v>
      </c>
      <c r="L1474">
        <f t="shared" si="241"/>
        <v>89.2986111111111</v>
      </c>
      <c r="M1474">
        <f t="shared" si="242"/>
        <v>56.573369565217376</v>
      </c>
      <c r="N1474">
        <f t="shared" si="243"/>
        <v>18.669836956521724</v>
      </c>
      <c r="O1474">
        <f t="shared" si="244"/>
        <v>6.5987318840579618</v>
      </c>
      <c r="P1474">
        <f t="shared" si="245"/>
        <v>14.874423583662614</v>
      </c>
      <c r="Q1474">
        <f t="shared" si="246"/>
        <v>20.44082125603861</v>
      </c>
      <c r="R1474">
        <f t="shared" si="247"/>
        <v>105.05787037037034</v>
      </c>
      <c r="S1474" t="str">
        <f t="shared" si="248"/>
        <v>Moderate</v>
      </c>
      <c r="T1474" t="str">
        <f t="shared" si="249"/>
        <v>PM2.5</v>
      </c>
      <c r="U1474">
        <v>28.6149305555555</v>
      </c>
      <c r="V1474">
        <v>42.945652173912997</v>
      </c>
    </row>
    <row r="1475" spans="1:22" x14ac:dyDescent="0.3">
      <c r="A1475" s="2" t="s">
        <v>15</v>
      </c>
      <c r="B1475">
        <v>560026</v>
      </c>
      <c r="C1475" s="4">
        <v>45020</v>
      </c>
      <c r="D1475">
        <v>18.1840277777777</v>
      </c>
      <c r="E1475">
        <v>51.6805555555555</v>
      </c>
      <c r="F1475">
        <v>33.844791666666602</v>
      </c>
      <c r="G1475">
        <v>65.509374999999906</v>
      </c>
      <c r="H1475">
        <v>5.54565217391304</v>
      </c>
      <c r="I1475">
        <v>0.79597826086956502</v>
      </c>
      <c r="J1475">
        <v>21.879166666666599</v>
      </c>
      <c r="K1475">
        <f t="shared" si="240"/>
        <v>30.306712962962834</v>
      </c>
      <c r="L1475">
        <f t="shared" si="241"/>
        <v>51.6805555555555</v>
      </c>
      <c r="M1475">
        <f t="shared" si="242"/>
        <v>42.30598958333325</v>
      </c>
      <c r="N1475">
        <f t="shared" si="243"/>
        <v>16.377343749999977</v>
      </c>
      <c r="O1475">
        <f t="shared" si="244"/>
        <v>6.9320652173913002</v>
      </c>
      <c r="P1475">
        <f t="shared" si="245"/>
        <v>9.0452075098814202</v>
      </c>
      <c r="Q1475">
        <f t="shared" si="246"/>
        <v>20.258487654320923</v>
      </c>
      <c r="R1475">
        <f t="shared" si="247"/>
        <v>51.6805555555555</v>
      </c>
      <c r="S1475" t="str">
        <f t="shared" si="248"/>
        <v>Satisfactory</v>
      </c>
      <c r="T1475" t="str">
        <f t="shared" si="249"/>
        <v>PM10</v>
      </c>
      <c r="U1475">
        <v>25.942361111111101</v>
      </c>
      <c r="V1475">
        <v>43.375</v>
      </c>
    </row>
    <row r="1476" spans="1:22" x14ac:dyDescent="0.3">
      <c r="A1476" s="2" t="s">
        <v>15</v>
      </c>
      <c r="B1476">
        <v>560026</v>
      </c>
      <c r="C1476" s="4">
        <v>45021</v>
      </c>
      <c r="D1476">
        <v>36.3645833333333</v>
      </c>
      <c r="E1476">
        <v>104.125</v>
      </c>
      <c r="F1476">
        <v>58.126041666666602</v>
      </c>
      <c r="G1476">
        <v>86.586458333333297</v>
      </c>
      <c r="H1476">
        <v>5.1642361111111104</v>
      </c>
      <c r="I1476">
        <v>0.80722222222222195</v>
      </c>
      <c r="J1476">
        <v>22.3979166666666</v>
      </c>
      <c r="K1476">
        <f t="shared" si="240"/>
        <v>60.607638888888836</v>
      </c>
      <c r="L1476">
        <f t="shared" si="241"/>
        <v>102.75</v>
      </c>
      <c r="M1476">
        <f t="shared" si="242"/>
        <v>72.657552083333258</v>
      </c>
      <c r="N1476">
        <f t="shared" si="243"/>
        <v>21.646614583333324</v>
      </c>
      <c r="O1476">
        <f t="shared" si="244"/>
        <v>6.4552951388888884</v>
      </c>
      <c r="P1476">
        <f t="shared" si="245"/>
        <v>9.172979797979794</v>
      </c>
      <c r="Q1476">
        <f t="shared" si="246"/>
        <v>20.738811728395</v>
      </c>
      <c r="R1476">
        <f t="shared" si="247"/>
        <v>102.75</v>
      </c>
      <c r="S1476" t="str">
        <f t="shared" si="248"/>
        <v>Moderate</v>
      </c>
      <c r="T1476" t="str">
        <f t="shared" si="249"/>
        <v>PM10</v>
      </c>
      <c r="U1476">
        <v>28.9270833333333</v>
      </c>
      <c r="V1476">
        <v>42.875</v>
      </c>
    </row>
    <row r="1477" spans="1:22" x14ac:dyDescent="0.3">
      <c r="A1477" s="2" t="s">
        <v>15</v>
      </c>
      <c r="B1477">
        <v>560026</v>
      </c>
      <c r="C1477" s="4">
        <v>45024</v>
      </c>
      <c r="D1477">
        <v>20.96875</v>
      </c>
      <c r="E1477">
        <v>80.5520833333333</v>
      </c>
      <c r="F1477">
        <v>56.008333333333297</v>
      </c>
      <c r="G1477">
        <v>67.478124999999906</v>
      </c>
      <c r="H1477">
        <v>5.7746527777777699</v>
      </c>
      <c r="I1477">
        <v>0.71114583333333303</v>
      </c>
      <c r="J1477">
        <v>21.4135416666666</v>
      </c>
      <c r="K1477">
        <f t="shared" si="240"/>
        <v>34.947916666666664</v>
      </c>
      <c r="L1477">
        <f t="shared" si="241"/>
        <v>80.5520833333333</v>
      </c>
      <c r="M1477">
        <f t="shared" si="242"/>
        <v>70.010416666666629</v>
      </c>
      <c r="N1477">
        <f t="shared" si="243"/>
        <v>16.869531249999977</v>
      </c>
      <c r="O1477">
        <f t="shared" si="244"/>
        <v>7.2183159722222126</v>
      </c>
      <c r="P1477">
        <f t="shared" si="245"/>
        <v>8.0812026515151487</v>
      </c>
      <c r="Q1477">
        <f t="shared" si="246"/>
        <v>19.827353395061667</v>
      </c>
      <c r="R1477">
        <f t="shared" si="247"/>
        <v>80.5520833333333</v>
      </c>
      <c r="S1477" t="str">
        <f t="shared" si="248"/>
        <v>Satisfactory</v>
      </c>
      <c r="T1477" t="str">
        <f t="shared" si="249"/>
        <v>PM10</v>
      </c>
      <c r="U1477">
        <v>28.859375</v>
      </c>
      <c r="V1477">
        <v>42.8333333333333</v>
      </c>
    </row>
    <row r="1478" spans="1:22" x14ac:dyDescent="0.3">
      <c r="A1478" s="2" t="s">
        <v>15</v>
      </c>
      <c r="B1478">
        <v>560026</v>
      </c>
      <c r="C1478" s="4">
        <v>45025</v>
      </c>
      <c r="D1478">
        <v>17.9652777777777</v>
      </c>
      <c r="E1478">
        <v>69.0833333333333</v>
      </c>
      <c r="F1478">
        <v>43.9</v>
      </c>
      <c r="G1478">
        <v>57.871874999999903</v>
      </c>
      <c r="H1478">
        <v>5.76145833333333</v>
      </c>
      <c r="I1478">
        <v>0.56229166666666597</v>
      </c>
      <c r="J1478">
        <v>21.7899305555555</v>
      </c>
      <c r="K1478">
        <f t="shared" si="240"/>
        <v>29.942129629629502</v>
      </c>
      <c r="L1478">
        <f t="shared" si="241"/>
        <v>69.0833333333333</v>
      </c>
      <c r="M1478">
        <f t="shared" si="242"/>
        <v>54.875</v>
      </c>
      <c r="N1478">
        <f t="shared" si="243"/>
        <v>14.467968749999976</v>
      </c>
      <c r="O1478">
        <f t="shared" si="244"/>
        <v>7.2018229166666625</v>
      </c>
      <c r="P1478">
        <f t="shared" si="245"/>
        <v>6.3896780303030223</v>
      </c>
      <c r="Q1478">
        <f t="shared" si="246"/>
        <v>20.175861625514351</v>
      </c>
      <c r="R1478">
        <f t="shared" si="247"/>
        <v>69.0833333333333</v>
      </c>
      <c r="S1478" t="str">
        <f t="shared" si="248"/>
        <v>Satisfactory</v>
      </c>
      <c r="T1478" t="str">
        <f t="shared" si="249"/>
        <v>PM10</v>
      </c>
      <c r="U1478">
        <v>28.427777777777699</v>
      </c>
      <c r="V1478">
        <v>42.8368055555555</v>
      </c>
    </row>
    <row r="1479" spans="1:22" x14ac:dyDescent="0.3">
      <c r="A1479" s="2" t="s">
        <v>15</v>
      </c>
      <c r="B1479">
        <v>560026</v>
      </c>
      <c r="C1479" s="4">
        <v>45026</v>
      </c>
      <c r="D1479">
        <v>17.09375</v>
      </c>
      <c r="E1479">
        <v>65.3541666666666</v>
      </c>
      <c r="F1479">
        <v>47.429166666666603</v>
      </c>
      <c r="G1479">
        <v>55.985416666666602</v>
      </c>
      <c r="H1479">
        <v>5.5461805555555497</v>
      </c>
      <c r="I1479">
        <v>0.74013888888888801</v>
      </c>
      <c r="J1479">
        <v>21.311458333333299</v>
      </c>
      <c r="K1479">
        <f t="shared" si="240"/>
        <v>28.489583333333332</v>
      </c>
      <c r="L1479">
        <f t="shared" si="241"/>
        <v>65.3541666666666</v>
      </c>
      <c r="M1479">
        <f t="shared" si="242"/>
        <v>59.286458333333258</v>
      </c>
      <c r="N1479">
        <f t="shared" si="243"/>
        <v>13.996354166666652</v>
      </c>
      <c r="O1479">
        <f t="shared" si="244"/>
        <v>6.9327256944444375</v>
      </c>
      <c r="P1479">
        <f t="shared" si="245"/>
        <v>8.4106691919191814</v>
      </c>
      <c r="Q1479">
        <f t="shared" si="246"/>
        <v>19.732831790123424</v>
      </c>
      <c r="R1479">
        <f t="shared" si="247"/>
        <v>65.3541666666666</v>
      </c>
      <c r="S1479" t="str">
        <f t="shared" si="248"/>
        <v>Satisfactory</v>
      </c>
      <c r="T1479" t="str">
        <f t="shared" si="249"/>
        <v>PM10</v>
      </c>
      <c r="U1479">
        <v>28.717708333333299</v>
      </c>
      <c r="V1479">
        <v>42.7708333333333</v>
      </c>
    </row>
    <row r="1480" spans="1:22" x14ac:dyDescent="0.3">
      <c r="A1480" s="2" t="s">
        <v>15</v>
      </c>
      <c r="B1480">
        <v>560026</v>
      </c>
      <c r="C1480" s="4">
        <v>45027</v>
      </c>
      <c r="D1480">
        <v>19.125</v>
      </c>
      <c r="E1480">
        <v>73.424999999999997</v>
      </c>
      <c r="F1480">
        <v>59.613541666666599</v>
      </c>
      <c r="G1480">
        <v>64.426041666666606</v>
      </c>
      <c r="H1480">
        <v>5.3062499999999897</v>
      </c>
      <c r="I1480">
        <v>0.85090277777777701</v>
      </c>
      <c r="J1480">
        <v>21.978124999999999</v>
      </c>
      <c r="K1480">
        <f t="shared" si="240"/>
        <v>31.875</v>
      </c>
      <c r="L1480">
        <f t="shared" si="241"/>
        <v>73.424999999999997</v>
      </c>
      <c r="M1480">
        <f t="shared" si="242"/>
        <v>74.516927083333258</v>
      </c>
      <c r="N1480">
        <f t="shared" si="243"/>
        <v>16.106510416666652</v>
      </c>
      <c r="O1480">
        <f t="shared" si="244"/>
        <v>6.6328124999999876</v>
      </c>
      <c r="P1480">
        <f t="shared" si="245"/>
        <v>9.6693497474747385</v>
      </c>
      <c r="Q1480">
        <f t="shared" si="246"/>
        <v>20.35011574074074</v>
      </c>
      <c r="R1480">
        <f t="shared" si="247"/>
        <v>74.516927083333258</v>
      </c>
      <c r="S1480" t="str">
        <f t="shared" si="248"/>
        <v>Satisfactory</v>
      </c>
      <c r="T1480" t="str">
        <f t="shared" si="249"/>
        <v>NO2</v>
      </c>
      <c r="U1480">
        <v>29.6010416666666</v>
      </c>
      <c r="V1480">
        <v>42.6770833333333</v>
      </c>
    </row>
    <row r="1481" spans="1:22" x14ac:dyDescent="0.3">
      <c r="A1481" s="2" t="s">
        <v>15</v>
      </c>
      <c r="B1481">
        <v>560026</v>
      </c>
      <c r="C1481" s="4">
        <v>45028</v>
      </c>
      <c r="D1481">
        <v>23.65625</v>
      </c>
      <c r="E1481">
        <v>90.7847222222222</v>
      </c>
      <c r="F1481">
        <v>65.016666666666595</v>
      </c>
      <c r="G1481">
        <v>71.256249999999994</v>
      </c>
      <c r="H1481">
        <v>5.8072916666666599</v>
      </c>
      <c r="I1481">
        <v>0.83986111111111095</v>
      </c>
      <c r="J1481">
        <v>20.246874999999999</v>
      </c>
      <c r="K1481">
        <f t="shared" si="240"/>
        <v>39.427083333333336</v>
      </c>
      <c r="L1481">
        <f t="shared" si="241"/>
        <v>90.7847222222222</v>
      </c>
      <c r="M1481">
        <f t="shared" si="242"/>
        <v>81.270833333333243</v>
      </c>
      <c r="N1481">
        <f t="shared" si="243"/>
        <v>17.814062499999999</v>
      </c>
      <c r="O1481">
        <f t="shared" si="244"/>
        <v>7.2591145833333242</v>
      </c>
      <c r="P1481">
        <f t="shared" si="245"/>
        <v>9.5438762626262612</v>
      </c>
      <c r="Q1481">
        <f t="shared" si="246"/>
        <v>18.747106481481481</v>
      </c>
      <c r="R1481">
        <f t="shared" si="247"/>
        <v>90.7847222222222</v>
      </c>
      <c r="S1481" t="str">
        <f t="shared" si="248"/>
        <v>Satisfactory</v>
      </c>
      <c r="T1481" t="str">
        <f t="shared" si="249"/>
        <v>PM10</v>
      </c>
      <c r="U1481">
        <v>30.092361111111099</v>
      </c>
      <c r="V1481">
        <v>42.5625</v>
      </c>
    </row>
    <row r="1482" spans="1:22" x14ac:dyDescent="0.3">
      <c r="A1482" s="2" t="s">
        <v>15</v>
      </c>
      <c r="B1482">
        <v>560026</v>
      </c>
      <c r="C1482" s="4">
        <v>45029</v>
      </c>
      <c r="D1482">
        <v>25.3923611111111</v>
      </c>
      <c r="E1482">
        <v>97.2118055555555</v>
      </c>
      <c r="F1482">
        <v>67.516666666666595</v>
      </c>
      <c r="G1482">
        <v>82.7552083333333</v>
      </c>
      <c r="H1482">
        <v>5.9704861111111098</v>
      </c>
      <c r="I1482">
        <v>0.874305555555555</v>
      </c>
      <c r="J1482">
        <v>22.3125</v>
      </c>
      <c r="K1482">
        <f t="shared" si="240"/>
        <v>42.320601851851833</v>
      </c>
      <c r="L1482">
        <f t="shared" si="241"/>
        <v>97.2118055555555</v>
      </c>
      <c r="M1482">
        <f t="shared" si="242"/>
        <v>84.395833333333243</v>
      </c>
      <c r="N1482">
        <f t="shared" si="243"/>
        <v>20.688802083333325</v>
      </c>
      <c r="O1482">
        <f t="shared" si="244"/>
        <v>7.4631076388888875</v>
      </c>
      <c r="P1482">
        <f t="shared" si="245"/>
        <v>9.9352904040403978</v>
      </c>
      <c r="Q1482">
        <f t="shared" si="246"/>
        <v>20.659722222222221</v>
      </c>
      <c r="R1482">
        <f t="shared" si="247"/>
        <v>97.2118055555555</v>
      </c>
      <c r="S1482" t="str">
        <f t="shared" si="248"/>
        <v>Satisfactory</v>
      </c>
      <c r="T1482" t="str">
        <f t="shared" si="249"/>
        <v>PM10</v>
      </c>
      <c r="U1482">
        <v>30.912499999999898</v>
      </c>
      <c r="V1482">
        <v>42.40625</v>
      </c>
    </row>
    <row r="1483" spans="1:22" x14ac:dyDescent="0.3">
      <c r="A1483" s="2" t="s">
        <v>15</v>
      </c>
      <c r="B1483">
        <v>560026</v>
      </c>
      <c r="C1483" s="4">
        <v>45030</v>
      </c>
      <c r="D1483">
        <v>22.2678571428571</v>
      </c>
      <c r="E1483">
        <v>85.827380952380906</v>
      </c>
      <c r="F1483">
        <v>64.601041666666603</v>
      </c>
      <c r="G1483">
        <v>90.455208333333303</v>
      </c>
      <c r="H1483">
        <v>8.7097826086956491</v>
      </c>
      <c r="I1483">
        <v>0.95778985507246295</v>
      </c>
      <c r="J1483">
        <v>22.188690476190398</v>
      </c>
      <c r="K1483">
        <f t="shared" si="240"/>
        <v>37.11309523809517</v>
      </c>
      <c r="L1483">
        <f t="shared" si="241"/>
        <v>85.827380952380906</v>
      </c>
      <c r="M1483">
        <f t="shared" si="242"/>
        <v>80.751302083333258</v>
      </c>
      <c r="N1483">
        <f t="shared" si="243"/>
        <v>22.613802083333326</v>
      </c>
      <c r="O1483">
        <f t="shared" si="244"/>
        <v>10.887228260869561</v>
      </c>
      <c r="P1483">
        <f t="shared" si="245"/>
        <v>10.883975625823442</v>
      </c>
      <c r="Q1483">
        <f t="shared" si="246"/>
        <v>20.545083774250369</v>
      </c>
      <c r="R1483">
        <f t="shared" si="247"/>
        <v>85.827380952380906</v>
      </c>
      <c r="S1483" t="str">
        <f t="shared" si="248"/>
        <v>Satisfactory</v>
      </c>
      <c r="T1483" t="str">
        <f t="shared" si="249"/>
        <v>PM10</v>
      </c>
      <c r="U1483">
        <v>33.639285714285698</v>
      </c>
      <c r="V1483">
        <v>42.3854166666666</v>
      </c>
    </row>
    <row r="1484" spans="1:22" x14ac:dyDescent="0.3">
      <c r="A1484" s="2" t="s">
        <v>15</v>
      </c>
      <c r="B1484">
        <v>560026</v>
      </c>
      <c r="C1484" s="4">
        <v>45031</v>
      </c>
      <c r="D1484">
        <v>28.1388888888888</v>
      </c>
      <c r="E1484">
        <v>108.204861111111</v>
      </c>
      <c r="F1484">
        <v>73.2899305555555</v>
      </c>
      <c r="G1484">
        <v>81.935416666666598</v>
      </c>
      <c r="H1484">
        <v>5.7920138888888797</v>
      </c>
      <c r="I1484">
        <v>1.1429861111111099</v>
      </c>
      <c r="J1484">
        <v>20.903472222222199</v>
      </c>
      <c r="K1484">
        <f t="shared" si="240"/>
        <v>46.898148148148003</v>
      </c>
      <c r="L1484">
        <f t="shared" si="241"/>
        <v>105.46990740740733</v>
      </c>
      <c r="M1484">
        <f t="shared" si="242"/>
        <v>91.612413194444372</v>
      </c>
      <c r="N1484">
        <f t="shared" si="243"/>
        <v>20.483854166666653</v>
      </c>
      <c r="O1484">
        <f t="shared" si="244"/>
        <v>7.2400173611111001</v>
      </c>
      <c r="P1484">
        <f t="shared" si="245"/>
        <v>12.988478535353522</v>
      </c>
      <c r="Q1484">
        <f t="shared" si="246"/>
        <v>19.355066872427962</v>
      </c>
      <c r="R1484">
        <f t="shared" si="247"/>
        <v>105.46990740740733</v>
      </c>
      <c r="S1484" t="str">
        <f t="shared" si="248"/>
        <v>Moderate</v>
      </c>
      <c r="T1484" t="str">
        <f t="shared" si="249"/>
        <v>PM10</v>
      </c>
      <c r="U1484">
        <v>29.903472222222199</v>
      </c>
      <c r="V1484">
        <v>42.5520833333333</v>
      </c>
    </row>
    <row r="1485" spans="1:22" x14ac:dyDescent="0.3">
      <c r="A1485" s="2" t="s">
        <v>15</v>
      </c>
      <c r="B1485">
        <v>560026</v>
      </c>
      <c r="C1485" s="4">
        <v>45032</v>
      </c>
      <c r="D1485">
        <v>28.443181818181799</v>
      </c>
      <c r="E1485">
        <v>109.647727272727</v>
      </c>
      <c r="F1485">
        <v>68.056818181818102</v>
      </c>
      <c r="G1485">
        <v>32.335984848484799</v>
      </c>
      <c r="H1485">
        <v>6.9951388888888797</v>
      </c>
      <c r="I1485">
        <v>1.37340277777777</v>
      </c>
      <c r="J1485">
        <v>23.221590909090899</v>
      </c>
      <c r="K1485">
        <f t="shared" si="240"/>
        <v>47.405303030302996</v>
      </c>
      <c r="L1485">
        <f t="shared" si="241"/>
        <v>106.431818181818</v>
      </c>
      <c r="M1485">
        <f t="shared" si="242"/>
        <v>85.071022727272634</v>
      </c>
      <c r="N1485">
        <f t="shared" si="243"/>
        <v>8.0839962121211997</v>
      </c>
      <c r="O1485">
        <f t="shared" si="244"/>
        <v>8.7439236111111001</v>
      </c>
      <c r="P1485">
        <f t="shared" si="245"/>
        <v>15.606849747474659</v>
      </c>
      <c r="Q1485">
        <f t="shared" si="246"/>
        <v>21.501473063973055</v>
      </c>
      <c r="R1485">
        <f t="shared" si="247"/>
        <v>106.431818181818</v>
      </c>
      <c r="S1485" t="str">
        <f t="shared" si="248"/>
        <v>Moderate</v>
      </c>
      <c r="T1485" t="str">
        <f t="shared" si="249"/>
        <v>PM10</v>
      </c>
      <c r="U1485">
        <v>30.692803030303001</v>
      </c>
      <c r="V1485">
        <v>42.3715277777777</v>
      </c>
    </row>
    <row r="1486" spans="1:22" x14ac:dyDescent="0.3">
      <c r="A1486" s="2" t="s">
        <v>15</v>
      </c>
      <c r="B1486">
        <v>560026</v>
      </c>
      <c r="C1486" s="4">
        <v>45033</v>
      </c>
      <c r="D1486">
        <v>24.5173611111111</v>
      </c>
      <c r="E1486">
        <v>94.4756944444444</v>
      </c>
      <c r="F1486">
        <v>57.423263888888798</v>
      </c>
      <c r="G1486">
        <v>26.773611111111101</v>
      </c>
      <c r="H1486">
        <v>7.4288194444444402</v>
      </c>
      <c r="I1486">
        <v>0.945277777777777</v>
      </c>
      <c r="J1486">
        <v>24.9861111111111</v>
      </c>
      <c r="K1486">
        <f t="shared" si="240"/>
        <v>40.862268518518498</v>
      </c>
      <c r="L1486">
        <f t="shared" si="241"/>
        <v>94.4756944444444</v>
      </c>
      <c r="M1486">
        <f t="shared" si="242"/>
        <v>71.779079861111001</v>
      </c>
      <c r="N1486">
        <f t="shared" si="243"/>
        <v>6.6934027777777745</v>
      </c>
      <c r="O1486">
        <f t="shared" si="244"/>
        <v>9.28602430555555</v>
      </c>
      <c r="P1486">
        <f t="shared" si="245"/>
        <v>10.74179292929292</v>
      </c>
      <c r="Q1486">
        <f t="shared" si="246"/>
        <v>23.135288065843611</v>
      </c>
      <c r="R1486">
        <f t="shared" si="247"/>
        <v>94.4756944444444</v>
      </c>
      <c r="S1486" t="str">
        <f t="shared" si="248"/>
        <v>Satisfactory</v>
      </c>
      <c r="T1486" t="str">
        <f t="shared" si="249"/>
        <v>PM10</v>
      </c>
      <c r="U1486">
        <v>29.985763888888801</v>
      </c>
      <c r="V1486">
        <v>42.2291666666666</v>
      </c>
    </row>
    <row r="1487" spans="1:22" x14ac:dyDescent="0.3">
      <c r="A1487" s="2" t="s">
        <v>15</v>
      </c>
      <c r="B1487">
        <v>560026</v>
      </c>
      <c r="C1487" s="4">
        <v>45034</v>
      </c>
      <c r="D1487">
        <v>23.6319444444444</v>
      </c>
      <c r="E1487">
        <v>91.1076388888889</v>
      </c>
      <c r="F1487">
        <v>57.3003472222222</v>
      </c>
      <c r="G1487">
        <v>28.559722222222199</v>
      </c>
      <c r="H1487">
        <v>7.9898550724637598</v>
      </c>
      <c r="I1487">
        <v>1.16743055555555</v>
      </c>
      <c r="J1487">
        <v>25.2885416666666</v>
      </c>
      <c r="K1487">
        <f t="shared" si="240"/>
        <v>39.386574074073998</v>
      </c>
      <c r="L1487">
        <f t="shared" si="241"/>
        <v>91.1076388888889</v>
      </c>
      <c r="M1487">
        <f t="shared" si="242"/>
        <v>71.625434027777743</v>
      </c>
      <c r="N1487">
        <f t="shared" si="243"/>
        <v>7.1399305555555497</v>
      </c>
      <c r="O1487">
        <f t="shared" si="244"/>
        <v>9.9873188405797002</v>
      </c>
      <c r="P1487">
        <f t="shared" si="245"/>
        <v>13.266256313131249</v>
      </c>
      <c r="Q1487">
        <f t="shared" si="246"/>
        <v>23.415316358024629</v>
      </c>
      <c r="R1487">
        <f t="shared" si="247"/>
        <v>91.1076388888889</v>
      </c>
      <c r="S1487" t="str">
        <f t="shared" si="248"/>
        <v>Satisfactory</v>
      </c>
      <c r="T1487" t="str">
        <f t="shared" si="249"/>
        <v>PM10</v>
      </c>
      <c r="U1487">
        <v>30.845833333333299</v>
      </c>
      <c r="V1487">
        <v>41.9791666666666</v>
      </c>
    </row>
    <row r="1488" spans="1:22" x14ac:dyDescent="0.3">
      <c r="A1488" s="2" t="s">
        <v>15</v>
      </c>
      <c r="B1488">
        <v>560026</v>
      </c>
      <c r="C1488" s="4">
        <v>45035</v>
      </c>
      <c r="D1488">
        <v>24.25</v>
      </c>
      <c r="E1488">
        <v>92.882575757575694</v>
      </c>
      <c r="F1488">
        <v>57.274999999999999</v>
      </c>
      <c r="G1488">
        <v>28.405797101449199</v>
      </c>
      <c r="H1488">
        <v>6.0177536231884003</v>
      </c>
      <c r="I1488">
        <v>1.4580303030302999</v>
      </c>
      <c r="J1488">
        <v>23.837318840579702</v>
      </c>
      <c r="K1488">
        <f t="shared" si="240"/>
        <v>40.416666666666664</v>
      </c>
      <c r="L1488">
        <f t="shared" si="241"/>
        <v>92.882575757575694</v>
      </c>
      <c r="M1488">
        <f t="shared" si="242"/>
        <v>71.59375</v>
      </c>
      <c r="N1488">
        <f t="shared" si="243"/>
        <v>7.1014492753622998</v>
      </c>
      <c r="O1488">
        <f t="shared" si="244"/>
        <v>7.5221920289855007</v>
      </c>
      <c r="P1488">
        <f t="shared" si="245"/>
        <v>16.568526170798862</v>
      </c>
      <c r="Q1488">
        <f t="shared" si="246"/>
        <v>22.071591519055278</v>
      </c>
      <c r="R1488">
        <f t="shared" si="247"/>
        <v>92.882575757575694</v>
      </c>
      <c r="S1488" t="str">
        <f t="shared" si="248"/>
        <v>Satisfactory</v>
      </c>
      <c r="T1488" t="str">
        <f t="shared" si="249"/>
        <v>PM10</v>
      </c>
      <c r="U1488">
        <v>30.906884057970998</v>
      </c>
      <c r="V1488">
        <v>41.956521739130402</v>
      </c>
    </row>
    <row r="1489" spans="1:22" x14ac:dyDescent="0.3">
      <c r="A1489" s="2" t="s">
        <v>15</v>
      </c>
      <c r="B1489">
        <v>560026</v>
      </c>
      <c r="C1489" s="4">
        <v>45036</v>
      </c>
      <c r="D1489">
        <v>23.2463768115942</v>
      </c>
      <c r="E1489">
        <v>89.547101449275303</v>
      </c>
      <c r="F1489">
        <v>40.264236111111103</v>
      </c>
      <c r="G1489">
        <v>24.143402777777698</v>
      </c>
      <c r="H1489">
        <v>5.8192028985507198</v>
      </c>
      <c r="I1489">
        <v>1.06557971014492</v>
      </c>
      <c r="J1489">
        <v>20.626388888888801</v>
      </c>
      <c r="K1489">
        <f t="shared" si="240"/>
        <v>38.743961352657003</v>
      </c>
      <c r="L1489">
        <f t="shared" si="241"/>
        <v>89.547101449275303</v>
      </c>
      <c r="M1489">
        <f t="shared" si="242"/>
        <v>50.330295138888879</v>
      </c>
      <c r="N1489">
        <f t="shared" si="243"/>
        <v>6.0358506944444237</v>
      </c>
      <c r="O1489">
        <f t="shared" si="244"/>
        <v>7.2740036231883991</v>
      </c>
      <c r="P1489">
        <f t="shared" si="245"/>
        <v>12.108860342555909</v>
      </c>
      <c r="Q1489">
        <f t="shared" si="246"/>
        <v>19.098508230452595</v>
      </c>
      <c r="R1489">
        <f t="shared" si="247"/>
        <v>89.547101449275303</v>
      </c>
      <c r="S1489" t="str">
        <f t="shared" si="248"/>
        <v>Satisfactory</v>
      </c>
      <c r="T1489" t="str">
        <f t="shared" si="249"/>
        <v>PM10</v>
      </c>
      <c r="U1489">
        <v>30.2552083333333</v>
      </c>
      <c r="V1489">
        <v>42.1944444444444</v>
      </c>
    </row>
    <row r="1490" spans="1:22" x14ac:dyDescent="0.3">
      <c r="A1490" s="2" t="s">
        <v>15</v>
      </c>
      <c r="B1490">
        <v>560026</v>
      </c>
      <c r="C1490" s="4">
        <v>45037</v>
      </c>
      <c r="D1490">
        <v>26.3541666666666</v>
      </c>
      <c r="E1490">
        <v>100.986111111111</v>
      </c>
      <c r="F1490">
        <v>47.235416666666602</v>
      </c>
      <c r="G1490">
        <v>21.063541666666602</v>
      </c>
      <c r="H1490">
        <v>7.3798611111111097</v>
      </c>
      <c r="I1490">
        <v>0.93923611111111105</v>
      </c>
      <c r="J1490">
        <v>19.626041666666602</v>
      </c>
      <c r="K1490">
        <f t="shared" si="240"/>
        <v>43.923611111111001</v>
      </c>
      <c r="L1490">
        <f t="shared" si="241"/>
        <v>100.65740740740733</v>
      </c>
      <c r="M1490">
        <f t="shared" si="242"/>
        <v>59.04427083333325</v>
      </c>
      <c r="N1490">
        <f t="shared" si="243"/>
        <v>5.2658854166666504</v>
      </c>
      <c r="O1490">
        <f t="shared" si="244"/>
        <v>9.2248263888888875</v>
      </c>
      <c r="P1490">
        <f t="shared" si="245"/>
        <v>10.673137626262625</v>
      </c>
      <c r="Q1490">
        <f t="shared" si="246"/>
        <v>18.172260802469076</v>
      </c>
      <c r="R1490">
        <f t="shared" si="247"/>
        <v>100.65740740740733</v>
      </c>
      <c r="S1490" t="str">
        <f t="shared" si="248"/>
        <v>Moderate</v>
      </c>
      <c r="T1490" t="str">
        <f t="shared" si="249"/>
        <v>PM10</v>
      </c>
      <c r="U1490">
        <v>28.5364583333333</v>
      </c>
      <c r="V1490">
        <v>42.5833333333333</v>
      </c>
    </row>
    <row r="1491" spans="1:22" x14ac:dyDescent="0.3">
      <c r="A1491" s="2" t="s">
        <v>15</v>
      </c>
      <c r="B1491">
        <v>560026</v>
      </c>
      <c r="C1491" s="4">
        <v>45038</v>
      </c>
      <c r="D1491">
        <v>20.397727272727199</v>
      </c>
      <c r="E1491">
        <v>78.431818181818102</v>
      </c>
      <c r="F1491">
        <v>43.0609848484848</v>
      </c>
      <c r="G1491">
        <v>20.0170454545454</v>
      </c>
      <c r="H1491">
        <v>6.9268939393939402</v>
      </c>
      <c r="I1491">
        <v>0.88647727272727195</v>
      </c>
      <c r="J1491">
        <v>20.425757575757501</v>
      </c>
      <c r="K1491">
        <f t="shared" si="240"/>
        <v>33.996212121211997</v>
      </c>
      <c r="L1491">
        <f t="shared" si="241"/>
        <v>78.431818181818102</v>
      </c>
      <c r="M1491">
        <f t="shared" si="242"/>
        <v>53.826231060605998</v>
      </c>
      <c r="N1491">
        <f t="shared" si="243"/>
        <v>5.00426136363635</v>
      </c>
      <c r="O1491">
        <f t="shared" si="244"/>
        <v>8.6586174242424256</v>
      </c>
      <c r="P1491">
        <f t="shared" si="245"/>
        <v>10.073605371900817</v>
      </c>
      <c r="Q1491">
        <f t="shared" si="246"/>
        <v>18.912738496071761</v>
      </c>
      <c r="R1491">
        <f t="shared" si="247"/>
        <v>78.431818181818102</v>
      </c>
      <c r="S1491" t="str">
        <f t="shared" si="248"/>
        <v>Satisfactory</v>
      </c>
      <c r="T1491" t="str">
        <f t="shared" si="249"/>
        <v>PM10</v>
      </c>
      <c r="U1491">
        <v>29.067424242424199</v>
      </c>
      <c r="V1491">
        <v>42.431818181818102</v>
      </c>
    </row>
    <row r="1492" spans="1:22" x14ac:dyDescent="0.3">
      <c r="A1492" s="2" t="s">
        <v>15</v>
      </c>
      <c r="B1492">
        <v>560026</v>
      </c>
      <c r="C1492" s="4">
        <v>45039</v>
      </c>
      <c r="D1492">
        <v>17.2881944444444</v>
      </c>
      <c r="E1492">
        <v>66.3645833333333</v>
      </c>
      <c r="F1492">
        <v>40.7777777777777</v>
      </c>
      <c r="G1492">
        <v>19.2395833333333</v>
      </c>
      <c r="H1492">
        <v>6.1489583333333302</v>
      </c>
      <c r="I1492">
        <v>0.76190972222222197</v>
      </c>
      <c r="J1492">
        <v>19.0975694444444</v>
      </c>
      <c r="K1492">
        <f t="shared" si="240"/>
        <v>28.813657407407334</v>
      </c>
      <c r="L1492">
        <f t="shared" si="241"/>
        <v>66.3645833333333</v>
      </c>
      <c r="M1492">
        <f t="shared" si="242"/>
        <v>50.972222222222129</v>
      </c>
      <c r="N1492">
        <f t="shared" si="243"/>
        <v>4.809895833333325</v>
      </c>
      <c r="O1492">
        <f t="shared" si="244"/>
        <v>7.6861979166666625</v>
      </c>
      <c r="P1492">
        <f t="shared" si="245"/>
        <v>8.6580650252525224</v>
      </c>
      <c r="Q1492">
        <f t="shared" si="246"/>
        <v>17.682934670781851</v>
      </c>
      <c r="R1492">
        <f t="shared" si="247"/>
        <v>66.3645833333333</v>
      </c>
      <c r="S1492" t="str">
        <f t="shared" si="248"/>
        <v>Satisfactory</v>
      </c>
      <c r="T1492" t="str">
        <f t="shared" si="249"/>
        <v>PM10</v>
      </c>
      <c r="U1492">
        <v>29.876388888888801</v>
      </c>
      <c r="V1492">
        <v>42.2395833333333</v>
      </c>
    </row>
    <row r="1493" spans="1:22" x14ac:dyDescent="0.3">
      <c r="A1493" s="2" t="s">
        <v>15</v>
      </c>
      <c r="B1493">
        <v>560026</v>
      </c>
      <c r="C1493" s="4">
        <v>45040</v>
      </c>
      <c r="D1493">
        <v>13.4963768115942</v>
      </c>
      <c r="E1493">
        <v>51.963768115942003</v>
      </c>
      <c r="F1493">
        <v>29.863541666666599</v>
      </c>
      <c r="G1493">
        <v>17.823958333333302</v>
      </c>
      <c r="H1493">
        <v>6.5208333333333304</v>
      </c>
      <c r="I1493">
        <v>0.94920138888888805</v>
      </c>
      <c r="J1493">
        <v>20.0625</v>
      </c>
      <c r="K1493">
        <f t="shared" si="240"/>
        <v>22.493961352656999</v>
      </c>
      <c r="L1493">
        <f t="shared" si="241"/>
        <v>51.963768115942003</v>
      </c>
      <c r="M1493">
        <f t="shared" si="242"/>
        <v>37.329427083333243</v>
      </c>
      <c r="N1493">
        <f t="shared" si="243"/>
        <v>4.4559895833333254</v>
      </c>
      <c r="O1493">
        <f t="shared" si="244"/>
        <v>8.1510416666666625</v>
      </c>
      <c r="P1493">
        <f t="shared" si="245"/>
        <v>10.78637941919191</v>
      </c>
      <c r="Q1493">
        <f t="shared" si="246"/>
        <v>18.576388888888889</v>
      </c>
      <c r="R1493">
        <f t="shared" si="247"/>
        <v>51.963768115942003</v>
      </c>
      <c r="S1493" t="str">
        <f t="shared" si="248"/>
        <v>Satisfactory</v>
      </c>
      <c r="T1493" t="str">
        <f t="shared" si="249"/>
        <v>PM10</v>
      </c>
      <c r="U1493">
        <v>29.579166666666602</v>
      </c>
      <c r="V1493">
        <v>42.3333333333333</v>
      </c>
    </row>
    <row r="1494" spans="1:22" x14ac:dyDescent="0.3">
      <c r="A1494" s="2" t="s">
        <v>15</v>
      </c>
      <c r="B1494">
        <v>560026</v>
      </c>
      <c r="C1494" s="4">
        <v>45041</v>
      </c>
      <c r="D1494">
        <v>11.7847222222222</v>
      </c>
      <c r="E1494">
        <v>45.6145833333333</v>
      </c>
      <c r="F1494">
        <v>27.3385416666666</v>
      </c>
      <c r="G1494">
        <v>16.801041666666599</v>
      </c>
      <c r="H1494">
        <v>6.4454861111111104</v>
      </c>
      <c r="I1494">
        <v>0.61954861111111104</v>
      </c>
      <c r="J1494">
        <v>19.158333333333299</v>
      </c>
      <c r="K1494">
        <f t="shared" si="240"/>
        <v>19.641203703703663</v>
      </c>
      <c r="L1494">
        <f t="shared" si="241"/>
        <v>45.6145833333333</v>
      </c>
      <c r="M1494">
        <f t="shared" si="242"/>
        <v>34.17317708333325</v>
      </c>
      <c r="N1494">
        <f t="shared" si="243"/>
        <v>4.2002604166666497</v>
      </c>
      <c r="O1494">
        <f t="shared" si="244"/>
        <v>8.0568576388888893</v>
      </c>
      <c r="P1494">
        <f t="shared" si="245"/>
        <v>7.0403251262626254</v>
      </c>
      <c r="Q1494">
        <f t="shared" si="246"/>
        <v>17.739197530864168</v>
      </c>
      <c r="R1494">
        <f t="shared" si="247"/>
        <v>45.6145833333333</v>
      </c>
      <c r="S1494" t="str">
        <f t="shared" si="248"/>
        <v>Good</v>
      </c>
      <c r="T1494" t="str">
        <f t="shared" si="249"/>
        <v>PM10</v>
      </c>
      <c r="U1494">
        <v>29.071874999999999</v>
      </c>
      <c r="V1494">
        <v>42.5520833333333</v>
      </c>
    </row>
    <row r="1495" spans="1:22" x14ac:dyDescent="0.3">
      <c r="A1495" s="2" t="s">
        <v>15</v>
      </c>
      <c r="B1495">
        <v>560026</v>
      </c>
      <c r="C1495" s="4">
        <v>45042</v>
      </c>
      <c r="D1495">
        <v>16.065217391304301</v>
      </c>
      <c r="E1495">
        <v>62.047101449275303</v>
      </c>
      <c r="F1495">
        <v>39.434722222222199</v>
      </c>
      <c r="G1495">
        <v>17.438194444444399</v>
      </c>
      <c r="H1495">
        <v>6.4371527777777704</v>
      </c>
      <c r="I1495">
        <v>1.1963541666666599</v>
      </c>
      <c r="J1495">
        <v>19.084027777777699</v>
      </c>
      <c r="K1495">
        <f t="shared" si="240"/>
        <v>26.775362318840504</v>
      </c>
      <c r="L1495">
        <f t="shared" si="241"/>
        <v>62.047101449275303</v>
      </c>
      <c r="M1495">
        <f t="shared" si="242"/>
        <v>49.29340277777775</v>
      </c>
      <c r="N1495">
        <f t="shared" si="243"/>
        <v>4.3595486111110997</v>
      </c>
      <c r="O1495">
        <f t="shared" si="244"/>
        <v>8.0464409722222126</v>
      </c>
      <c r="P1495">
        <f t="shared" si="245"/>
        <v>13.594933712121135</v>
      </c>
      <c r="Q1495">
        <f t="shared" si="246"/>
        <v>17.670396090534908</v>
      </c>
      <c r="R1495">
        <f t="shared" si="247"/>
        <v>62.047101449275303</v>
      </c>
      <c r="S1495" t="str">
        <f t="shared" si="248"/>
        <v>Satisfactory</v>
      </c>
      <c r="T1495" t="str">
        <f t="shared" si="249"/>
        <v>PM10</v>
      </c>
      <c r="U1495">
        <v>29.044097222222199</v>
      </c>
      <c r="V1495">
        <v>42.4583333333333</v>
      </c>
    </row>
    <row r="1496" spans="1:22" x14ac:dyDescent="0.3">
      <c r="A1496" s="2" t="s">
        <v>15</v>
      </c>
      <c r="B1496">
        <v>560026</v>
      </c>
      <c r="C1496" s="4">
        <v>45043</v>
      </c>
      <c r="D1496">
        <v>19.2673611111111</v>
      </c>
      <c r="E1496">
        <v>74.4027777777777</v>
      </c>
      <c r="F1496">
        <v>30.9114583333333</v>
      </c>
      <c r="G1496">
        <v>19.506249999999898</v>
      </c>
      <c r="H1496">
        <v>6.82673611111111</v>
      </c>
      <c r="I1496">
        <v>0.68416666666666603</v>
      </c>
      <c r="J1496">
        <v>18.664583333333301</v>
      </c>
      <c r="K1496">
        <f t="shared" si="240"/>
        <v>32.112268518518498</v>
      </c>
      <c r="L1496">
        <f t="shared" si="241"/>
        <v>74.4027777777777</v>
      </c>
      <c r="M1496">
        <f t="shared" si="242"/>
        <v>38.639322916666622</v>
      </c>
      <c r="N1496">
        <f t="shared" si="243"/>
        <v>4.8765624999999746</v>
      </c>
      <c r="O1496">
        <f t="shared" si="244"/>
        <v>8.5334201388888875</v>
      </c>
      <c r="P1496">
        <f t="shared" si="245"/>
        <v>7.7746212121212048</v>
      </c>
      <c r="Q1496">
        <f t="shared" si="246"/>
        <v>17.28202160493824</v>
      </c>
      <c r="R1496">
        <f t="shared" si="247"/>
        <v>74.4027777777777</v>
      </c>
      <c r="S1496" t="str">
        <f t="shared" si="248"/>
        <v>Satisfactory</v>
      </c>
      <c r="T1496" t="str">
        <f t="shared" si="249"/>
        <v>PM10</v>
      </c>
      <c r="U1496">
        <v>29.2395833333333</v>
      </c>
      <c r="V1496">
        <v>42.4270833333333</v>
      </c>
    </row>
    <row r="1497" spans="1:22" x14ac:dyDescent="0.3">
      <c r="A1497" s="2" t="s">
        <v>15</v>
      </c>
      <c r="B1497">
        <v>560026</v>
      </c>
      <c r="C1497" s="4">
        <v>45044</v>
      </c>
      <c r="D1497">
        <v>14.5104166666666</v>
      </c>
      <c r="E1497">
        <v>55.9791666666666</v>
      </c>
      <c r="F1497">
        <v>27.259722222222202</v>
      </c>
      <c r="G1497">
        <v>17.539583333333301</v>
      </c>
      <c r="H1497">
        <v>7.109375</v>
      </c>
      <c r="I1497">
        <v>0.639848484848484</v>
      </c>
      <c r="J1497">
        <v>19.303472222222201</v>
      </c>
      <c r="K1497">
        <f t="shared" si="240"/>
        <v>24.184027777777668</v>
      </c>
      <c r="L1497">
        <f t="shared" si="241"/>
        <v>55.9791666666666</v>
      </c>
      <c r="M1497">
        <f t="shared" si="242"/>
        <v>34.074652777777757</v>
      </c>
      <c r="N1497">
        <f t="shared" si="243"/>
        <v>4.3848958333333252</v>
      </c>
      <c r="O1497">
        <f t="shared" si="244"/>
        <v>8.88671875</v>
      </c>
      <c r="P1497">
        <f t="shared" si="245"/>
        <v>7.2710055096418635</v>
      </c>
      <c r="Q1497">
        <f t="shared" si="246"/>
        <v>17.873585390946481</v>
      </c>
      <c r="R1497">
        <f t="shared" si="247"/>
        <v>55.9791666666666</v>
      </c>
      <c r="S1497" t="str">
        <f t="shared" si="248"/>
        <v>Satisfactory</v>
      </c>
      <c r="T1497" t="str">
        <f t="shared" si="249"/>
        <v>PM10</v>
      </c>
      <c r="U1497">
        <v>29.318749999999898</v>
      </c>
      <c r="V1497">
        <v>42.4270833333333</v>
      </c>
    </row>
    <row r="1498" spans="1:22" x14ac:dyDescent="0.3">
      <c r="A1498" s="2" t="s">
        <v>15</v>
      </c>
      <c r="B1498">
        <v>560026</v>
      </c>
      <c r="C1498" s="4">
        <v>45045</v>
      </c>
      <c r="D1498">
        <v>18.719696969696901</v>
      </c>
      <c r="E1498">
        <v>72.087121212121204</v>
      </c>
      <c r="F1498">
        <v>36.839583333333302</v>
      </c>
      <c r="G1498">
        <v>18.1513888888888</v>
      </c>
      <c r="H1498">
        <v>6.7898550724637596</v>
      </c>
      <c r="I1498">
        <v>0.96069444444444396</v>
      </c>
      <c r="J1498">
        <v>18.541319444444401</v>
      </c>
      <c r="K1498">
        <f t="shared" si="240"/>
        <v>31.199494949494838</v>
      </c>
      <c r="L1498">
        <f t="shared" si="241"/>
        <v>72.087121212121204</v>
      </c>
      <c r="M1498">
        <f t="shared" si="242"/>
        <v>46.049479166666629</v>
      </c>
      <c r="N1498">
        <f t="shared" si="243"/>
        <v>4.5378472222221999</v>
      </c>
      <c r="O1498">
        <f t="shared" si="244"/>
        <v>8.4873188405797002</v>
      </c>
      <c r="P1498">
        <f t="shared" si="245"/>
        <v>10.916982323232318</v>
      </c>
      <c r="Q1498">
        <f t="shared" si="246"/>
        <v>17.167888374485557</v>
      </c>
      <c r="R1498">
        <f t="shared" si="247"/>
        <v>72.087121212121204</v>
      </c>
      <c r="S1498" t="str">
        <f t="shared" si="248"/>
        <v>Satisfactory</v>
      </c>
      <c r="T1498" t="str">
        <f t="shared" si="249"/>
        <v>PM10</v>
      </c>
      <c r="U1498">
        <v>27.778819444444402</v>
      </c>
      <c r="V1498">
        <v>42.7638888888888</v>
      </c>
    </row>
    <row r="1499" spans="1:22" x14ac:dyDescent="0.3">
      <c r="A1499" s="2" t="s">
        <v>15</v>
      </c>
      <c r="B1499">
        <v>560026</v>
      </c>
      <c r="C1499" s="4">
        <v>45046</v>
      </c>
      <c r="D1499">
        <v>11.9270833333333</v>
      </c>
      <c r="E1499">
        <v>45.7986111111111</v>
      </c>
      <c r="F1499">
        <v>23.580208333333299</v>
      </c>
      <c r="G1499">
        <v>13.389583333333301</v>
      </c>
      <c r="H1499">
        <v>6.3784722222222197</v>
      </c>
      <c r="I1499">
        <v>0.76409420289855001</v>
      </c>
      <c r="J1499">
        <v>18.3024305555555</v>
      </c>
      <c r="K1499">
        <f t="shared" si="240"/>
        <v>19.878472222222168</v>
      </c>
      <c r="L1499">
        <f t="shared" si="241"/>
        <v>45.7986111111111</v>
      </c>
      <c r="M1499">
        <f t="shared" si="242"/>
        <v>29.475260416666622</v>
      </c>
      <c r="N1499">
        <f t="shared" si="243"/>
        <v>3.3473958333333251</v>
      </c>
      <c r="O1499">
        <f t="shared" si="244"/>
        <v>7.9730902777777741</v>
      </c>
      <c r="P1499">
        <f t="shared" si="245"/>
        <v>8.682888669301704</v>
      </c>
      <c r="Q1499">
        <f t="shared" si="246"/>
        <v>16.946694958847687</v>
      </c>
      <c r="R1499">
        <f t="shared" si="247"/>
        <v>45.7986111111111</v>
      </c>
      <c r="S1499" t="str">
        <f t="shared" si="248"/>
        <v>Good</v>
      </c>
      <c r="T1499" t="str">
        <f t="shared" si="249"/>
        <v>PM10</v>
      </c>
      <c r="U1499">
        <v>28.2121527777777</v>
      </c>
      <c r="V1499">
        <v>42.84375</v>
      </c>
    </row>
    <row r="1500" spans="1:22" x14ac:dyDescent="0.3">
      <c r="A1500" s="2" t="s">
        <v>15</v>
      </c>
      <c r="B1500">
        <v>560026</v>
      </c>
      <c r="C1500" s="4">
        <v>45047</v>
      </c>
      <c r="D1500">
        <v>10</v>
      </c>
      <c r="E1500">
        <v>39</v>
      </c>
      <c r="F1500">
        <v>33.0208333333333</v>
      </c>
      <c r="G1500">
        <v>13.592708333333301</v>
      </c>
      <c r="H1500">
        <v>6.2482638888888804</v>
      </c>
      <c r="I1500">
        <v>0.96130434782608698</v>
      </c>
      <c r="J1500">
        <v>19.181249999999999</v>
      </c>
      <c r="K1500">
        <f t="shared" si="240"/>
        <v>16.666666666666668</v>
      </c>
      <c r="L1500">
        <f t="shared" si="241"/>
        <v>39</v>
      </c>
      <c r="M1500">
        <f t="shared" si="242"/>
        <v>41.276041666666622</v>
      </c>
      <c r="N1500">
        <f t="shared" si="243"/>
        <v>3.3981770833333251</v>
      </c>
      <c r="O1500">
        <f t="shared" si="244"/>
        <v>7.8103298611111001</v>
      </c>
      <c r="P1500">
        <f t="shared" si="245"/>
        <v>10.923913043478262</v>
      </c>
      <c r="Q1500">
        <f t="shared" si="246"/>
        <v>17.760416666666664</v>
      </c>
      <c r="R1500">
        <f t="shared" si="247"/>
        <v>41.276041666666622</v>
      </c>
      <c r="S1500" t="str">
        <f t="shared" si="248"/>
        <v>Good</v>
      </c>
      <c r="T1500" t="str">
        <f t="shared" si="249"/>
        <v>NO2</v>
      </c>
      <c r="U1500">
        <v>30.2</v>
      </c>
      <c r="V1500">
        <v>43.34375</v>
      </c>
    </row>
    <row r="1501" spans="1:22" x14ac:dyDescent="0.3">
      <c r="A1501" s="2" t="s">
        <v>15</v>
      </c>
      <c r="B1501">
        <v>560026</v>
      </c>
      <c r="C1501" s="4">
        <v>45048</v>
      </c>
      <c r="D1501">
        <v>9.8571428571428505</v>
      </c>
      <c r="E1501">
        <v>38.440476190476097</v>
      </c>
      <c r="F1501">
        <v>36.710144927536199</v>
      </c>
      <c r="G1501">
        <v>15.385144927536199</v>
      </c>
      <c r="H1501">
        <v>6.2376811594202897</v>
      </c>
      <c r="I1501">
        <v>0.780515873015873</v>
      </c>
      <c r="J1501">
        <v>20.226086956521701</v>
      </c>
      <c r="K1501">
        <f t="shared" si="240"/>
        <v>16.42857142857142</v>
      </c>
      <c r="L1501">
        <f t="shared" si="241"/>
        <v>38.440476190476097</v>
      </c>
      <c r="M1501">
        <f t="shared" si="242"/>
        <v>45.887681159420247</v>
      </c>
      <c r="N1501">
        <f t="shared" si="243"/>
        <v>3.8462862318840494</v>
      </c>
      <c r="O1501">
        <f t="shared" si="244"/>
        <v>7.7971014492753623</v>
      </c>
      <c r="P1501">
        <f t="shared" si="245"/>
        <v>8.8694985569985558</v>
      </c>
      <c r="Q1501">
        <f t="shared" si="246"/>
        <v>18.727858293075649</v>
      </c>
      <c r="R1501">
        <f t="shared" si="247"/>
        <v>45.887681159420247</v>
      </c>
      <c r="S1501" t="str">
        <f t="shared" si="248"/>
        <v>Good</v>
      </c>
      <c r="T1501" t="str">
        <f t="shared" si="249"/>
        <v>NO2</v>
      </c>
      <c r="U1501">
        <v>29.584782608695601</v>
      </c>
      <c r="V1501">
        <v>42.992753623188399</v>
      </c>
    </row>
    <row r="1502" spans="1:22" x14ac:dyDescent="0.3">
      <c r="A1502" s="2" t="s">
        <v>15</v>
      </c>
      <c r="B1502">
        <v>560026</v>
      </c>
      <c r="C1502" s="4">
        <v>45049</v>
      </c>
      <c r="D1502">
        <v>12.375</v>
      </c>
      <c r="E1502">
        <v>47.4131944444444</v>
      </c>
      <c r="F1502">
        <v>34.905208333333299</v>
      </c>
      <c r="G1502">
        <v>16.328472222222199</v>
      </c>
      <c r="H1502">
        <v>6.0638888888888802</v>
      </c>
      <c r="I1502">
        <v>1.5003124999999999</v>
      </c>
      <c r="J1502">
        <v>20.390625</v>
      </c>
      <c r="K1502">
        <f t="shared" si="240"/>
        <v>20.625</v>
      </c>
      <c r="L1502">
        <f t="shared" si="241"/>
        <v>47.4131944444444</v>
      </c>
      <c r="M1502">
        <f t="shared" si="242"/>
        <v>43.631510416666622</v>
      </c>
      <c r="N1502">
        <f t="shared" si="243"/>
        <v>4.0821180555555499</v>
      </c>
      <c r="O1502">
        <f t="shared" si="244"/>
        <v>7.5798611111111001</v>
      </c>
      <c r="P1502">
        <f t="shared" si="245"/>
        <v>17.04900568181818</v>
      </c>
      <c r="Q1502">
        <f t="shared" si="246"/>
        <v>18.880208333333332</v>
      </c>
      <c r="R1502">
        <f t="shared" si="247"/>
        <v>47.4131944444444</v>
      </c>
      <c r="S1502" t="str">
        <f t="shared" si="248"/>
        <v>Good</v>
      </c>
      <c r="T1502" t="str">
        <f t="shared" si="249"/>
        <v>PM10</v>
      </c>
      <c r="U1502">
        <v>25.493749999999999</v>
      </c>
      <c r="V1502">
        <v>43.8645833333333</v>
      </c>
    </row>
    <row r="1503" spans="1:22" x14ac:dyDescent="0.3">
      <c r="A1503" s="2" t="s">
        <v>15</v>
      </c>
      <c r="B1503">
        <v>560026</v>
      </c>
      <c r="C1503" s="4">
        <v>45050</v>
      </c>
      <c r="D1503">
        <v>14.1875</v>
      </c>
      <c r="E1503">
        <v>54.3506944444444</v>
      </c>
      <c r="F1503">
        <v>44.696527777777703</v>
      </c>
      <c r="G1503">
        <v>16.542708333333302</v>
      </c>
      <c r="H1503">
        <v>6.7256944444444402</v>
      </c>
      <c r="I1503">
        <v>1.2415624999999999</v>
      </c>
      <c r="J1503">
        <v>20.093402777777701</v>
      </c>
      <c r="K1503">
        <f t="shared" si="240"/>
        <v>23.645833333333332</v>
      </c>
      <c r="L1503">
        <f t="shared" si="241"/>
        <v>54.3506944444444</v>
      </c>
      <c r="M1503">
        <f t="shared" si="242"/>
        <v>55.870659722222129</v>
      </c>
      <c r="N1503">
        <f t="shared" si="243"/>
        <v>4.1356770833333254</v>
      </c>
      <c r="O1503">
        <f t="shared" si="244"/>
        <v>8.40711805555555</v>
      </c>
      <c r="P1503">
        <f t="shared" si="245"/>
        <v>14.108664772727272</v>
      </c>
      <c r="Q1503">
        <f t="shared" si="246"/>
        <v>18.605002572016389</v>
      </c>
      <c r="R1503">
        <f t="shared" si="247"/>
        <v>55.870659722222129</v>
      </c>
      <c r="S1503" t="str">
        <f t="shared" si="248"/>
        <v>Satisfactory</v>
      </c>
      <c r="T1503" t="str">
        <f t="shared" si="249"/>
        <v>NO2</v>
      </c>
      <c r="U1503">
        <v>26.039583333333301</v>
      </c>
      <c r="V1503">
        <v>43.8055555555555</v>
      </c>
    </row>
    <row r="1504" spans="1:22" x14ac:dyDescent="0.3">
      <c r="A1504" s="2" t="s">
        <v>15</v>
      </c>
      <c r="B1504">
        <v>560026</v>
      </c>
      <c r="C1504" s="4">
        <v>45051</v>
      </c>
      <c r="D1504">
        <v>10.8901515151515</v>
      </c>
      <c r="E1504">
        <v>41.886363636363598</v>
      </c>
      <c r="F1504">
        <v>33.825362318840497</v>
      </c>
      <c r="G1504">
        <v>15.400724637681099</v>
      </c>
      <c r="H1504">
        <v>6.1952380952380901</v>
      </c>
      <c r="I1504">
        <v>0.73920833333333302</v>
      </c>
      <c r="J1504">
        <v>20.580072463768101</v>
      </c>
      <c r="K1504">
        <f t="shared" si="240"/>
        <v>18.150252525252498</v>
      </c>
      <c r="L1504">
        <f t="shared" si="241"/>
        <v>41.886363636363598</v>
      </c>
      <c r="M1504">
        <f t="shared" si="242"/>
        <v>42.28170289855062</v>
      </c>
      <c r="N1504">
        <f t="shared" si="243"/>
        <v>3.8501811594202748</v>
      </c>
      <c r="O1504">
        <f t="shared" si="244"/>
        <v>7.7440476190476133</v>
      </c>
      <c r="P1504">
        <f t="shared" si="245"/>
        <v>8.4000946969696937</v>
      </c>
      <c r="Q1504">
        <f t="shared" si="246"/>
        <v>19.05562265163713</v>
      </c>
      <c r="R1504">
        <f t="shared" si="247"/>
        <v>42.28170289855062</v>
      </c>
      <c r="S1504" t="str">
        <f t="shared" si="248"/>
        <v>Good</v>
      </c>
      <c r="T1504" t="str">
        <f t="shared" si="249"/>
        <v>NO2</v>
      </c>
      <c r="U1504">
        <v>25.734420289854999</v>
      </c>
      <c r="V1504">
        <v>43.445652173912997</v>
      </c>
    </row>
    <row r="1505" spans="1:22" x14ac:dyDescent="0.3">
      <c r="A1505" s="2" t="s">
        <v>15</v>
      </c>
      <c r="B1505">
        <v>560026</v>
      </c>
      <c r="C1505" s="4">
        <v>45052</v>
      </c>
      <c r="D1505">
        <v>24.3194444444444</v>
      </c>
      <c r="E1505">
        <v>93.7256944444444</v>
      </c>
      <c r="F1505">
        <v>34.094791666666602</v>
      </c>
      <c r="G1505">
        <v>16.446874999999999</v>
      </c>
      <c r="H1505">
        <v>6.63923611111111</v>
      </c>
      <c r="I1505">
        <v>1.17802083333333</v>
      </c>
      <c r="J1505">
        <v>20.162499999999898</v>
      </c>
      <c r="K1505">
        <f t="shared" si="240"/>
        <v>40.532407407407327</v>
      </c>
      <c r="L1505">
        <f t="shared" si="241"/>
        <v>93.7256944444444</v>
      </c>
      <c r="M1505">
        <f t="shared" si="242"/>
        <v>42.61848958333325</v>
      </c>
      <c r="N1505">
        <f t="shared" si="243"/>
        <v>4.1117187499999996</v>
      </c>
      <c r="O1505">
        <f t="shared" si="244"/>
        <v>8.2990451388888875</v>
      </c>
      <c r="P1505">
        <f t="shared" si="245"/>
        <v>13.38660037878784</v>
      </c>
      <c r="Q1505">
        <f t="shared" si="246"/>
        <v>18.668981481481389</v>
      </c>
      <c r="R1505">
        <f t="shared" si="247"/>
        <v>93.7256944444444</v>
      </c>
      <c r="S1505" t="str">
        <f t="shared" si="248"/>
        <v>Satisfactory</v>
      </c>
      <c r="T1505" t="str">
        <f t="shared" si="249"/>
        <v>PM10</v>
      </c>
      <c r="U1505">
        <v>25.137499999999999</v>
      </c>
      <c r="V1505">
        <v>43.8333333333333</v>
      </c>
    </row>
    <row r="1506" spans="1:22" x14ac:dyDescent="0.3">
      <c r="A1506" s="2" t="s">
        <v>15</v>
      </c>
      <c r="B1506">
        <v>560026</v>
      </c>
      <c r="C1506" s="4">
        <v>45053</v>
      </c>
      <c r="D1506">
        <v>12.5381944444444</v>
      </c>
      <c r="E1506">
        <v>48.0208333333333</v>
      </c>
      <c r="F1506">
        <v>31.792361111111099</v>
      </c>
      <c r="G1506">
        <v>15.296527777777699</v>
      </c>
      <c r="H1506">
        <v>5.8656249999999996</v>
      </c>
      <c r="I1506">
        <v>0.97736111111111101</v>
      </c>
      <c r="J1506">
        <v>20.515972222222199</v>
      </c>
      <c r="K1506">
        <f t="shared" si="240"/>
        <v>20.896990740740666</v>
      </c>
      <c r="L1506">
        <f t="shared" si="241"/>
        <v>48.0208333333333</v>
      </c>
      <c r="M1506">
        <f t="shared" si="242"/>
        <v>39.740451388888872</v>
      </c>
      <c r="N1506">
        <f t="shared" si="243"/>
        <v>3.8241319444444248</v>
      </c>
      <c r="O1506">
        <f t="shared" si="244"/>
        <v>7.33203125</v>
      </c>
      <c r="P1506">
        <f t="shared" si="245"/>
        <v>11.106376262626261</v>
      </c>
      <c r="Q1506">
        <f t="shared" si="246"/>
        <v>18.996270576131668</v>
      </c>
      <c r="R1506">
        <f t="shared" si="247"/>
        <v>48.0208333333333</v>
      </c>
      <c r="S1506" t="str">
        <f t="shared" si="248"/>
        <v>Good</v>
      </c>
      <c r="T1506" t="str">
        <f t="shared" si="249"/>
        <v>PM10</v>
      </c>
      <c r="U1506">
        <v>25.183333333333302</v>
      </c>
      <c r="V1506">
        <v>43.6423611111111</v>
      </c>
    </row>
    <row r="1507" spans="1:22" x14ac:dyDescent="0.3">
      <c r="A1507" s="2" t="s">
        <v>15</v>
      </c>
      <c r="B1507">
        <v>560026</v>
      </c>
      <c r="C1507" s="4">
        <v>45054</v>
      </c>
      <c r="D1507">
        <v>14.3194444444444</v>
      </c>
      <c r="E1507">
        <v>54.9965277777777</v>
      </c>
      <c r="F1507">
        <v>35.422569444444399</v>
      </c>
      <c r="G1507">
        <v>16.1305555555555</v>
      </c>
      <c r="H1507">
        <v>6.0774305555555497</v>
      </c>
      <c r="I1507">
        <v>1.3656944444444401</v>
      </c>
      <c r="J1507">
        <v>20.387499999999999</v>
      </c>
      <c r="K1507">
        <f t="shared" si="240"/>
        <v>23.865740740740666</v>
      </c>
      <c r="L1507">
        <f t="shared" si="241"/>
        <v>54.9965277777777</v>
      </c>
      <c r="M1507">
        <f t="shared" si="242"/>
        <v>44.2782118055555</v>
      </c>
      <c r="N1507">
        <f t="shared" si="243"/>
        <v>4.0326388888888749</v>
      </c>
      <c r="O1507">
        <f t="shared" si="244"/>
        <v>7.5967881944444375</v>
      </c>
      <c r="P1507">
        <f t="shared" si="245"/>
        <v>15.519255050505</v>
      </c>
      <c r="Q1507">
        <f t="shared" si="246"/>
        <v>18.877314814814813</v>
      </c>
      <c r="R1507">
        <f t="shared" si="247"/>
        <v>54.9965277777777</v>
      </c>
      <c r="S1507" t="str">
        <f t="shared" si="248"/>
        <v>Satisfactory</v>
      </c>
      <c r="T1507" t="str">
        <f t="shared" si="249"/>
        <v>PM10</v>
      </c>
      <c r="U1507">
        <v>25.05</v>
      </c>
      <c r="V1507">
        <v>44.1875</v>
      </c>
    </row>
    <row r="1508" spans="1:22" x14ac:dyDescent="0.3">
      <c r="A1508" s="2" t="s">
        <v>15</v>
      </c>
      <c r="B1508">
        <v>560026</v>
      </c>
      <c r="C1508" s="4">
        <v>45055</v>
      </c>
      <c r="D1508">
        <v>14.3402777777777</v>
      </c>
      <c r="E1508">
        <v>54.75</v>
      </c>
      <c r="F1508">
        <v>37.7552083333333</v>
      </c>
      <c r="G1508">
        <v>14.679513888888801</v>
      </c>
      <c r="H1508">
        <v>5.9701388888888802</v>
      </c>
      <c r="I1508">
        <v>0.78184027777777698</v>
      </c>
      <c r="J1508">
        <v>20.5520833333333</v>
      </c>
      <c r="K1508">
        <f t="shared" si="240"/>
        <v>23.900462962962834</v>
      </c>
      <c r="L1508">
        <f t="shared" si="241"/>
        <v>54.75</v>
      </c>
      <c r="M1508">
        <f t="shared" si="242"/>
        <v>47.194010416666622</v>
      </c>
      <c r="N1508">
        <f t="shared" si="243"/>
        <v>3.6698784722222002</v>
      </c>
      <c r="O1508">
        <f t="shared" si="244"/>
        <v>7.4626736111111001</v>
      </c>
      <c r="P1508">
        <f t="shared" si="245"/>
        <v>8.8845486111111018</v>
      </c>
      <c r="Q1508">
        <f t="shared" si="246"/>
        <v>19.029706790123427</v>
      </c>
      <c r="R1508">
        <f t="shared" si="247"/>
        <v>54.75</v>
      </c>
      <c r="S1508" t="str">
        <f t="shared" si="248"/>
        <v>Satisfactory</v>
      </c>
      <c r="T1508" t="str">
        <f t="shared" si="249"/>
        <v>PM10</v>
      </c>
      <c r="U1508">
        <v>26.876388888888801</v>
      </c>
      <c r="V1508">
        <v>40.9895833333333</v>
      </c>
    </row>
    <row r="1509" spans="1:22" x14ac:dyDescent="0.3">
      <c r="A1509" s="2" t="s">
        <v>15</v>
      </c>
      <c r="B1509">
        <v>560026</v>
      </c>
      <c r="C1509" s="4">
        <v>45056</v>
      </c>
      <c r="D1509">
        <v>17.068181818181799</v>
      </c>
      <c r="E1509">
        <v>65.568181818181799</v>
      </c>
      <c r="F1509">
        <v>36.868402777777703</v>
      </c>
      <c r="G1509">
        <v>15.393749999999899</v>
      </c>
      <c r="H1509">
        <v>5.9927083333333302</v>
      </c>
      <c r="I1509">
        <v>1.3377430555555501</v>
      </c>
      <c r="J1509">
        <v>20.619444444444401</v>
      </c>
      <c r="K1509">
        <f t="shared" si="240"/>
        <v>28.446969696969667</v>
      </c>
      <c r="L1509">
        <f t="shared" si="241"/>
        <v>65.568181818181799</v>
      </c>
      <c r="M1509">
        <f t="shared" si="242"/>
        <v>46.085503472222129</v>
      </c>
      <c r="N1509">
        <f t="shared" si="243"/>
        <v>3.8484374999999749</v>
      </c>
      <c r="O1509">
        <f t="shared" si="244"/>
        <v>7.4908854166666625</v>
      </c>
      <c r="P1509">
        <f t="shared" si="245"/>
        <v>15.201625631313069</v>
      </c>
      <c r="Q1509">
        <f t="shared" si="246"/>
        <v>19.09207818930037</v>
      </c>
      <c r="R1509">
        <f t="shared" si="247"/>
        <v>65.568181818181799</v>
      </c>
      <c r="S1509" t="str">
        <f t="shared" si="248"/>
        <v>Satisfactory</v>
      </c>
      <c r="T1509" t="str">
        <f t="shared" si="249"/>
        <v>PM10</v>
      </c>
      <c r="U1509">
        <v>29.032638888888801</v>
      </c>
      <c r="V1509">
        <v>36.8506944444444</v>
      </c>
    </row>
    <row r="1510" spans="1:22" x14ac:dyDescent="0.3">
      <c r="A1510" s="2" t="s">
        <v>15</v>
      </c>
      <c r="B1510">
        <v>560026</v>
      </c>
      <c r="C1510" s="4">
        <v>45057</v>
      </c>
      <c r="D1510">
        <v>17.0972222222222</v>
      </c>
      <c r="E1510">
        <v>65.5416666666666</v>
      </c>
      <c r="F1510">
        <v>35.218402777777698</v>
      </c>
      <c r="G1510">
        <v>17.7135416666666</v>
      </c>
      <c r="H1510">
        <v>5.97465277777777</v>
      </c>
      <c r="I1510">
        <v>0.83938405797101401</v>
      </c>
      <c r="J1510">
        <v>20.507986111111101</v>
      </c>
      <c r="K1510">
        <f t="shared" si="240"/>
        <v>28.495370370370331</v>
      </c>
      <c r="L1510">
        <f t="shared" si="241"/>
        <v>65.5416666666666</v>
      </c>
      <c r="M1510">
        <f t="shared" si="242"/>
        <v>44.023003472222122</v>
      </c>
      <c r="N1510">
        <f t="shared" si="243"/>
        <v>4.4283854166666501</v>
      </c>
      <c r="O1510">
        <f t="shared" si="244"/>
        <v>7.4683159722222126</v>
      </c>
      <c r="P1510">
        <f t="shared" si="245"/>
        <v>9.5384552042160689</v>
      </c>
      <c r="Q1510">
        <f t="shared" si="246"/>
        <v>18.988876028806576</v>
      </c>
      <c r="R1510">
        <f t="shared" si="247"/>
        <v>65.5416666666666</v>
      </c>
      <c r="S1510" t="str">
        <f t="shared" si="248"/>
        <v>Satisfactory</v>
      </c>
      <c r="T1510" t="str">
        <f t="shared" si="249"/>
        <v>PM10</v>
      </c>
      <c r="U1510">
        <v>28.0729166666666</v>
      </c>
      <c r="V1510">
        <v>34.6701388888888</v>
      </c>
    </row>
    <row r="1511" spans="1:22" x14ac:dyDescent="0.3">
      <c r="A1511" s="2" t="s">
        <v>15</v>
      </c>
      <c r="B1511">
        <v>560026</v>
      </c>
      <c r="C1511" s="4">
        <v>45058</v>
      </c>
      <c r="D1511">
        <v>19.1666666666666</v>
      </c>
      <c r="E1511">
        <v>73.53125</v>
      </c>
      <c r="F1511">
        <v>36.294791666666598</v>
      </c>
      <c r="G1511">
        <v>17.7604166666666</v>
      </c>
      <c r="H1511">
        <v>6.3857638888888797</v>
      </c>
      <c r="I1511">
        <v>0.90458333333333296</v>
      </c>
      <c r="J1511">
        <v>20.500694444444399</v>
      </c>
      <c r="K1511">
        <f t="shared" si="240"/>
        <v>31.944444444444336</v>
      </c>
      <c r="L1511">
        <f t="shared" si="241"/>
        <v>73.53125</v>
      </c>
      <c r="M1511">
        <f t="shared" si="242"/>
        <v>45.368489583333243</v>
      </c>
      <c r="N1511">
        <f t="shared" si="243"/>
        <v>4.4401041666666501</v>
      </c>
      <c r="O1511">
        <f t="shared" si="244"/>
        <v>7.9822048611111001</v>
      </c>
      <c r="P1511">
        <f t="shared" si="245"/>
        <v>10.279356060606055</v>
      </c>
      <c r="Q1511">
        <f t="shared" si="246"/>
        <v>18.982124485596664</v>
      </c>
      <c r="R1511">
        <f t="shared" si="247"/>
        <v>73.53125</v>
      </c>
      <c r="S1511" t="str">
        <f t="shared" si="248"/>
        <v>Satisfactory</v>
      </c>
      <c r="T1511" t="str">
        <f t="shared" si="249"/>
        <v>PM10</v>
      </c>
      <c r="U1511">
        <v>26.892708333333299</v>
      </c>
      <c r="V1511">
        <v>40.7361111111111</v>
      </c>
    </row>
    <row r="1512" spans="1:22" x14ac:dyDescent="0.3">
      <c r="A1512" s="2" t="s">
        <v>15</v>
      </c>
      <c r="B1512">
        <v>560026</v>
      </c>
      <c r="C1512" s="4">
        <v>45059</v>
      </c>
      <c r="D1512">
        <v>16.1388888888888</v>
      </c>
      <c r="E1512">
        <v>61.6284722222222</v>
      </c>
      <c r="F1512">
        <v>29.091304347826</v>
      </c>
      <c r="G1512">
        <v>15.960869565217299</v>
      </c>
      <c r="H1512">
        <v>5.5163043478260798</v>
      </c>
      <c r="I1512">
        <v>0.69170289855072398</v>
      </c>
      <c r="J1512">
        <v>20.480434782608601</v>
      </c>
      <c r="K1512">
        <f t="shared" si="240"/>
        <v>26.898148148148</v>
      </c>
      <c r="L1512">
        <f t="shared" si="241"/>
        <v>61.6284722222222</v>
      </c>
      <c r="M1512">
        <f t="shared" si="242"/>
        <v>36.364130434782496</v>
      </c>
      <c r="N1512">
        <f t="shared" si="243"/>
        <v>3.9902173913043248</v>
      </c>
      <c r="O1512">
        <f t="shared" si="244"/>
        <v>6.8953804347825995</v>
      </c>
      <c r="P1512">
        <f t="shared" si="245"/>
        <v>7.8602602108036814</v>
      </c>
      <c r="Q1512">
        <f t="shared" si="246"/>
        <v>18.963365539452408</v>
      </c>
      <c r="R1512">
        <f t="shared" si="247"/>
        <v>61.6284722222222</v>
      </c>
      <c r="S1512" t="str">
        <f t="shared" si="248"/>
        <v>Satisfactory</v>
      </c>
      <c r="T1512" t="str">
        <f t="shared" si="249"/>
        <v>PM10</v>
      </c>
      <c r="U1512">
        <v>26.752777777777698</v>
      </c>
      <c r="V1512">
        <v>36.347826086956502</v>
      </c>
    </row>
    <row r="1513" spans="1:22" x14ac:dyDescent="0.3">
      <c r="A1513" s="2" t="s">
        <v>15</v>
      </c>
      <c r="B1513">
        <v>560026</v>
      </c>
      <c r="C1513" s="4">
        <v>45060</v>
      </c>
      <c r="D1513">
        <v>15.7673611111111</v>
      </c>
      <c r="E1513">
        <v>60.8819444444444</v>
      </c>
      <c r="F1513">
        <v>33.2604166666666</v>
      </c>
      <c r="G1513">
        <v>15.671875</v>
      </c>
      <c r="H1513">
        <v>5.859375</v>
      </c>
      <c r="I1513">
        <v>0.900590277777777</v>
      </c>
      <c r="J1513">
        <v>20.421875</v>
      </c>
      <c r="K1513">
        <f t="shared" si="240"/>
        <v>26.278935185185166</v>
      </c>
      <c r="L1513">
        <f t="shared" si="241"/>
        <v>60.8819444444444</v>
      </c>
      <c r="M1513">
        <f t="shared" si="242"/>
        <v>41.57552083333325</v>
      </c>
      <c r="N1513">
        <f t="shared" si="243"/>
        <v>3.91796875</v>
      </c>
      <c r="O1513">
        <f t="shared" si="244"/>
        <v>7.32421875</v>
      </c>
      <c r="P1513">
        <f t="shared" si="245"/>
        <v>10.23398042929292</v>
      </c>
      <c r="Q1513">
        <f t="shared" si="246"/>
        <v>18.909143518518519</v>
      </c>
      <c r="R1513">
        <f t="shared" si="247"/>
        <v>60.8819444444444</v>
      </c>
      <c r="S1513" t="str">
        <f t="shared" si="248"/>
        <v>Satisfactory</v>
      </c>
      <c r="T1513" t="str">
        <f t="shared" si="249"/>
        <v>PM10</v>
      </c>
      <c r="U1513">
        <v>27.789583333333301</v>
      </c>
      <c r="V1513">
        <v>39.8854166666666</v>
      </c>
    </row>
    <row r="1514" spans="1:22" x14ac:dyDescent="0.3">
      <c r="A1514" s="2" t="s">
        <v>15</v>
      </c>
      <c r="B1514">
        <v>560026</v>
      </c>
      <c r="C1514" s="4">
        <v>45061</v>
      </c>
      <c r="D1514">
        <v>19.9027777777777</v>
      </c>
      <c r="E1514">
        <v>76.4756944444444</v>
      </c>
      <c r="F1514">
        <v>37.332291666666599</v>
      </c>
      <c r="G1514">
        <v>15.5260416666666</v>
      </c>
      <c r="H1514">
        <v>6.0329861111111098</v>
      </c>
      <c r="I1514">
        <v>1.0764930555555501</v>
      </c>
      <c r="J1514">
        <v>20.399999999999999</v>
      </c>
      <c r="K1514">
        <f t="shared" si="240"/>
        <v>33.17129629629617</v>
      </c>
      <c r="L1514">
        <f t="shared" si="241"/>
        <v>76.4756944444444</v>
      </c>
      <c r="M1514">
        <f t="shared" si="242"/>
        <v>46.665364583333243</v>
      </c>
      <c r="N1514">
        <f t="shared" si="243"/>
        <v>3.8815104166666505</v>
      </c>
      <c r="O1514">
        <f t="shared" si="244"/>
        <v>7.5412326388888875</v>
      </c>
      <c r="P1514">
        <f t="shared" si="245"/>
        <v>12.232875631313069</v>
      </c>
      <c r="Q1514">
        <f t="shared" si="246"/>
        <v>18.888888888888889</v>
      </c>
      <c r="R1514">
        <f t="shared" si="247"/>
        <v>76.4756944444444</v>
      </c>
      <c r="S1514" t="str">
        <f t="shared" si="248"/>
        <v>Satisfactory</v>
      </c>
      <c r="T1514" t="str">
        <f t="shared" si="249"/>
        <v>PM10</v>
      </c>
      <c r="U1514">
        <v>28.8732638888888</v>
      </c>
      <c r="V1514">
        <v>34.53125</v>
      </c>
    </row>
    <row r="1515" spans="1:22" x14ac:dyDescent="0.3">
      <c r="A1515" s="2" t="s">
        <v>15</v>
      </c>
      <c r="B1515">
        <v>560026</v>
      </c>
      <c r="C1515" s="4">
        <v>45062</v>
      </c>
      <c r="D1515">
        <v>21.3472222222222</v>
      </c>
      <c r="E1515">
        <v>81.9305555555555</v>
      </c>
      <c r="F1515">
        <v>41.1197916666666</v>
      </c>
      <c r="G1515">
        <v>17.164583333333301</v>
      </c>
      <c r="H1515">
        <v>6.7482638888888804</v>
      </c>
      <c r="I1515">
        <v>1.05177083333333</v>
      </c>
      <c r="J1515">
        <v>20.383333333333301</v>
      </c>
      <c r="K1515">
        <f t="shared" si="240"/>
        <v>35.578703703703667</v>
      </c>
      <c r="L1515">
        <f t="shared" si="241"/>
        <v>81.9305555555555</v>
      </c>
      <c r="M1515">
        <f t="shared" si="242"/>
        <v>51.39973958333325</v>
      </c>
      <c r="N1515">
        <f t="shared" si="243"/>
        <v>4.2911458333333252</v>
      </c>
      <c r="O1515">
        <f t="shared" si="244"/>
        <v>8.4353298611111001</v>
      </c>
      <c r="P1515">
        <f t="shared" si="245"/>
        <v>11.95194128787875</v>
      </c>
      <c r="Q1515">
        <f t="shared" si="246"/>
        <v>18.873456790123427</v>
      </c>
      <c r="R1515">
        <f t="shared" si="247"/>
        <v>81.9305555555555</v>
      </c>
      <c r="S1515" t="str">
        <f t="shared" si="248"/>
        <v>Satisfactory</v>
      </c>
      <c r="T1515" t="str">
        <f t="shared" si="249"/>
        <v>PM10</v>
      </c>
      <c r="U1515">
        <v>29.6791666666666</v>
      </c>
      <c r="V1515">
        <v>34.0208333333333</v>
      </c>
    </row>
    <row r="1516" spans="1:22" x14ac:dyDescent="0.3">
      <c r="A1516" s="2" t="s">
        <v>15</v>
      </c>
      <c r="B1516">
        <v>560026</v>
      </c>
      <c r="C1516" s="4">
        <v>45063</v>
      </c>
      <c r="D1516">
        <v>26.65625</v>
      </c>
      <c r="E1516">
        <v>102.256944444444</v>
      </c>
      <c r="F1516">
        <v>53.398958333333297</v>
      </c>
      <c r="G1516">
        <v>20.861458333333299</v>
      </c>
      <c r="H1516">
        <v>6.2565972222222204</v>
      </c>
      <c r="I1516">
        <v>1.1070833333333301</v>
      </c>
      <c r="J1516">
        <v>20.326041666666601</v>
      </c>
      <c r="K1516">
        <f t="shared" si="240"/>
        <v>44.427083333333336</v>
      </c>
      <c r="L1516">
        <f t="shared" si="241"/>
        <v>101.50462962962933</v>
      </c>
      <c r="M1516">
        <f t="shared" si="242"/>
        <v>66.748697916666629</v>
      </c>
      <c r="N1516">
        <f t="shared" si="243"/>
        <v>5.2153645833333249</v>
      </c>
      <c r="O1516">
        <f t="shared" si="244"/>
        <v>7.8207465277777759</v>
      </c>
      <c r="P1516">
        <f t="shared" si="245"/>
        <v>12.580492424242387</v>
      </c>
      <c r="Q1516">
        <f t="shared" si="246"/>
        <v>18.820408950617225</v>
      </c>
      <c r="R1516">
        <f t="shared" si="247"/>
        <v>101.50462962962933</v>
      </c>
      <c r="S1516" t="str">
        <f t="shared" si="248"/>
        <v>Moderate</v>
      </c>
      <c r="T1516" t="str">
        <f t="shared" si="249"/>
        <v>PM10</v>
      </c>
      <c r="U1516">
        <v>31.047916666666602</v>
      </c>
      <c r="V1516">
        <v>37.3645833333333</v>
      </c>
    </row>
    <row r="1517" spans="1:22" x14ac:dyDescent="0.3">
      <c r="A1517" s="2" t="s">
        <v>15</v>
      </c>
      <c r="B1517">
        <v>560026</v>
      </c>
      <c r="C1517" s="4">
        <v>45064</v>
      </c>
      <c r="D1517">
        <v>18.315217391304301</v>
      </c>
      <c r="E1517">
        <v>70.8007246376811</v>
      </c>
      <c r="F1517">
        <v>38.7135416666666</v>
      </c>
      <c r="G1517">
        <v>18.487500000000001</v>
      </c>
      <c r="H1517">
        <v>5.7249999999999996</v>
      </c>
      <c r="I1517">
        <v>0.87909722222222197</v>
      </c>
      <c r="J1517">
        <v>20.4963768115942</v>
      </c>
      <c r="K1517">
        <f t="shared" si="240"/>
        <v>30.525362318840504</v>
      </c>
      <c r="L1517">
        <f t="shared" si="241"/>
        <v>70.8007246376811</v>
      </c>
      <c r="M1517">
        <f t="shared" si="242"/>
        <v>48.39192708333325</v>
      </c>
      <c r="N1517">
        <f t="shared" si="243"/>
        <v>4.6218750000000002</v>
      </c>
      <c r="O1517">
        <f t="shared" si="244"/>
        <v>7.15625</v>
      </c>
      <c r="P1517">
        <f t="shared" si="245"/>
        <v>9.9897411616161591</v>
      </c>
      <c r="Q1517">
        <f t="shared" si="246"/>
        <v>18.978126677402038</v>
      </c>
      <c r="R1517">
        <f t="shared" si="247"/>
        <v>70.8007246376811</v>
      </c>
      <c r="S1517" t="str">
        <f t="shared" si="248"/>
        <v>Satisfactory</v>
      </c>
      <c r="T1517" t="str">
        <f t="shared" si="249"/>
        <v>PM10</v>
      </c>
      <c r="U1517">
        <v>30.251449275362301</v>
      </c>
      <c r="V1517">
        <v>42.0625</v>
      </c>
    </row>
    <row r="1518" spans="1:22" x14ac:dyDescent="0.3">
      <c r="A1518" s="2" t="s">
        <v>15</v>
      </c>
      <c r="B1518">
        <v>560026</v>
      </c>
      <c r="C1518" s="4">
        <v>45065</v>
      </c>
      <c r="D1518">
        <v>18.3333333333333</v>
      </c>
      <c r="E1518">
        <v>70.6666666666666</v>
      </c>
      <c r="F1518">
        <v>41.451041666666598</v>
      </c>
      <c r="G1518">
        <v>18.512499999999999</v>
      </c>
      <c r="H1518">
        <v>5.6517361111111102</v>
      </c>
      <c r="I1518">
        <v>0.727256944444444</v>
      </c>
      <c r="J1518">
        <v>20.466666666666601</v>
      </c>
      <c r="K1518">
        <f t="shared" si="240"/>
        <v>30.5555555555555</v>
      </c>
      <c r="L1518">
        <f t="shared" si="241"/>
        <v>70.6666666666666</v>
      </c>
      <c r="M1518">
        <f t="shared" si="242"/>
        <v>51.813802083333243</v>
      </c>
      <c r="N1518">
        <f t="shared" si="243"/>
        <v>4.6281249999999998</v>
      </c>
      <c r="O1518">
        <f t="shared" si="244"/>
        <v>7.0646701388888875</v>
      </c>
      <c r="P1518">
        <f t="shared" si="245"/>
        <v>8.2642834595959549</v>
      </c>
      <c r="Q1518">
        <f t="shared" si="246"/>
        <v>18.950617283950557</v>
      </c>
      <c r="R1518">
        <f t="shared" si="247"/>
        <v>70.6666666666666</v>
      </c>
      <c r="S1518" t="str">
        <f t="shared" si="248"/>
        <v>Satisfactory</v>
      </c>
      <c r="T1518" t="str">
        <f t="shared" si="249"/>
        <v>PM10</v>
      </c>
      <c r="U1518">
        <v>30.320138888888799</v>
      </c>
      <c r="V1518">
        <v>42.2083333333333</v>
      </c>
    </row>
    <row r="1519" spans="1:22" x14ac:dyDescent="0.3">
      <c r="A1519" s="2" t="s">
        <v>15</v>
      </c>
      <c r="B1519">
        <v>560026</v>
      </c>
      <c r="C1519" s="4">
        <v>45066</v>
      </c>
      <c r="D1519">
        <v>16.536231884057901</v>
      </c>
      <c r="E1519">
        <v>63.478260869565197</v>
      </c>
      <c r="F1519">
        <v>38.182638888888803</v>
      </c>
      <c r="G1519">
        <v>18.349652777777699</v>
      </c>
      <c r="H1519">
        <v>6.44895833333333</v>
      </c>
      <c r="I1519">
        <v>0.91607638888888798</v>
      </c>
      <c r="J1519">
        <v>20.493840579710099</v>
      </c>
      <c r="K1519">
        <f t="shared" si="240"/>
        <v>27.560386473429837</v>
      </c>
      <c r="L1519">
        <f t="shared" si="241"/>
        <v>63.478260869565197</v>
      </c>
      <c r="M1519">
        <f t="shared" si="242"/>
        <v>47.728298611111008</v>
      </c>
      <c r="N1519">
        <f t="shared" si="243"/>
        <v>4.5874131944444247</v>
      </c>
      <c r="O1519">
        <f t="shared" si="244"/>
        <v>8.0611979166666625</v>
      </c>
      <c r="P1519">
        <f t="shared" si="245"/>
        <v>10.409958964646455</v>
      </c>
      <c r="Q1519">
        <f t="shared" si="246"/>
        <v>18.975778314546389</v>
      </c>
      <c r="R1519">
        <f t="shared" si="247"/>
        <v>63.478260869565197</v>
      </c>
      <c r="S1519" t="str">
        <f t="shared" si="248"/>
        <v>Satisfactory</v>
      </c>
      <c r="T1519" t="str">
        <f t="shared" si="249"/>
        <v>PM10</v>
      </c>
      <c r="U1519">
        <v>27.8623188405797</v>
      </c>
      <c r="V1519">
        <v>42.9375</v>
      </c>
    </row>
    <row r="1520" spans="1:22" x14ac:dyDescent="0.3">
      <c r="A1520" s="2" t="s">
        <v>15</v>
      </c>
      <c r="B1520">
        <v>560026</v>
      </c>
      <c r="C1520" s="4">
        <v>45067</v>
      </c>
      <c r="D1520">
        <v>15.647727272727201</v>
      </c>
      <c r="E1520">
        <v>60.564393939393902</v>
      </c>
      <c r="F1520">
        <v>34.5885416666666</v>
      </c>
      <c r="G1520">
        <v>16.881597222222201</v>
      </c>
      <c r="H1520">
        <v>5.7685606060605998</v>
      </c>
      <c r="I1520">
        <v>0.54829365079365</v>
      </c>
      <c r="J1520">
        <v>21.845833333333299</v>
      </c>
      <c r="K1520">
        <f t="shared" si="240"/>
        <v>26.079545454545332</v>
      </c>
      <c r="L1520">
        <f t="shared" si="241"/>
        <v>60.564393939393902</v>
      </c>
      <c r="M1520">
        <f t="shared" si="242"/>
        <v>43.23567708333325</v>
      </c>
      <c r="N1520">
        <f t="shared" si="243"/>
        <v>4.2203993055555502</v>
      </c>
      <c r="O1520">
        <f t="shared" si="244"/>
        <v>7.2107007575757489</v>
      </c>
      <c r="P1520">
        <f t="shared" si="245"/>
        <v>6.2306096681096585</v>
      </c>
      <c r="Q1520">
        <f t="shared" si="246"/>
        <v>20.227623456790091</v>
      </c>
      <c r="R1520">
        <f t="shared" si="247"/>
        <v>60.564393939393902</v>
      </c>
      <c r="S1520" t="str">
        <f t="shared" si="248"/>
        <v>Satisfactory</v>
      </c>
      <c r="T1520" t="str">
        <f t="shared" si="249"/>
        <v>PM10</v>
      </c>
      <c r="U1520">
        <v>26.0670289855072</v>
      </c>
      <c r="V1520">
        <v>43.1909722222222</v>
      </c>
    </row>
    <row r="1521" spans="1:22" x14ac:dyDescent="0.3">
      <c r="A1521" s="2" t="s">
        <v>15</v>
      </c>
      <c r="B1521">
        <v>560026</v>
      </c>
      <c r="C1521" s="4">
        <v>45068</v>
      </c>
      <c r="D1521">
        <v>13.9270833333333</v>
      </c>
      <c r="E1521">
        <v>53.53125</v>
      </c>
      <c r="F1521">
        <v>42.681944444444397</v>
      </c>
      <c r="G1521">
        <v>16.620833333333302</v>
      </c>
      <c r="H1521">
        <v>6.04270833333333</v>
      </c>
      <c r="I1521">
        <v>0.73056818181818095</v>
      </c>
      <c r="J1521">
        <v>20.684722222222199</v>
      </c>
      <c r="K1521">
        <f t="shared" si="240"/>
        <v>23.2118055555555</v>
      </c>
      <c r="L1521">
        <f t="shared" si="241"/>
        <v>53.53125</v>
      </c>
      <c r="M1521">
        <f t="shared" si="242"/>
        <v>53.3524305555555</v>
      </c>
      <c r="N1521">
        <f t="shared" si="243"/>
        <v>4.1552083333333254</v>
      </c>
      <c r="O1521">
        <f t="shared" si="244"/>
        <v>7.5533854166666625</v>
      </c>
      <c r="P1521">
        <f t="shared" si="245"/>
        <v>8.301911157024783</v>
      </c>
      <c r="Q1521">
        <f t="shared" si="246"/>
        <v>19.152520576131664</v>
      </c>
      <c r="R1521">
        <f t="shared" si="247"/>
        <v>53.53125</v>
      </c>
      <c r="S1521" t="str">
        <f t="shared" si="248"/>
        <v>Satisfactory</v>
      </c>
      <c r="T1521" t="str">
        <f t="shared" si="249"/>
        <v>PM10</v>
      </c>
      <c r="U1521">
        <v>26.917708333333302</v>
      </c>
      <c r="V1521">
        <v>43.2743055555555</v>
      </c>
    </row>
    <row r="1522" spans="1:22" x14ac:dyDescent="0.3">
      <c r="A1522" s="2" t="s">
        <v>15</v>
      </c>
      <c r="B1522">
        <v>560026</v>
      </c>
      <c r="C1522" s="4">
        <v>45069</v>
      </c>
      <c r="D1522">
        <v>15.3090277777777</v>
      </c>
      <c r="E1522">
        <v>58.7708333333333</v>
      </c>
      <c r="F1522">
        <v>42.304861111111101</v>
      </c>
      <c r="G1522">
        <v>18.297222222222199</v>
      </c>
      <c r="H1522">
        <v>6.3399305555555499</v>
      </c>
      <c r="I1522">
        <v>0.69510416666666597</v>
      </c>
      <c r="J1522">
        <v>20.6166666666666</v>
      </c>
      <c r="K1522">
        <f t="shared" si="240"/>
        <v>25.51504629629617</v>
      </c>
      <c r="L1522">
        <f t="shared" si="241"/>
        <v>58.7708333333333</v>
      </c>
      <c r="M1522">
        <f t="shared" si="242"/>
        <v>52.881076388888879</v>
      </c>
      <c r="N1522">
        <f t="shared" si="243"/>
        <v>4.5743055555555499</v>
      </c>
      <c r="O1522">
        <f t="shared" si="244"/>
        <v>7.9249131944444375</v>
      </c>
      <c r="P1522">
        <f t="shared" si="245"/>
        <v>7.8989109848484764</v>
      </c>
      <c r="Q1522">
        <f t="shared" si="246"/>
        <v>19.089506172839446</v>
      </c>
      <c r="R1522">
        <f t="shared" si="247"/>
        <v>58.7708333333333</v>
      </c>
      <c r="S1522" t="str">
        <f t="shared" si="248"/>
        <v>Satisfactory</v>
      </c>
      <c r="T1522" t="str">
        <f t="shared" si="249"/>
        <v>PM10</v>
      </c>
      <c r="U1522">
        <v>27.684722222222199</v>
      </c>
      <c r="V1522">
        <v>42.9236111111111</v>
      </c>
    </row>
    <row r="1523" spans="1:22" x14ac:dyDescent="0.3">
      <c r="A1523" s="2" t="s">
        <v>15</v>
      </c>
      <c r="B1523">
        <v>560026</v>
      </c>
      <c r="C1523" s="4">
        <v>45070</v>
      </c>
      <c r="D1523">
        <v>15.6736111111111</v>
      </c>
      <c r="E1523">
        <v>60.125</v>
      </c>
      <c r="F1523">
        <v>39.728124999999999</v>
      </c>
      <c r="G1523">
        <v>16.2864583333333</v>
      </c>
      <c r="H1523">
        <v>6.3718750000000002</v>
      </c>
      <c r="I1523">
        <v>0.73298611111111101</v>
      </c>
      <c r="J1523">
        <v>20.412152777777699</v>
      </c>
      <c r="K1523">
        <f t="shared" si="240"/>
        <v>26.122685185185166</v>
      </c>
      <c r="L1523">
        <f t="shared" si="241"/>
        <v>60.125</v>
      </c>
      <c r="M1523">
        <f t="shared" si="242"/>
        <v>49.66015625</v>
      </c>
      <c r="N1523">
        <f t="shared" si="243"/>
        <v>4.071614583333325</v>
      </c>
      <c r="O1523">
        <f t="shared" si="244"/>
        <v>7.96484375</v>
      </c>
      <c r="P1523">
        <f t="shared" si="245"/>
        <v>8.3293876262626245</v>
      </c>
      <c r="Q1523">
        <f t="shared" si="246"/>
        <v>18.900141460905278</v>
      </c>
      <c r="R1523">
        <f t="shared" si="247"/>
        <v>60.125</v>
      </c>
      <c r="S1523" t="str">
        <f t="shared" si="248"/>
        <v>Satisfactory</v>
      </c>
      <c r="T1523" t="str">
        <f t="shared" si="249"/>
        <v>PM10</v>
      </c>
      <c r="U1523">
        <v>26.774999999999999</v>
      </c>
      <c r="V1523">
        <v>42.9444444444444</v>
      </c>
    </row>
    <row r="1524" spans="1:22" x14ac:dyDescent="0.3">
      <c r="A1524" s="2" t="s">
        <v>15</v>
      </c>
      <c r="B1524">
        <v>560026</v>
      </c>
      <c r="C1524" s="4">
        <v>45071</v>
      </c>
      <c r="D1524">
        <v>13.7881944444444</v>
      </c>
      <c r="E1524">
        <v>53.1041666666666</v>
      </c>
      <c r="F1524">
        <v>35.85</v>
      </c>
      <c r="G1524">
        <v>16.2572916666666</v>
      </c>
      <c r="H1524">
        <v>6.1215277777777697</v>
      </c>
      <c r="I1524">
        <v>0.65805555555555495</v>
      </c>
      <c r="J1524">
        <v>20.547916666666602</v>
      </c>
      <c r="K1524">
        <f t="shared" si="240"/>
        <v>22.980324074074002</v>
      </c>
      <c r="L1524">
        <f t="shared" si="241"/>
        <v>53.1041666666666</v>
      </c>
      <c r="M1524">
        <f t="shared" si="242"/>
        <v>44.8125</v>
      </c>
      <c r="N1524">
        <f t="shared" si="243"/>
        <v>4.0643229166666499</v>
      </c>
      <c r="O1524">
        <f t="shared" si="244"/>
        <v>7.6519097222222117</v>
      </c>
      <c r="P1524">
        <f t="shared" si="245"/>
        <v>7.4779040404040336</v>
      </c>
      <c r="Q1524">
        <f t="shared" si="246"/>
        <v>19.025848765432038</v>
      </c>
      <c r="R1524">
        <f t="shared" si="247"/>
        <v>53.1041666666666</v>
      </c>
      <c r="S1524" t="str">
        <f t="shared" si="248"/>
        <v>Satisfactory</v>
      </c>
      <c r="T1524" t="str">
        <f t="shared" si="249"/>
        <v>PM10</v>
      </c>
      <c r="U1524">
        <v>26.4444444444444</v>
      </c>
      <c r="V1524">
        <v>41.9479166666666</v>
      </c>
    </row>
    <row r="1525" spans="1:22" x14ac:dyDescent="0.3">
      <c r="A1525" s="2" t="s">
        <v>15</v>
      </c>
      <c r="B1525">
        <v>560026</v>
      </c>
      <c r="C1525" s="4">
        <v>45072</v>
      </c>
      <c r="D1525">
        <v>13.7777777777777</v>
      </c>
      <c r="E1525">
        <v>52.7847222222222</v>
      </c>
      <c r="F1525">
        <v>33.162152777777699</v>
      </c>
      <c r="G1525">
        <v>14.871874999999999</v>
      </c>
      <c r="H1525">
        <v>6.4534722222222198</v>
      </c>
      <c r="I1525">
        <v>0.61208333333333298</v>
      </c>
      <c r="J1525">
        <v>20.379513888888798</v>
      </c>
      <c r="K1525">
        <f t="shared" si="240"/>
        <v>22.962962962962834</v>
      </c>
      <c r="L1525">
        <f t="shared" si="241"/>
        <v>52.7847222222222</v>
      </c>
      <c r="M1525">
        <f t="shared" si="242"/>
        <v>41.452690972222129</v>
      </c>
      <c r="N1525">
        <f t="shared" si="243"/>
        <v>3.7179687499999998</v>
      </c>
      <c r="O1525">
        <f t="shared" si="244"/>
        <v>8.066840277777775</v>
      </c>
      <c r="P1525">
        <f t="shared" si="245"/>
        <v>6.9554924242424203</v>
      </c>
      <c r="Q1525">
        <f t="shared" si="246"/>
        <v>18.869920267489629</v>
      </c>
      <c r="R1525">
        <f t="shared" si="247"/>
        <v>52.7847222222222</v>
      </c>
      <c r="S1525" t="str">
        <f t="shared" si="248"/>
        <v>Satisfactory</v>
      </c>
      <c r="T1525" t="str">
        <f t="shared" si="249"/>
        <v>PM10</v>
      </c>
      <c r="U1525">
        <v>27.373611111111099</v>
      </c>
      <c r="V1525">
        <v>42.1909722222222</v>
      </c>
    </row>
    <row r="1526" spans="1:22" x14ac:dyDescent="0.3">
      <c r="A1526" s="2" t="s">
        <v>15</v>
      </c>
      <c r="B1526">
        <v>560026</v>
      </c>
      <c r="C1526" s="4">
        <v>45073</v>
      </c>
      <c r="D1526">
        <v>15.8368055555555</v>
      </c>
      <c r="E1526">
        <v>61.0590277777777</v>
      </c>
      <c r="F1526">
        <v>36.040624999999999</v>
      </c>
      <c r="G1526">
        <v>17.3402777777777</v>
      </c>
      <c r="H1526">
        <v>6.3975694444444402</v>
      </c>
      <c r="I1526">
        <v>0.747847222222222</v>
      </c>
      <c r="J1526">
        <v>20.3944444444444</v>
      </c>
      <c r="K1526">
        <f t="shared" si="240"/>
        <v>26.394675925925831</v>
      </c>
      <c r="L1526">
        <f t="shared" si="241"/>
        <v>61.0590277777777</v>
      </c>
      <c r="M1526">
        <f t="shared" si="242"/>
        <v>45.05078125</v>
      </c>
      <c r="N1526">
        <f t="shared" si="243"/>
        <v>4.3350694444444251</v>
      </c>
      <c r="O1526">
        <f t="shared" si="244"/>
        <v>7.99696180555555</v>
      </c>
      <c r="P1526">
        <f t="shared" si="245"/>
        <v>8.4982638888888857</v>
      </c>
      <c r="Q1526">
        <f t="shared" si="246"/>
        <v>18.883744855967038</v>
      </c>
      <c r="R1526">
        <f t="shared" si="247"/>
        <v>61.0590277777777</v>
      </c>
      <c r="S1526" t="str">
        <f t="shared" si="248"/>
        <v>Satisfactory</v>
      </c>
      <c r="T1526" t="str">
        <f t="shared" si="249"/>
        <v>PM10</v>
      </c>
      <c r="U1526">
        <v>27.9201388888888</v>
      </c>
      <c r="V1526">
        <v>42.3958333333333</v>
      </c>
    </row>
    <row r="1527" spans="1:22" x14ac:dyDescent="0.3">
      <c r="A1527" s="2" t="s">
        <v>15</v>
      </c>
      <c r="B1527">
        <v>560026</v>
      </c>
      <c r="C1527" s="4">
        <v>45074</v>
      </c>
      <c r="D1527">
        <v>13.7430555555555</v>
      </c>
      <c r="E1527">
        <v>52.6736111111111</v>
      </c>
      <c r="F1527">
        <v>30.540624999999999</v>
      </c>
      <c r="G1527">
        <v>15.865972222222201</v>
      </c>
      <c r="H1527">
        <v>5.96521739130434</v>
      </c>
      <c r="I1527">
        <v>0.55380434782608701</v>
      </c>
      <c r="J1527">
        <v>20.368749999999999</v>
      </c>
      <c r="K1527">
        <f t="shared" si="240"/>
        <v>22.905092592592499</v>
      </c>
      <c r="L1527">
        <f t="shared" si="241"/>
        <v>52.6736111111111</v>
      </c>
      <c r="M1527">
        <f t="shared" si="242"/>
        <v>38.17578125</v>
      </c>
      <c r="N1527">
        <f t="shared" si="243"/>
        <v>3.9664930555555502</v>
      </c>
      <c r="O1527">
        <f t="shared" si="244"/>
        <v>7.4565217391304248</v>
      </c>
      <c r="P1527">
        <f t="shared" si="245"/>
        <v>6.2932312252964433</v>
      </c>
      <c r="Q1527">
        <f t="shared" si="246"/>
        <v>18.859953703703702</v>
      </c>
      <c r="R1527">
        <f t="shared" si="247"/>
        <v>52.6736111111111</v>
      </c>
      <c r="S1527" t="str">
        <f t="shared" si="248"/>
        <v>Satisfactory</v>
      </c>
      <c r="T1527" t="str">
        <f t="shared" si="249"/>
        <v>PM10</v>
      </c>
      <c r="U1527">
        <v>28.861458333333299</v>
      </c>
      <c r="V1527">
        <v>42.3576388888888</v>
      </c>
    </row>
    <row r="1528" spans="1:22" x14ac:dyDescent="0.3">
      <c r="A1528" s="2" t="s">
        <v>15</v>
      </c>
      <c r="B1528">
        <v>560026</v>
      </c>
      <c r="C1528" s="4">
        <v>45075</v>
      </c>
      <c r="D1528">
        <v>20.4756944444444</v>
      </c>
      <c r="E1528">
        <v>78.8541666666666</v>
      </c>
      <c r="F1528">
        <v>47.3802083333333</v>
      </c>
      <c r="G1528">
        <v>16.517708333333299</v>
      </c>
      <c r="H1528">
        <v>5.7121527777777699</v>
      </c>
      <c r="I1528">
        <v>1.13996527777777</v>
      </c>
      <c r="J1528">
        <v>20.321874999999999</v>
      </c>
      <c r="K1528">
        <f t="shared" si="240"/>
        <v>34.126157407407334</v>
      </c>
      <c r="L1528">
        <f t="shared" si="241"/>
        <v>78.8541666666666</v>
      </c>
      <c r="M1528">
        <f t="shared" si="242"/>
        <v>59.225260416666629</v>
      </c>
      <c r="N1528">
        <f t="shared" si="243"/>
        <v>4.1294270833333249</v>
      </c>
      <c r="O1528">
        <f t="shared" si="244"/>
        <v>7.1401909722222126</v>
      </c>
      <c r="P1528">
        <f t="shared" si="245"/>
        <v>12.954150883838295</v>
      </c>
      <c r="Q1528">
        <f t="shared" si="246"/>
        <v>18.816550925925924</v>
      </c>
      <c r="R1528">
        <f t="shared" si="247"/>
        <v>78.8541666666666</v>
      </c>
      <c r="S1528" t="str">
        <f t="shared" si="248"/>
        <v>Satisfactory</v>
      </c>
      <c r="T1528" t="str">
        <f t="shared" si="249"/>
        <v>PM10</v>
      </c>
      <c r="U1528">
        <v>27.783333333333299</v>
      </c>
      <c r="V1528">
        <v>42.71875</v>
      </c>
    </row>
    <row r="1529" spans="1:22" x14ac:dyDescent="0.3">
      <c r="A1529" s="2" t="s">
        <v>15</v>
      </c>
      <c r="B1529">
        <v>560026</v>
      </c>
      <c r="C1529" s="4">
        <v>45076</v>
      </c>
      <c r="D1529">
        <v>16.1111111111111</v>
      </c>
      <c r="E1529">
        <v>61.9444444444444</v>
      </c>
      <c r="F1529">
        <v>44.251388888888798</v>
      </c>
      <c r="G1529">
        <v>16.279166666666601</v>
      </c>
      <c r="H1529">
        <v>6.1715277777777704</v>
      </c>
      <c r="I1529">
        <v>1.095</v>
      </c>
      <c r="J1529">
        <v>20.092708333333299</v>
      </c>
      <c r="K1529">
        <f t="shared" si="240"/>
        <v>26.851851851851833</v>
      </c>
      <c r="L1529">
        <f t="shared" si="241"/>
        <v>61.9444444444444</v>
      </c>
      <c r="M1529">
        <f t="shared" si="242"/>
        <v>55.314236111111001</v>
      </c>
      <c r="N1529">
        <f t="shared" si="243"/>
        <v>4.0697916666666503</v>
      </c>
      <c r="O1529">
        <f t="shared" si="244"/>
        <v>7.7144097222222126</v>
      </c>
      <c r="P1529">
        <f t="shared" si="245"/>
        <v>12.443181818181818</v>
      </c>
      <c r="Q1529">
        <f t="shared" si="246"/>
        <v>18.604359567901202</v>
      </c>
      <c r="R1529">
        <f t="shared" si="247"/>
        <v>61.9444444444444</v>
      </c>
      <c r="S1529" t="str">
        <f t="shared" si="248"/>
        <v>Satisfactory</v>
      </c>
      <c r="T1529" t="str">
        <f t="shared" si="249"/>
        <v>PM10</v>
      </c>
      <c r="U1529">
        <v>25.705555555555499</v>
      </c>
      <c r="V1529">
        <v>43.4201388888888</v>
      </c>
    </row>
    <row r="1530" spans="1:22" x14ac:dyDescent="0.3">
      <c r="A1530" s="2" t="s">
        <v>15</v>
      </c>
      <c r="B1530">
        <v>560026</v>
      </c>
      <c r="C1530" s="4">
        <v>45077</v>
      </c>
      <c r="D1530">
        <v>13.2222222222222</v>
      </c>
      <c r="E1530">
        <v>50.6041666666666</v>
      </c>
      <c r="F1530">
        <v>42.361458333333303</v>
      </c>
      <c r="G1530">
        <v>14.7986111111111</v>
      </c>
      <c r="H1530">
        <v>6.0461805555555497</v>
      </c>
      <c r="I1530">
        <v>0.79152777777777705</v>
      </c>
      <c r="J1530">
        <v>19.442361111111101</v>
      </c>
      <c r="K1530">
        <f t="shared" si="240"/>
        <v>22.037037037036999</v>
      </c>
      <c r="L1530">
        <f t="shared" si="241"/>
        <v>50.6041666666666</v>
      </c>
      <c r="M1530">
        <f t="shared" si="242"/>
        <v>52.951822916666629</v>
      </c>
      <c r="N1530">
        <f t="shared" si="243"/>
        <v>3.699652777777775</v>
      </c>
      <c r="O1530">
        <f t="shared" si="244"/>
        <v>7.5577256944444375</v>
      </c>
      <c r="P1530">
        <f t="shared" si="245"/>
        <v>8.9946338383838302</v>
      </c>
      <c r="Q1530">
        <f t="shared" si="246"/>
        <v>18.002186213991759</v>
      </c>
      <c r="R1530">
        <f t="shared" si="247"/>
        <v>52.951822916666629</v>
      </c>
      <c r="S1530" t="str">
        <f t="shared" si="248"/>
        <v>Satisfactory</v>
      </c>
      <c r="T1530" t="str">
        <f t="shared" si="249"/>
        <v>NO2</v>
      </c>
      <c r="U1530">
        <v>26.875694444444399</v>
      </c>
      <c r="V1530">
        <v>37.1111111111111</v>
      </c>
    </row>
    <row r="1531" spans="1:22" x14ac:dyDescent="0.3">
      <c r="A1531" s="2" t="s">
        <v>15</v>
      </c>
      <c r="B1531">
        <v>560026</v>
      </c>
      <c r="C1531" s="4">
        <v>45078</v>
      </c>
      <c r="D1531">
        <v>15.1909722222222</v>
      </c>
      <c r="E1531">
        <v>58.4861111111111</v>
      </c>
      <c r="F1531">
        <v>31.807986111111099</v>
      </c>
      <c r="G1531">
        <v>15.2142361111111</v>
      </c>
      <c r="H1531">
        <v>6.21597222222222</v>
      </c>
      <c r="I1531">
        <v>0.58208333333333295</v>
      </c>
      <c r="J1531">
        <v>20.1927083333333</v>
      </c>
      <c r="K1531">
        <f t="shared" si="240"/>
        <v>25.318287037036999</v>
      </c>
      <c r="L1531">
        <f t="shared" si="241"/>
        <v>58.4861111111111</v>
      </c>
      <c r="M1531">
        <f t="shared" si="242"/>
        <v>39.759982638888872</v>
      </c>
      <c r="N1531">
        <f t="shared" si="243"/>
        <v>3.8035590277777747</v>
      </c>
      <c r="O1531">
        <f t="shared" si="244"/>
        <v>7.7699652777777741</v>
      </c>
      <c r="P1531">
        <f t="shared" si="245"/>
        <v>6.6145833333333286</v>
      </c>
      <c r="Q1531">
        <f t="shared" si="246"/>
        <v>18.696952160493797</v>
      </c>
      <c r="R1531">
        <f t="shared" si="247"/>
        <v>58.4861111111111</v>
      </c>
      <c r="S1531" t="str">
        <f t="shared" si="248"/>
        <v>Satisfactory</v>
      </c>
      <c r="T1531" t="str">
        <f t="shared" si="249"/>
        <v>PM10</v>
      </c>
      <c r="U1531">
        <v>26.7920138888888</v>
      </c>
      <c r="V1531">
        <v>34.8854166666666</v>
      </c>
    </row>
    <row r="1532" spans="1:22" x14ac:dyDescent="0.3">
      <c r="A1532" s="2" t="s">
        <v>15</v>
      </c>
      <c r="B1532">
        <v>560026</v>
      </c>
      <c r="C1532" s="4">
        <v>45079</v>
      </c>
      <c r="D1532">
        <v>26.0243055555555</v>
      </c>
      <c r="E1532">
        <v>100.03125</v>
      </c>
      <c r="F1532">
        <v>40.8697916666666</v>
      </c>
      <c r="G1532">
        <v>14.921875</v>
      </c>
      <c r="H1532">
        <v>5.8416666666666597</v>
      </c>
      <c r="I1532">
        <v>0.71795138888888799</v>
      </c>
      <c r="J1532">
        <v>20.456250000000001</v>
      </c>
      <c r="K1532">
        <f t="shared" si="240"/>
        <v>43.373842592592503</v>
      </c>
      <c r="L1532">
        <f t="shared" si="241"/>
        <v>100.02083333333333</v>
      </c>
      <c r="M1532">
        <f t="shared" si="242"/>
        <v>51.08723958333325</v>
      </c>
      <c r="N1532">
        <f t="shared" si="243"/>
        <v>3.73046875</v>
      </c>
      <c r="O1532">
        <f t="shared" si="244"/>
        <v>7.3020833333333242</v>
      </c>
      <c r="P1532">
        <f t="shared" si="245"/>
        <v>8.1585385101009997</v>
      </c>
      <c r="Q1532">
        <f t="shared" si="246"/>
        <v>18.940972222222221</v>
      </c>
      <c r="R1532">
        <f t="shared" si="247"/>
        <v>100.02083333333333</v>
      </c>
      <c r="S1532" t="str">
        <f t="shared" si="248"/>
        <v>Moderate</v>
      </c>
      <c r="T1532" t="str">
        <f t="shared" si="249"/>
        <v>PM10</v>
      </c>
      <c r="U1532">
        <v>27.559374999999999</v>
      </c>
      <c r="V1532">
        <v>42.4479166666666</v>
      </c>
    </row>
    <row r="1533" spans="1:22" x14ac:dyDescent="0.3">
      <c r="A1533" s="2" t="s">
        <v>15</v>
      </c>
      <c r="B1533">
        <v>560026</v>
      </c>
      <c r="C1533" s="4">
        <v>45080</v>
      </c>
      <c r="D1533">
        <v>22.2534722222222</v>
      </c>
      <c r="E1533">
        <v>85.6979166666666</v>
      </c>
      <c r="F1533">
        <v>42.431249999999999</v>
      </c>
      <c r="G1533">
        <v>17.018750000000001</v>
      </c>
      <c r="H1533">
        <v>5.9989583333333298</v>
      </c>
      <c r="I1533">
        <v>0.83875</v>
      </c>
      <c r="J1533">
        <v>19.271874999999898</v>
      </c>
      <c r="K1533">
        <f t="shared" si="240"/>
        <v>37.089120370370331</v>
      </c>
      <c r="L1533">
        <f t="shared" si="241"/>
        <v>85.6979166666666</v>
      </c>
      <c r="M1533">
        <f t="shared" si="242"/>
        <v>53.0390625</v>
      </c>
      <c r="N1533">
        <f t="shared" si="243"/>
        <v>4.2546875000000002</v>
      </c>
      <c r="O1533">
        <f t="shared" si="244"/>
        <v>7.4986979166666625</v>
      </c>
      <c r="P1533">
        <f t="shared" si="245"/>
        <v>9.53125</v>
      </c>
      <c r="Q1533">
        <f t="shared" si="246"/>
        <v>17.84432870370361</v>
      </c>
      <c r="R1533">
        <f t="shared" si="247"/>
        <v>85.6979166666666</v>
      </c>
      <c r="S1533" t="str">
        <f t="shared" si="248"/>
        <v>Satisfactory</v>
      </c>
      <c r="T1533" t="str">
        <f t="shared" si="249"/>
        <v>PM10</v>
      </c>
      <c r="U1533">
        <v>29.044097222222199</v>
      </c>
      <c r="V1533">
        <v>42.21875</v>
      </c>
    </row>
    <row r="1534" spans="1:22" x14ac:dyDescent="0.3">
      <c r="A1534" s="2" t="s">
        <v>15</v>
      </c>
      <c r="B1534">
        <v>560026</v>
      </c>
      <c r="C1534" s="4">
        <v>45082</v>
      </c>
      <c r="D1534">
        <v>15.2743055555555</v>
      </c>
      <c r="E1534">
        <v>58.9027777777777</v>
      </c>
      <c r="F1534">
        <v>6.9097222222222197</v>
      </c>
      <c r="G1534">
        <v>1.9058333333333299</v>
      </c>
      <c r="H1534">
        <v>5.7121527777777699</v>
      </c>
      <c r="I1534">
        <v>0.62282608695652097</v>
      </c>
      <c r="J1534">
        <v>19.9739583333333</v>
      </c>
      <c r="K1534">
        <f t="shared" ref="K1534:K1596" si="250">IF(ISTEXT(D1534),0,IF(D1534&lt;=30,D1534*50/30,IF(AND(D1534&gt;30,D1534&lt;=60),50+(D1534-30)*50/30,IF(AND(D1534&gt;60,D1534&lt;=90),100+(D1534-60)*100/30,IF(AND(D1534&gt;90,D1534&lt;=120),200+(D1534-90)*(100/30),IF(AND(D1534&gt;120,D1534&lt;=250),300+(D1534-120)*(100/130),IF(D1534&gt;250,400+(D1534-250)*(100/130))))))))</f>
        <v>25.457175925925831</v>
      </c>
      <c r="L1534">
        <f t="shared" ref="L1534:L1596" si="251">IF(ISTEXT(E1534),0,IF(E1534&lt;=50,E1534,IF(AND(E1534&gt;50,E1534&lt;=100),E1534,IF(AND(E1534&gt;100,E1534&lt;=250),100+(E1534-100)*100/150,IF(AND(E1534&gt;250,E1534&lt;=350),200+(E1534-250),IF(AND(E1534&gt;350,E1534&lt;=430),300+(E1534-350)*(100/80),IF(E1534&gt;430,400+(E1534-430)*(100/80))))))))</f>
        <v>58.9027777777777</v>
      </c>
      <c r="M1534">
        <f t="shared" ref="M1534:M1596" si="252">IF(ISTEXT(F1534),0,IF(F1534&lt;=40,F1534*50/40,IF(AND(F1534&gt;40,F1534&lt;=80),50+(F1534-40)*50/40,IF(AND(F1534&gt;80,F1534&lt;=180),100+(F1534-80)*100/100,IF(AND(F1534&gt;180,F1534&lt;=280),200+(F1534-180)*(100/100),IF(AND(F1534&gt;280,F1534&lt;=400),300+(F1534-280)*(100/120),IF(F1534&gt;400,400+(F1534-400)*(100/120))))))))</f>
        <v>8.637152777777775</v>
      </c>
      <c r="N1534">
        <f t="shared" ref="N1534:N1596" si="253">IF(ISTEXT(G1534),0,IF(G1534&lt;=200,G1534*50/200,IF(AND(G1534&gt;200,G1534&lt;=400),50+(G1534-200)*50/200,IF(AND(G1534&gt;400,G1534&lt;=800),100+(G1534-400)*100/400,IF(AND(G1534&gt;800,G1534&lt;=1200),200+(G1534-800)*(100/400),IF(AND(G1534&gt;1200,G1534&lt;=1800),300+(G1534-1200)*(100/600),IF(G1534&gt;1800,400+(G1534-1800)*(100/600))))))))</f>
        <v>0.47645833333333248</v>
      </c>
      <c r="O1534">
        <f t="shared" ref="O1534:O1596" si="254">IF(ISTEXT(H1534),0,IF(H1534&lt;=40,H1534*50/40,IF(AND(H1534&gt;40,H1534&lt;=80),50+(H1534-40)*50/40,IF(AND(H1534&gt;80,H1534&lt;=380),100+(H1534-80)*100/300,IF(AND(H1534&gt;380,H1534&lt;=800),200+(H1534-380)*(100/420),IF(AND(H1534&gt;800,H1534&lt;=1600),300+(H1534-800)*(100/800),IF(H1534&gt;1600,400+(H1534-1600)*(100/800))))))))</f>
        <v>7.1401909722222126</v>
      </c>
      <c r="P1534">
        <f t="shared" ref="P1534:P1596" si="255">IF(I1534&lt;=4.4,(50-0)/(4.4-0)*(I1534-0)+0,
IF(I1534&lt;=9.4,(100-51)/(9.4-4.5)*(I1534-4.5)+51,
IF(I1534&lt;=12.4,(150-101)/(12.4-9.5)*(I1534-9.5)+101,
IF(I1534&lt;=15.4,(200-151)/(15.4-12.5)*(I1534-12.5)+151,
IF(I1534&lt;=30.4,(300-201)/(30.4-15.5)*(I1534-15.5)+201,
(500-301)/(50.4-30.5)*(I1534-30.5)+301)))))</f>
        <v>7.0775691699604657</v>
      </c>
      <c r="Q1534">
        <f t="shared" ref="Q1534:Q1596" si="256">IF(J1534&lt;=54,(50-0)/(54-0)*(J1534-0)+0,
IF(J1534&lt;=70,(100-51)/(70-55)*(J1534-55)+51,
IF(J1534&lt;=85,(150-101)/(85-71)*(J1534-71)+101,
IF(J1534&lt;=105,(200-151)/(105-86)*(J1534-86)+151,
IF(J1534&lt;=200,(300-201)/(200-106)*(J1534-106)+201,
(500-301)/(300-201)*(J1534-201)+301)))))</f>
        <v>18.4944058641975</v>
      </c>
      <c r="R1534">
        <f t="shared" ref="R1534:R1596" si="257">MAX(K1534:Q1534)</f>
        <v>58.9027777777777</v>
      </c>
      <c r="S1534" t="str">
        <f t="shared" ref="S1534:S1596" si="258">IF(R1534&lt;=50,"Good",
IF(R1534&lt;=100,"Satisfactory",
IF(R1534&lt;=200,"Moderate",
IF(R1534&lt;=300,"Poor",
IF(R1534&lt;=400,"Very Poor",
"Severe")))))</f>
        <v>Satisfactory</v>
      </c>
      <c r="T1534" t="str">
        <f t="shared" ref="T1534:T1596" si="259">IF(MAX(K1534:Q1534)=K1534,"PM2.5",
IF(MAX(K1534:Q1534)=L1534,"PM10",
IF(MAX(K1534:Q1534)=M1534,"NO2",
IF(MAX(K1534:Q1534)=N1534,"NH3",
IF(MAX(K1534:Q1534)=O1534,"SO2",
IF(MAX(K1534:Q1534)=P1534,"CO",
IF(MAX(K1534:Q1534)=Q1534,"OZONE","")))))))</f>
        <v>PM10</v>
      </c>
      <c r="U1534">
        <v>27.766666666666602</v>
      </c>
      <c r="V1534">
        <v>42.8645833333333</v>
      </c>
    </row>
    <row r="1535" spans="1:22" x14ac:dyDescent="0.3">
      <c r="A1535" s="2" t="s">
        <v>15</v>
      </c>
      <c r="B1535">
        <v>560026</v>
      </c>
      <c r="C1535" s="4">
        <v>45083</v>
      </c>
      <c r="D1535">
        <v>16.5543478260869</v>
      </c>
      <c r="E1535">
        <v>63.579710144927503</v>
      </c>
      <c r="F1535">
        <v>3.9493055555555499</v>
      </c>
      <c r="G1535">
        <v>1.95138888888888</v>
      </c>
      <c r="H1535">
        <v>6.2413194444444402</v>
      </c>
      <c r="I1535">
        <v>0.81027777777777699</v>
      </c>
      <c r="J1535">
        <v>19.503125000000001</v>
      </c>
      <c r="K1535">
        <f t="shared" si="250"/>
        <v>27.590579710144834</v>
      </c>
      <c r="L1535">
        <f t="shared" si="251"/>
        <v>63.579710144927503</v>
      </c>
      <c r="M1535">
        <f t="shared" si="252"/>
        <v>4.9366319444444375</v>
      </c>
      <c r="N1535">
        <f t="shared" si="253"/>
        <v>0.48784722222221999</v>
      </c>
      <c r="O1535">
        <f t="shared" si="254"/>
        <v>7.80164930555555</v>
      </c>
      <c r="P1535">
        <f t="shared" si="255"/>
        <v>9.2077020202020101</v>
      </c>
      <c r="Q1535">
        <f t="shared" si="256"/>
        <v>18.058449074074076</v>
      </c>
      <c r="R1535">
        <f t="shared" si="257"/>
        <v>63.579710144927503</v>
      </c>
      <c r="S1535" t="str">
        <f t="shared" si="258"/>
        <v>Satisfactory</v>
      </c>
      <c r="T1535" t="str">
        <f t="shared" si="259"/>
        <v>PM10</v>
      </c>
      <c r="U1535">
        <v>27.5833333333333</v>
      </c>
      <c r="V1535">
        <v>42.90625</v>
      </c>
    </row>
    <row r="1536" spans="1:22" x14ac:dyDescent="0.3">
      <c r="A1536" s="2" t="s">
        <v>15</v>
      </c>
      <c r="B1536">
        <v>560026</v>
      </c>
      <c r="C1536" s="4">
        <v>45084</v>
      </c>
      <c r="D1536">
        <v>12.802631578947301</v>
      </c>
      <c r="E1536">
        <v>49.008771929824498</v>
      </c>
      <c r="F1536">
        <v>3.9850694444444401</v>
      </c>
      <c r="G1536">
        <v>1.8902173913043401</v>
      </c>
      <c r="H1536">
        <v>6.2658730158730096</v>
      </c>
      <c r="I1536">
        <v>0.67083333333333295</v>
      </c>
      <c r="J1536">
        <v>21.340942028985499</v>
      </c>
      <c r="K1536">
        <f t="shared" si="250"/>
        <v>21.337719298245499</v>
      </c>
      <c r="L1536">
        <f t="shared" si="251"/>
        <v>49.008771929824498</v>
      </c>
      <c r="M1536">
        <f t="shared" si="252"/>
        <v>4.98133680555555</v>
      </c>
      <c r="N1536">
        <f t="shared" si="253"/>
        <v>0.47255434782608502</v>
      </c>
      <c r="O1536">
        <f t="shared" si="254"/>
        <v>7.8323412698412627</v>
      </c>
      <c r="P1536">
        <f t="shared" si="255"/>
        <v>7.6231060606060561</v>
      </c>
      <c r="Q1536">
        <f t="shared" si="256"/>
        <v>19.760131508319905</v>
      </c>
      <c r="R1536">
        <f t="shared" si="257"/>
        <v>49.008771929824498</v>
      </c>
      <c r="S1536" t="str">
        <f t="shared" si="258"/>
        <v>Good</v>
      </c>
      <c r="T1536" t="str">
        <f t="shared" si="259"/>
        <v>PM10</v>
      </c>
      <c r="U1536">
        <v>27.633695652173898</v>
      </c>
      <c r="V1536">
        <v>42.445652173912997</v>
      </c>
    </row>
    <row r="1537" spans="1:22" x14ac:dyDescent="0.3">
      <c r="A1537" s="2" t="s">
        <v>15</v>
      </c>
      <c r="B1537">
        <v>560026</v>
      </c>
      <c r="C1537" s="4">
        <v>45085</v>
      </c>
      <c r="D1537">
        <v>8.4734848484848406</v>
      </c>
      <c r="E1537">
        <v>32.537878787878697</v>
      </c>
      <c r="F1537">
        <v>3.8465909090908998</v>
      </c>
      <c r="G1537">
        <v>1.9856060606060599</v>
      </c>
      <c r="H1537">
        <v>6.0181818181818096</v>
      </c>
      <c r="I1537">
        <v>0.52324999999999999</v>
      </c>
      <c r="J1537">
        <v>20.160984848484802</v>
      </c>
      <c r="K1537">
        <f t="shared" si="250"/>
        <v>14.122474747474735</v>
      </c>
      <c r="L1537">
        <f t="shared" si="251"/>
        <v>32.537878787878697</v>
      </c>
      <c r="M1537">
        <f t="shared" si="252"/>
        <v>4.8082386363636243</v>
      </c>
      <c r="N1537">
        <f t="shared" si="253"/>
        <v>0.49640151515151504</v>
      </c>
      <c r="O1537">
        <f t="shared" si="254"/>
        <v>7.5227272727272618</v>
      </c>
      <c r="P1537">
        <f t="shared" si="255"/>
        <v>5.9460227272727266</v>
      </c>
      <c r="Q1537">
        <f t="shared" si="256"/>
        <v>18.667578563411855</v>
      </c>
      <c r="R1537">
        <f t="shared" si="257"/>
        <v>32.537878787878697</v>
      </c>
      <c r="S1537" t="str">
        <f t="shared" si="258"/>
        <v>Good</v>
      </c>
      <c r="T1537" t="str">
        <f t="shared" si="259"/>
        <v>PM10</v>
      </c>
      <c r="U1537">
        <v>27.864015151515101</v>
      </c>
      <c r="V1537">
        <v>42.613636363636303</v>
      </c>
    </row>
    <row r="1538" spans="1:22" x14ac:dyDescent="0.3">
      <c r="A1538" s="2" t="s">
        <v>15</v>
      </c>
      <c r="B1538">
        <v>560026</v>
      </c>
      <c r="C1538" s="4">
        <v>45086</v>
      </c>
      <c r="D1538">
        <v>8.6979166666666607</v>
      </c>
      <c r="E1538">
        <v>33.28125</v>
      </c>
      <c r="F1538">
        <v>3.8406250000000002</v>
      </c>
      <c r="G1538">
        <v>1.9484375</v>
      </c>
      <c r="H1538">
        <v>6.1765625000000002</v>
      </c>
      <c r="I1538">
        <v>0.40010416666666598</v>
      </c>
      <c r="J1538">
        <v>19.484375</v>
      </c>
      <c r="K1538">
        <f t="shared" si="250"/>
        <v>14.496527777777768</v>
      </c>
      <c r="L1538">
        <f t="shared" si="251"/>
        <v>33.28125</v>
      </c>
      <c r="M1538">
        <f t="shared" si="252"/>
        <v>4.80078125</v>
      </c>
      <c r="N1538">
        <f t="shared" si="253"/>
        <v>0.48710937500000001</v>
      </c>
      <c r="O1538">
        <f t="shared" si="254"/>
        <v>7.720703125</v>
      </c>
      <c r="P1538">
        <f t="shared" si="255"/>
        <v>4.5466382575757498</v>
      </c>
      <c r="Q1538">
        <f t="shared" si="256"/>
        <v>18.041087962962962</v>
      </c>
      <c r="R1538">
        <f t="shared" si="257"/>
        <v>33.28125</v>
      </c>
      <c r="S1538" t="str">
        <f t="shared" si="258"/>
        <v>Good</v>
      </c>
      <c r="T1538" t="str">
        <f t="shared" si="259"/>
        <v>PM10</v>
      </c>
      <c r="U1538">
        <v>28.8697916666666</v>
      </c>
      <c r="V1538">
        <v>42.359375</v>
      </c>
    </row>
    <row r="1539" spans="1:22" x14ac:dyDescent="0.3">
      <c r="A1539" s="2" t="s">
        <v>15</v>
      </c>
      <c r="B1539">
        <v>560026</v>
      </c>
      <c r="C1539" s="4">
        <v>45087</v>
      </c>
      <c r="D1539">
        <v>5.9202898550724603</v>
      </c>
      <c r="E1539">
        <v>22.786231884057901</v>
      </c>
      <c r="F1539">
        <v>3.85659722222222</v>
      </c>
      <c r="G1539">
        <v>1.9468749999999999</v>
      </c>
      <c r="H1539">
        <v>5.7555555555555502</v>
      </c>
      <c r="I1539">
        <v>0.43878787878787801</v>
      </c>
      <c r="J1539">
        <v>20.610416666666602</v>
      </c>
      <c r="K1539">
        <f t="shared" si="250"/>
        <v>9.8671497584541008</v>
      </c>
      <c r="L1539">
        <f t="shared" si="251"/>
        <v>22.786231884057901</v>
      </c>
      <c r="M1539">
        <f t="shared" si="252"/>
        <v>4.820746527777775</v>
      </c>
      <c r="N1539">
        <f t="shared" si="253"/>
        <v>0.48671874999999998</v>
      </c>
      <c r="O1539">
        <f t="shared" si="254"/>
        <v>7.1944444444444375</v>
      </c>
      <c r="P1539">
        <f t="shared" si="255"/>
        <v>4.9862258953167951</v>
      </c>
      <c r="Q1539">
        <f t="shared" si="256"/>
        <v>19.083719135802408</v>
      </c>
      <c r="R1539">
        <f t="shared" si="257"/>
        <v>22.786231884057901</v>
      </c>
      <c r="S1539" t="str">
        <f t="shared" si="258"/>
        <v>Good</v>
      </c>
      <c r="T1539" t="str">
        <f t="shared" si="259"/>
        <v>PM10</v>
      </c>
      <c r="U1539">
        <v>25.481249999999999</v>
      </c>
      <c r="V1539">
        <v>43.3541666666666</v>
      </c>
    </row>
    <row r="1540" spans="1:22" x14ac:dyDescent="0.3">
      <c r="A1540" s="2" t="s">
        <v>15</v>
      </c>
      <c r="B1540">
        <v>560026</v>
      </c>
      <c r="C1540" s="4">
        <v>45088</v>
      </c>
      <c r="D1540">
        <v>6.8514492753623104</v>
      </c>
      <c r="E1540">
        <v>26.032608695652101</v>
      </c>
      <c r="F1540">
        <v>3.9881944444444399</v>
      </c>
      <c r="G1540">
        <v>1.9763888888888801</v>
      </c>
      <c r="H1540">
        <v>6.05555555555555</v>
      </c>
      <c r="I1540">
        <v>0.48293478260869499</v>
      </c>
      <c r="J1540">
        <v>20.563043478260798</v>
      </c>
      <c r="K1540">
        <f t="shared" si="250"/>
        <v>11.419082125603852</v>
      </c>
      <c r="L1540">
        <f t="shared" si="251"/>
        <v>26.032608695652101</v>
      </c>
      <c r="M1540">
        <f t="shared" si="252"/>
        <v>4.98524305555555</v>
      </c>
      <c r="N1540">
        <f t="shared" si="253"/>
        <v>0.49409722222222002</v>
      </c>
      <c r="O1540">
        <f t="shared" si="254"/>
        <v>7.5694444444444375</v>
      </c>
      <c r="P1540">
        <f t="shared" si="255"/>
        <v>5.4878952569169881</v>
      </c>
      <c r="Q1540">
        <f t="shared" si="256"/>
        <v>19.039855072463702</v>
      </c>
      <c r="R1540">
        <f t="shared" si="257"/>
        <v>26.032608695652101</v>
      </c>
      <c r="S1540" t="str">
        <f t="shared" si="258"/>
        <v>Good</v>
      </c>
      <c r="T1540" t="str">
        <f t="shared" si="259"/>
        <v>PM10</v>
      </c>
      <c r="U1540">
        <v>25.707608695652102</v>
      </c>
      <c r="V1540">
        <v>43.1180555555555</v>
      </c>
    </row>
    <row r="1541" spans="1:22" x14ac:dyDescent="0.3">
      <c r="A1541" s="2" t="s">
        <v>15</v>
      </c>
      <c r="B1541">
        <v>560026</v>
      </c>
      <c r="C1541" s="4">
        <v>45089</v>
      </c>
      <c r="D1541">
        <v>6.5370370370370301</v>
      </c>
      <c r="E1541">
        <v>24.870370370370299</v>
      </c>
      <c r="F1541">
        <v>3.93703703703703</v>
      </c>
      <c r="G1541">
        <v>1.94907407407407</v>
      </c>
      <c r="H1541">
        <v>5.1916666666666602</v>
      </c>
      <c r="I1541">
        <v>0.54708333333333303</v>
      </c>
      <c r="J1541">
        <v>20.516666666666602</v>
      </c>
      <c r="K1541">
        <f t="shared" si="250"/>
        <v>10.895061728395051</v>
      </c>
      <c r="L1541">
        <f t="shared" si="251"/>
        <v>24.870370370370299</v>
      </c>
      <c r="M1541">
        <f t="shared" si="252"/>
        <v>4.9212962962962878</v>
      </c>
      <c r="N1541">
        <f t="shared" si="253"/>
        <v>0.48726851851851749</v>
      </c>
      <c r="O1541">
        <f t="shared" si="254"/>
        <v>6.4895833333333259</v>
      </c>
      <c r="P1541">
        <f t="shared" si="255"/>
        <v>6.216856060606057</v>
      </c>
      <c r="Q1541">
        <f t="shared" si="256"/>
        <v>18.996913580246854</v>
      </c>
      <c r="R1541">
        <f t="shared" si="257"/>
        <v>24.870370370370299</v>
      </c>
      <c r="S1541" t="str">
        <f t="shared" si="258"/>
        <v>Good</v>
      </c>
      <c r="T1541" t="str">
        <f t="shared" si="259"/>
        <v>PM10</v>
      </c>
      <c r="U1541">
        <v>23.1842592592592</v>
      </c>
      <c r="V1541">
        <v>43.5</v>
      </c>
    </row>
    <row r="1542" spans="1:22" x14ac:dyDescent="0.3">
      <c r="A1542" s="2" t="s">
        <v>15</v>
      </c>
      <c r="B1542">
        <v>560026</v>
      </c>
      <c r="C1542" s="4">
        <v>45090</v>
      </c>
      <c r="D1542">
        <v>12.0104166666666</v>
      </c>
      <c r="E1542">
        <v>45.9583333333333</v>
      </c>
      <c r="F1542">
        <v>4.0406250000000004</v>
      </c>
      <c r="G1542">
        <v>1.97291666666666</v>
      </c>
      <c r="H1542">
        <v>6.7781250000000002</v>
      </c>
      <c r="I1542">
        <v>0.72854166666666598</v>
      </c>
      <c r="J1542">
        <v>20.018750000000001</v>
      </c>
      <c r="K1542">
        <f t="shared" si="250"/>
        <v>20.017361111111004</v>
      </c>
      <c r="L1542">
        <f t="shared" si="251"/>
        <v>45.9583333333333</v>
      </c>
      <c r="M1542">
        <f t="shared" si="252"/>
        <v>5.0507812500000009</v>
      </c>
      <c r="N1542">
        <f t="shared" si="253"/>
        <v>0.493229166666665</v>
      </c>
      <c r="O1542">
        <f t="shared" si="254"/>
        <v>8.47265625</v>
      </c>
      <c r="P1542">
        <f t="shared" si="255"/>
        <v>8.2788825757575673</v>
      </c>
      <c r="Q1542">
        <f t="shared" si="256"/>
        <v>18.53587962962963</v>
      </c>
      <c r="R1542">
        <f t="shared" si="257"/>
        <v>45.9583333333333</v>
      </c>
      <c r="S1542" t="str">
        <f t="shared" si="258"/>
        <v>Good</v>
      </c>
      <c r="T1542" t="str">
        <f t="shared" si="259"/>
        <v>PM10</v>
      </c>
      <c r="U1542">
        <v>29.492708333333301</v>
      </c>
      <c r="V1542">
        <v>41.34375</v>
      </c>
    </row>
    <row r="1543" spans="1:22" x14ac:dyDescent="0.3">
      <c r="A1543" s="2" t="s">
        <v>15</v>
      </c>
      <c r="B1543">
        <v>560026</v>
      </c>
      <c r="C1543" s="4">
        <v>45091</v>
      </c>
      <c r="D1543">
        <v>12.3854166666666</v>
      </c>
      <c r="E1543">
        <v>47.5</v>
      </c>
      <c r="F1543">
        <v>3.9069444444444401</v>
      </c>
      <c r="G1543">
        <v>1.94907407407407</v>
      </c>
      <c r="H1543">
        <v>6.7712962962962902</v>
      </c>
      <c r="I1543">
        <v>0.60397058823529404</v>
      </c>
      <c r="J1543">
        <v>20.091203703703702</v>
      </c>
      <c r="K1543">
        <f t="shared" si="250"/>
        <v>20.642361111111004</v>
      </c>
      <c r="L1543">
        <f t="shared" si="251"/>
        <v>47.5</v>
      </c>
      <c r="M1543">
        <f t="shared" si="252"/>
        <v>4.88368055555555</v>
      </c>
      <c r="N1543">
        <f t="shared" si="253"/>
        <v>0.48726851851851749</v>
      </c>
      <c r="O1543">
        <f t="shared" si="254"/>
        <v>8.4641203703703631</v>
      </c>
      <c r="P1543">
        <f t="shared" si="255"/>
        <v>6.8633021390374322</v>
      </c>
      <c r="Q1543">
        <f t="shared" si="256"/>
        <v>18.602966392318244</v>
      </c>
      <c r="R1543">
        <f t="shared" si="257"/>
        <v>47.5</v>
      </c>
      <c r="S1543" t="str">
        <f t="shared" si="258"/>
        <v>Good</v>
      </c>
      <c r="T1543" t="str">
        <f t="shared" si="259"/>
        <v>PM10</v>
      </c>
      <c r="U1543">
        <v>27.706018518518501</v>
      </c>
      <c r="V1543">
        <v>46.810185185185098</v>
      </c>
    </row>
    <row r="1544" spans="1:22" x14ac:dyDescent="0.3">
      <c r="A1544" s="2" t="s">
        <v>15</v>
      </c>
      <c r="B1544">
        <v>560026</v>
      </c>
      <c r="C1544" s="4">
        <v>45092</v>
      </c>
      <c r="D1544">
        <v>14.6302083333333</v>
      </c>
      <c r="E1544">
        <v>55.9427083333333</v>
      </c>
      <c r="F1544">
        <v>4.0453124999999996</v>
      </c>
      <c r="G1544">
        <v>1.9125000000000001</v>
      </c>
      <c r="H1544">
        <v>6.1510416666666599</v>
      </c>
      <c r="I1544">
        <v>0.42361111111111099</v>
      </c>
      <c r="J1544">
        <v>19.9713541666666</v>
      </c>
      <c r="K1544">
        <f t="shared" si="250"/>
        <v>24.3836805555555</v>
      </c>
      <c r="L1544">
        <f t="shared" si="251"/>
        <v>55.9427083333333</v>
      </c>
      <c r="M1544">
        <f t="shared" si="252"/>
        <v>5.0566406249999991</v>
      </c>
      <c r="N1544">
        <f t="shared" si="253"/>
        <v>0.47812500000000002</v>
      </c>
      <c r="O1544">
        <f t="shared" si="254"/>
        <v>7.6888020833333242</v>
      </c>
      <c r="P1544">
        <f t="shared" si="255"/>
        <v>4.8137626262626245</v>
      </c>
      <c r="Q1544">
        <f t="shared" si="256"/>
        <v>18.49199459876537</v>
      </c>
      <c r="R1544">
        <f t="shared" si="257"/>
        <v>55.9427083333333</v>
      </c>
      <c r="S1544" t="str">
        <f t="shared" si="258"/>
        <v>Satisfactory</v>
      </c>
      <c r="T1544" t="str">
        <f t="shared" si="259"/>
        <v>PM10</v>
      </c>
      <c r="U1544">
        <v>25.668749999999999</v>
      </c>
      <c r="V1544">
        <v>48.5625</v>
      </c>
    </row>
    <row r="1545" spans="1:22" x14ac:dyDescent="0.3">
      <c r="A1545" s="2" t="s">
        <v>15</v>
      </c>
      <c r="B1545">
        <v>560026</v>
      </c>
      <c r="C1545" s="4">
        <v>45093</v>
      </c>
      <c r="D1545">
        <v>11.2222222222222</v>
      </c>
      <c r="E1545">
        <v>44.0833333333333</v>
      </c>
      <c r="F1545">
        <v>3.9694444444444401</v>
      </c>
      <c r="G1545">
        <v>1.9249999999999901</v>
      </c>
      <c r="H1545">
        <v>5.5657407407407398</v>
      </c>
      <c r="I1545">
        <v>0.13648148148148101</v>
      </c>
      <c r="J1545">
        <v>19.938888888888801</v>
      </c>
      <c r="K1545">
        <f t="shared" si="250"/>
        <v>18.703703703703663</v>
      </c>
      <c r="L1545">
        <f t="shared" si="251"/>
        <v>44.0833333333333</v>
      </c>
      <c r="M1545">
        <f t="shared" si="252"/>
        <v>4.96180555555555</v>
      </c>
      <c r="N1545">
        <f t="shared" si="253"/>
        <v>0.48124999999999751</v>
      </c>
      <c r="O1545">
        <f t="shared" si="254"/>
        <v>6.9571759259259256</v>
      </c>
      <c r="P1545">
        <f t="shared" si="255"/>
        <v>1.5509259259259205</v>
      </c>
      <c r="Q1545">
        <f t="shared" si="256"/>
        <v>18.461934156378518</v>
      </c>
      <c r="R1545">
        <f t="shared" si="257"/>
        <v>44.0833333333333</v>
      </c>
      <c r="S1545" t="str">
        <f t="shared" si="258"/>
        <v>Good</v>
      </c>
      <c r="T1545" t="str">
        <f t="shared" si="259"/>
        <v>PM10</v>
      </c>
      <c r="U1545">
        <v>23.8194444444444</v>
      </c>
      <c r="V1545">
        <v>49.9444444444444</v>
      </c>
    </row>
    <row r="1546" spans="1:22" x14ac:dyDescent="0.3">
      <c r="A1546" s="2" t="s">
        <v>15</v>
      </c>
      <c r="B1546">
        <v>560026</v>
      </c>
      <c r="C1546" s="4">
        <v>45094</v>
      </c>
      <c r="D1546">
        <v>14.6111111111111</v>
      </c>
      <c r="E1546">
        <v>56.344444444444399</v>
      </c>
      <c r="F1546">
        <v>3.88</v>
      </c>
      <c r="G1546">
        <v>1.95166666666666</v>
      </c>
      <c r="H1546">
        <v>6.1972222222222202</v>
      </c>
      <c r="I1546">
        <v>0.91544444444444395</v>
      </c>
      <c r="J1546">
        <v>20.1383333333333</v>
      </c>
      <c r="K1546">
        <f t="shared" si="250"/>
        <v>24.351851851851833</v>
      </c>
      <c r="L1546">
        <f t="shared" si="251"/>
        <v>56.344444444444399</v>
      </c>
      <c r="M1546">
        <f t="shared" si="252"/>
        <v>4.8499999999999996</v>
      </c>
      <c r="N1546">
        <f t="shared" si="253"/>
        <v>0.487916666666665</v>
      </c>
      <c r="O1546">
        <f t="shared" si="254"/>
        <v>7.7465277777777759</v>
      </c>
      <c r="P1546">
        <f t="shared" si="255"/>
        <v>10.402777777777771</v>
      </c>
      <c r="Q1546">
        <f t="shared" si="256"/>
        <v>18.646604938271572</v>
      </c>
      <c r="R1546">
        <f t="shared" si="257"/>
        <v>56.344444444444399</v>
      </c>
      <c r="S1546" t="str">
        <f t="shared" si="258"/>
        <v>Satisfactory</v>
      </c>
      <c r="T1546" t="str">
        <f t="shared" si="259"/>
        <v>PM10</v>
      </c>
      <c r="U1546">
        <v>29.439444444444401</v>
      </c>
      <c r="V1546">
        <v>44.494444444444397</v>
      </c>
    </row>
    <row r="1547" spans="1:22" x14ac:dyDescent="0.3">
      <c r="A1547" s="2" t="s">
        <v>15</v>
      </c>
      <c r="B1547">
        <v>560026</v>
      </c>
      <c r="C1547" s="4">
        <v>45095</v>
      </c>
      <c r="D1547">
        <v>10.434210526315701</v>
      </c>
      <c r="E1547">
        <v>40.587719298245602</v>
      </c>
      <c r="F1547">
        <v>3.98020833333333</v>
      </c>
      <c r="G1547">
        <v>1.9041666666666599</v>
      </c>
      <c r="H1547">
        <v>5.8232638888888797</v>
      </c>
      <c r="I1547">
        <v>0.59511363636363601</v>
      </c>
      <c r="J1547">
        <v>20.119999999999902</v>
      </c>
      <c r="K1547">
        <f t="shared" si="250"/>
        <v>17.390350877192834</v>
      </c>
      <c r="L1547">
        <f t="shared" si="251"/>
        <v>40.587719298245602</v>
      </c>
      <c r="M1547">
        <f t="shared" si="252"/>
        <v>4.9752604166666625</v>
      </c>
      <c r="N1547">
        <f t="shared" si="253"/>
        <v>0.47604166666666503</v>
      </c>
      <c r="O1547">
        <f t="shared" si="254"/>
        <v>7.2790798611111001</v>
      </c>
      <c r="P1547">
        <f t="shared" si="255"/>
        <v>6.7626549586776816</v>
      </c>
      <c r="Q1547">
        <f t="shared" si="256"/>
        <v>18.629629629629537</v>
      </c>
      <c r="R1547">
        <f t="shared" si="257"/>
        <v>40.587719298245602</v>
      </c>
      <c r="S1547" t="str">
        <f t="shared" si="258"/>
        <v>Good</v>
      </c>
      <c r="T1547" t="str">
        <f t="shared" si="259"/>
        <v>PM10</v>
      </c>
      <c r="U1547">
        <v>24.934166666666599</v>
      </c>
      <c r="V1547">
        <v>43.3472222222222</v>
      </c>
    </row>
    <row r="1548" spans="1:22" x14ac:dyDescent="0.3">
      <c r="A1548" s="2" t="s">
        <v>15</v>
      </c>
      <c r="B1548">
        <v>560026</v>
      </c>
      <c r="C1548" s="4">
        <v>45096</v>
      </c>
      <c r="D1548">
        <v>16.0595238095238</v>
      </c>
      <c r="E1548">
        <v>61.769841269841201</v>
      </c>
      <c r="F1548">
        <v>3.9595238095237999</v>
      </c>
      <c r="G1548">
        <v>1.9380952380952301</v>
      </c>
      <c r="H1548">
        <v>6.7075396825396796</v>
      </c>
      <c r="I1548">
        <v>0.58384920634920601</v>
      </c>
      <c r="J1548">
        <v>20.2238095238095</v>
      </c>
      <c r="K1548">
        <f t="shared" si="250"/>
        <v>26.765873015873002</v>
      </c>
      <c r="L1548">
        <f t="shared" si="251"/>
        <v>61.769841269841201</v>
      </c>
      <c r="M1548">
        <f t="shared" si="252"/>
        <v>4.9494047619047503</v>
      </c>
      <c r="N1548">
        <f t="shared" si="253"/>
        <v>0.48452380952380752</v>
      </c>
      <c r="O1548">
        <f t="shared" si="254"/>
        <v>8.3844246031745993</v>
      </c>
      <c r="P1548">
        <f t="shared" si="255"/>
        <v>6.6346500721500679</v>
      </c>
      <c r="Q1548">
        <f t="shared" si="256"/>
        <v>18.725749559082871</v>
      </c>
      <c r="R1548">
        <f t="shared" si="257"/>
        <v>61.769841269841201</v>
      </c>
      <c r="S1548" t="str">
        <f t="shared" si="258"/>
        <v>Satisfactory</v>
      </c>
      <c r="T1548" t="str">
        <f t="shared" si="259"/>
        <v>PM10</v>
      </c>
      <c r="U1548">
        <v>26.035714285714199</v>
      </c>
      <c r="V1548">
        <v>42.845238095238003</v>
      </c>
    </row>
    <row r="1549" spans="1:22" x14ac:dyDescent="0.3">
      <c r="A1549" s="2" t="s">
        <v>15</v>
      </c>
      <c r="B1549">
        <v>560026</v>
      </c>
      <c r="C1549" s="4">
        <v>45097</v>
      </c>
      <c r="D1549">
        <v>16.308333333333302</v>
      </c>
      <c r="E1549">
        <v>49.95</v>
      </c>
      <c r="F1549">
        <v>5.0712121212121204</v>
      </c>
      <c r="G1549">
        <v>2.0575757575757501</v>
      </c>
      <c r="H1549">
        <v>6.3147727272727199</v>
      </c>
      <c r="I1549">
        <v>0.60132575757575701</v>
      </c>
      <c r="J1549">
        <v>14.4370833333333</v>
      </c>
      <c r="K1549">
        <f t="shared" si="250"/>
        <v>27.1805555555555</v>
      </c>
      <c r="L1549">
        <f t="shared" si="251"/>
        <v>49.95</v>
      </c>
      <c r="M1549">
        <f t="shared" si="252"/>
        <v>6.3390151515151505</v>
      </c>
      <c r="N1549">
        <f t="shared" si="253"/>
        <v>0.51439393939393752</v>
      </c>
      <c r="O1549">
        <f t="shared" si="254"/>
        <v>7.8934659090908994</v>
      </c>
      <c r="P1549">
        <f t="shared" si="255"/>
        <v>6.8332472451790567</v>
      </c>
      <c r="Q1549">
        <f t="shared" si="256"/>
        <v>13.367669753086389</v>
      </c>
      <c r="R1549">
        <f t="shared" si="257"/>
        <v>49.95</v>
      </c>
      <c r="S1549" t="str">
        <f t="shared" si="258"/>
        <v>Good</v>
      </c>
      <c r="T1549" t="str">
        <f t="shared" si="259"/>
        <v>PM10</v>
      </c>
      <c r="U1549">
        <v>24.036666666666601</v>
      </c>
      <c r="V1549">
        <v>44.227272727272698</v>
      </c>
    </row>
    <row r="1550" spans="1:22" x14ac:dyDescent="0.3">
      <c r="A1550" s="2" t="s">
        <v>15</v>
      </c>
      <c r="B1550">
        <v>560026</v>
      </c>
      <c r="C1550" s="4">
        <v>45098</v>
      </c>
      <c r="D1550">
        <v>19.4656862745098</v>
      </c>
      <c r="E1550">
        <v>44.779411764705799</v>
      </c>
      <c r="F1550">
        <v>5.6133333333333297</v>
      </c>
      <c r="G1550">
        <v>2.0983333333333301</v>
      </c>
      <c r="H1550">
        <v>6.1672222222222199</v>
      </c>
      <c r="I1550">
        <v>0.45455555555555499</v>
      </c>
      <c r="J1550">
        <v>11.533333333333299</v>
      </c>
      <c r="K1550">
        <f t="shared" si="250"/>
        <v>32.44281045751633</v>
      </c>
      <c r="L1550">
        <f t="shared" si="251"/>
        <v>44.779411764705799</v>
      </c>
      <c r="M1550">
        <f t="shared" si="252"/>
        <v>7.0166666666666631</v>
      </c>
      <c r="N1550">
        <f t="shared" si="253"/>
        <v>0.52458333333333251</v>
      </c>
      <c r="O1550">
        <f t="shared" si="254"/>
        <v>7.7090277777777745</v>
      </c>
      <c r="P1550">
        <f t="shared" si="255"/>
        <v>5.1654040404040336</v>
      </c>
      <c r="Q1550">
        <f t="shared" si="256"/>
        <v>10.679012345678981</v>
      </c>
      <c r="R1550">
        <f t="shared" si="257"/>
        <v>44.779411764705799</v>
      </c>
      <c r="S1550" t="str">
        <f t="shared" si="258"/>
        <v>Good</v>
      </c>
      <c r="T1550" t="str">
        <f t="shared" si="259"/>
        <v>PM10</v>
      </c>
      <c r="U1550">
        <v>23.057352941176401</v>
      </c>
      <c r="V1550">
        <v>43.8333333333333</v>
      </c>
    </row>
    <row r="1551" spans="1:22" x14ac:dyDescent="0.3">
      <c r="A1551" s="2" t="s">
        <v>15</v>
      </c>
      <c r="B1551">
        <v>560026</v>
      </c>
      <c r="C1551" s="4">
        <v>45099</v>
      </c>
      <c r="D1551">
        <v>18.488636363636299</v>
      </c>
      <c r="E1551">
        <v>46.625</v>
      </c>
      <c r="F1551">
        <v>5.6763888888888898</v>
      </c>
      <c r="G1551">
        <v>2.0892361111111102</v>
      </c>
      <c r="H1551">
        <v>5.9940972222222202</v>
      </c>
      <c r="I1551">
        <v>0.81243055555555499</v>
      </c>
      <c r="J1551">
        <v>11.512499999999999</v>
      </c>
      <c r="K1551">
        <f t="shared" si="250"/>
        <v>30.814393939393831</v>
      </c>
      <c r="L1551">
        <f t="shared" si="251"/>
        <v>46.625</v>
      </c>
      <c r="M1551">
        <f t="shared" si="252"/>
        <v>7.0954861111111125</v>
      </c>
      <c r="N1551">
        <f t="shared" si="253"/>
        <v>0.52230902777777755</v>
      </c>
      <c r="O1551">
        <f t="shared" si="254"/>
        <v>7.4926215277777759</v>
      </c>
      <c r="P1551">
        <f t="shared" si="255"/>
        <v>9.2321654040403978</v>
      </c>
      <c r="Q1551">
        <f t="shared" si="256"/>
        <v>10.659722222222221</v>
      </c>
      <c r="R1551">
        <f t="shared" si="257"/>
        <v>46.625</v>
      </c>
      <c r="S1551" t="str">
        <f t="shared" si="258"/>
        <v>Good</v>
      </c>
      <c r="T1551" t="str">
        <f t="shared" si="259"/>
        <v>PM10</v>
      </c>
      <c r="U1551">
        <v>26.102083333333301</v>
      </c>
      <c r="V1551">
        <v>40.0520833333333</v>
      </c>
    </row>
    <row r="1552" spans="1:22" x14ac:dyDescent="0.3">
      <c r="A1552" s="2" t="s">
        <v>15</v>
      </c>
      <c r="B1552">
        <v>560026</v>
      </c>
      <c r="C1552" s="4">
        <v>45100</v>
      </c>
      <c r="D1552">
        <v>17.6458333333333</v>
      </c>
      <c r="E1552">
        <v>38.716666666666598</v>
      </c>
      <c r="F1552">
        <v>5.7712500000000002</v>
      </c>
      <c r="G1552">
        <v>2.1025</v>
      </c>
      <c r="H1552">
        <v>6.2333333333333298</v>
      </c>
      <c r="I1552">
        <v>0.34907894736842099</v>
      </c>
      <c r="J1552">
        <v>11.6066666666666</v>
      </c>
      <c r="K1552">
        <f t="shared" si="250"/>
        <v>29.409722222222168</v>
      </c>
      <c r="L1552">
        <f t="shared" si="251"/>
        <v>38.716666666666598</v>
      </c>
      <c r="M1552">
        <f t="shared" si="252"/>
        <v>7.2140624999999998</v>
      </c>
      <c r="N1552">
        <f t="shared" si="253"/>
        <v>0.52562500000000001</v>
      </c>
      <c r="O1552">
        <f t="shared" si="254"/>
        <v>7.7916666666666625</v>
      </c>
      <c r="P1552">
        <f t="shared" si="255"/>
        <v>3.9668062200956928</v>
      </c>
      <c r="Q1552">
        <f t="shared" si="256"/>
        <v>10.746913580246853</v>
      </c>
      <c r="R1552">
        <f t="shared" si="257"/>
        <v>38.716666666666598</v>
      </c>
      <c r="S1552" t="str">
        <f t="shared" si="258"/>
        <v>Good</v>
      </c>
      <c r="T1552" t="str">
        <f t="shared" si="259"/>
        <v>PM10</v>
      </c>
      <c r="U1552">
        <v>25.180416666666599</v>
      </c>
      <c r="V1552">
        <v>37.933333333333302</v>
      </c>
    </row>
    <row r="1553" spans="1:22" x14ac:dyDescent="0.3">
      <c r="A1553" s="2" t="s">
        <v>15</v>
      </c>
      <c r="B1553">
        <v>560026</v>
      </c>
      <c r="C1553" s="4">
        <v>45101</v>
      </c>
      <c r="D1553">
        <v>10.9965277777777</v>
      </c>
      <c r="E1553">
        <v>27.8541666666666</v>
      </c>
      <c r="F1553">
        <v>5.6017361111111104</v>
      </c>
      <c r="G1553">
        <v>2.1097222222222198</v>
      </c>
      <c r="H1553">
        <v>5.8284722222222198</v>
      </c>
      <c r="I1553">
        <v>0.41809027777777702</v>
      </c>
      <c r="J1553">
        <v>11.3298611111111</v>
      </c>
      <c r="K1553">
        <f t="shared" si="250"/>
        <v>18.32754629629617</v>
      </c>
      <c r="L1553">
        <f t="shared" si="251"/>
        <v>27.8541666666666</v>
      </c>
      <c r="M1553">
        <f t="shared" si="252"/>
        <v>7.0021701388888884</v>
      </c>
      <c r="N1553">
        <f t="shared" si="253"/>
        <v>0.52743055555555496</v>
      </c>
      <c r="O1553">
        <f t="shared" si="254"/>
        <v>7.2855902777777741</v>
      </c>
      <c r="P1553">
        <f t="shared" si="255"/>
        <v>4.7510258838383752</v>
      </c>
      <c r="Q1553">
        <f t="shared" si="256"/>
        <v>10.490612139917685</v>
      </c>
      <c r="R1553">
        <f t="shared" si="257"/>
        <v>27.8541666666666</v>
      </c>
      <c r="S1553" t="str">
        <f t="shared" si="258"/>
        <v>Good</v>
      </c>
      <c r="T1553" t="str">
        <f t="shared" si="259"/>
        <v>PM10</v>
      </c>
      <c r="U1553">
        <v>24.323958333333302</v>
      </c>
      <c r="V1553">
        <v>43.3298611111111</v>
      </c>
    </row>
    <row r="1554" spans="1:22" x14ac:dyDescent="0.3">
      <c r="A1554" s="2" t="s">
        <v>15</v>
      </c>
      <c r="B1554">
        <v>560026</v>
      </c>
      <c r="C1554" s="4">
        <v>45102</v>
      </c>
      <c r="D1554">
        <v>8.4202898550724594</v>
      </c>
      <c r="E1554">
        <v>29.905797101449199</v>
      </c>
      <c r="F1554">
        <v>5.63229166666666</v>
      </c>
      <c r="G1554">
        <v>2.1124999999999998</v>
      </c>
      <c r="H1554">
        <v>6.0152777777777704</v>
      </c>
      <c r="I1554">
        <v>0.40010416666666598</v>
      </c>
      <c r="J1554">
        <v>11.546875</v>
      </c>
      <c r="K1554">
        <f t="shared" si="250"/>
        <v>14.033816425120765</v>
      </c>
      <c r="L1554">
        <f t="shared" si="251"/>
        <v>29.905797101449199</v>
      </c>
      <c r="M1554">
        <f t="shared" si="252"/>
        <v>7.0403645833333259</v>
      </c>
      <c r="N1554">
        <f t="shared" si="253"/>
        <v>0.52812499999999996</v>
      </c>
      <c r="O1554">
        <f t="shared" si="254"/>
        <v>7.5190972222222126</v>
      </c>
      <c r="P1554">
        <f t="shared" si="255"/>
        <v>4.5466382575757498</v>
      </c>
      <c r="Q1554">
        <f t="shared" si="256"/>
        <v>10.691550925925926</v>
      </c>
      <c r="R1554">
        <f t="shared" si="257"/>
        <v>29.905797101449199</v>
      </c>
      <c r="S1554" t="str">
        <f t="shared" si="258"/>
        <v>Good</v>
      </c>
      <c r="T1554" t="str">
        <f t="shared" si="259"/>
        <v>PM10</v>
      </c>
      <c r="U1554">
        <v>25.112500000000001</v>
      </c>
      <c r="V1554">
        <v>43.3472222222222</v>
      </c>
    </row>
    <row r="1555" spans="1:22" x14ac:dyDescent="0.3">
      <c r="A1555" s="2" t="s">
        <v>15</v>
      </c>
      <c r="B1555">
        <v>560026</v>
      </c>
      <c r="C1555" s="4">
        <v>45103</v>
      </c>
      <c r="D1555">
        <v>13.1666666666666</v>
      </c>
      <c r="E1555">
        <v>33.9479166666666</v>
      </c>
      <c r="F1555">
        <v>5.6759803921568599</v>
      </c>
      <c r="G1555">
        <v>2.09656862745098</v>
      </c>
      <c r="H1555">
        <v>5.4114583333333304</v>
      </c>
      <c r="I1555">
        <v>0.368611111111111</v>
      </c>
      <c r="J1555">
        <v>11.8053921568627</v>
      </c>
      <c r="K1555">
        <f t="shared" si="250"/>
        <v>21.944444444444336</v>
      </c>
      <c r="L1555">
        <f t="shared" si="251"/>
        <v>33.9479166666666</v>
      </c>
      <c r="M1555">
        <f t="shared" si="252"/>
        <v>7.0949754901960747</v>
      </c>
      <c r="N1555">
        <f t="shared" si="253"/>
        <v>0.52414215686274501</v>
      </c>
      <c r="O1555">
        <f t="shared" si="254"/>
        <v>6.7643229166666625</v>
      </c>
      <c r="P1555">
        <f t="shared" si="255"/>
        <v>4.1887626262626245</v>
      </c>
      <c r="Q1555">
        <f t="shared" si="256"/>
        <v>10.930918663761759</v>
      </c>
      <c r="R1555">
        <f t="shared" si="257"/>
        <v>33.9479166666666</v>
      </c>
      <c r="S1555" t="str">
        <f t="shared" si="258"/>
        <v>Good</v>
      </c>
      <c r="T1555" t="str">
        <f t="shared" si="259"/>
        <v>PM10</v>
      </c>
      <c r="U1555">
        <v>24.397058823529399</v>
      </c>
      <c r="V1555">
        <v>45.009803921568597</v>
      </c>
    </row>
    <row r="1556" spans="1:22" x14ac:dyDescent="0.3">
      <c r="A1556" s="2" t="s">
        <v>15</v>
      </c>
      <c r="B1556">
        <v>560026</v>
      </c>
      <c r="C1556" s="4">
        <v>45104</v>
      </c>
      <c r="D1556">
        <v>10.9950980392156</v>
      </c>
      <c r="E1556">
        <v>27.014705882352899</v>
      </c>
      <c r="F1556">
        <v>5.6</v>
      </c>
      <c r="G1556">
        <v>2.1099206349206301</v>
      </c>
      <c r="H1556">
        <v>5.8503968253968202</v>
      </c>
      <c r="I1556">
        <v>0.392124999999999</v>
      </c>
      <c r="J1556">
        <v>11.6539682539682</v>
      </c>
      <c r="K1556">
        <f t="shared" si="250"/>
        <v>18.325163398692666</v>
      </c>
      <c r="L1556">
        <f t="shared" si="251"/>
        <v>27.014705882352899</v>
      </c>
      <c r="M1556">
        <f t="shared" si="252"/>
        <v>7</v>
      </c>
      <c r="N1556">
        <f t="shared" si="253"/>
        <v>0.52748015873015752</v>
      </c>
      <c r="O1556">
        <f t="shared" si="254"/>
        <v>7.3129960317460245</v>
      </c>
      <c r="P1556">
        <f t="shared" si="255"/>
        <v>4.4559659090908976</v>
      </c>
      <c r="Q1556">
        <f t="shared" si="256"/>
        <v>10.790711346266852</v>
      </c>
      <c r="R1556">
        <f t="shared" si="257"/>
        <v>27.014705882352899</v>
      </c>
      <c r="S1556" t="str">
        <f t="shared" si="258"/>
        <v>Good</v>
      </c>
      <c r="T1556" t="str">
        <f t="shared" si="259"/>
        <v>PM10</v>
      </c>
      <c r="U1556">
        <v>24.145416666666598</v>
      </c>
      <c r="V1556">
        <v>48.289682539682502</v>
      </c>
    </row>
    <row r="1557" spans="1:22" x14ac:dyDescent="0.3">
      <c r="A1557" s="2" t="s">
        <v>15</v>
      </c>
      <c r="B1557">
        <v>560026</v>
      </c>
      <c r="C1557" s="4">
        <v>45105</v>
      </c>
      <c r="D1557">
        <v>16.713768115941999</v>
      </c>
      <c r="E1557">
        <v>29.898550724637602</v>
      </c>
      <c r="F1557">
        <v>5.6197916666666599</v>
      </c>
      <c r="G1557">
        <v>2.10902777777777</v>
      </c>
      <c r="H1557">
        <v>6.0138888888888804</v>
      </c>
      <c r="I1557">
        <v>0.42368055555555501</v>
      </c>
      <c r="J1557">
        <v>11.693402777777701</v>
      </c>
      <c r="K1557">
        <f t="shared" si="250"/>
        <v>27.856280193236664</v>
      </c>
      <c r="L1557">
        <f t="shared" si="251"/>
        <v>29.898550724637602</v>
      </c>
      <c r="M1557">
        <f t="shared" si="252"/>
        <v>7.0247395833333242</v>
      </c>
      <c r="N1557">
        <f t="shared" si="253"/>
        <v>0.52725694444444249</v>
      </c>
      <c r="O1557">
        <f t="shared" si="254"/>
        <v>7.5173611111111001</v>
      </c>
      <c r="P1557">
        <f t="shared" si="255"/>
        <v>4.8145517676767611</v>
      </c>
      <c r="Q1557">
        <f t="shared" si="256"/>
        <v>10.827224794238612</v>
      </c>
      <c r="R1557">
        <f t="shared" si="257"/>
        <v>29.898550724637602</v>
      </c>
      <c r="S1557" t="str">
        <f t="shared" si="258"/>
        <v>Good</v>
      </c>
      <c r="T1557" t="str">
        <f t="shared" si="259"/>
        <v>PM10</v>
      </c>
      <c r="U1557">
        <v>25.0364583333333</v>
      </c>
      <c r="V1557">
        <v>51.0347222222222</v>
      </c>
    </row>
    <row r="1558" spans="1:22" x14ac:dyDescent="0.3">
      <c r="A1558" s="2" t="s">
        <v>15</v>
      </c>
      <c r="B1558">
        <v>560026</v>
      </c>
      <c r="C1558" s="4">
        <v>45106</v>
      </c>
      <c r="D1558">
        <v>12.5555555555555</v>
      </c>
      <c r="E1558">
        <v>26.34375</v>
      </c>
      <c r="F1558">
        <v>5.6229166666666597</v>
      </c>
      <c r="G1558">
        <v>2.1124999999999998</v>
      </c>
      <c r="H1558">
        <v>6.48159722222222</v>
      </c>
      <c r="I1558">
        <v>0.380659722222222</v>
      </c>
      <c r="J1558">
        <v>11.703125</v>
      </c>
      <c r="K1558">
        <f t="shared" si="250"/>
        <v>20.925925925925831</v>
      </c>
      <c r="L1558">
        <f t="shared" si="251"/>
        <v>26.34375</v>
      </c>
      <c r="M1558">
        <f t="shared" si="252"/>
        <v>7.0286458333333242</v>
      </c>
      <c r="N1558">
        <f t="shared" si="253"/>
        <v>0.52812499999999996</v>
      </c>
      <c r="O1558">
        <f t="shared" si="254"/>
        <v>8.101996527777775</v>
      </c>
      <c r="P1558">
        <f t="shared" si="255"/>
        <v>4.3256786616161591</v>
      </c>
      <c r="Q1558">
        <f t="shared" si="256"/>
        <v>10.836226851851851</v>
      </c>
      <c r="R1558">
        <f t="shared" si="257"/>
        <v>26.34375</v>
      </c>
      <c r="S1558" t="str">
        <f t="shared" si="258"/>
        <v>Good</v>
      </c>
      <c r="T1558" t="str">
        <f t="shared" si="259"/>
        <v>PM10</v>
      </c>
      <c r="U1558">
        <v>24.073958333333302</v>
      </c>
      <c r="V1558">
        <v>59.09375</v>
      </c>
    </row>
    <row r="1559" spans="1:22" x14ac:dyDescent="0.3">
      <c r="A1559" s="2" t="s">
        <v>15</v>
      </c>
      <c r="B1559">
        <v>560026</v>
      </c>
      <c r="C1559" s="4">
        <v>45107</v>
      </c>
      <c r="D1559">
        <v>14.7951388888888</v>
      </c>
      <c r="E1559">
        <v>31.5520833333333</v>
      </c>
      <c r="F1559">
        <v>5.6815972222222202</v>
      </c>
      <c r="G1559">
        <v>2.1072916666666601</v>
      </c>
      <c r="H1559">
        <v>6.05833333333333</v>
      </c>
      <c r="I1559">
        <v>0.351944444444444</v>
      </c>
      <c r="J1559">
        <v>11.584375</v>
      </c>
      <c r="K1559">
        <f t="shared" si="250"/>
        <v>24.658564814814667</v>
      </c>
      <c r="L1559">
        <f t="shared" si="251"/>
        <v>31.5520833333333</v>
      </c>
      <c r="M1559">
        <f t="shared" si="252"/>
        <v>7.1019965277777759</v>
      </c>
      <c r="N1559">
        <f t="shared" si="253"/>
        <v>0.52682291666666503</v>
      </c>
      <c r="O1559">
        <f t="shared" si="254"/>
        <v>7.5729166666666625</v>
      </c>
      <c r="P1559">
        <f t="shared" si="255"/>
        <v>3.999368686868682</v>
      </c>
      <c r="Q1559">
        <f t="shared" si="256"/>
        <v>10.726273148148147</v>
      </c>
      <c r="R1559">
        <f t="shared" si="257"/>
        <v>31.5520833333333</v>
      </c>
      <c r="S1559" t="str">
        <f t="shared" si="258"/>
        <v>Good</v>
      </c>
      <c r="T1559" t="str">
        <f t="shared" si="259"/>
        <v>PM10</v>
      </c>
      <c r="U1559">
        <v>25.7482638888888</v>
      </c>
      <c r="V1559">
        <v>51.1631944444444</v>
      </c>
    </row>
    <row r="1560" spans="1:22" x14ac:dyDescent="0.3">
      <c r="A1560" s="2" t="s">
        <v>15</v>
      </c>
      <c r="B1560">
        <v>560026</v>
      </c>
      <c r="C1560" s="4">
        <v>45108</v>
      </c>
      <c r="D1560">
        <v>17.5797101449275</v>
      </c>
      <c r="E1560">
        <v>38.6770833333333</v>
      </c>
      <c r="F1560">
        <v>5.6124999999999998</v>
      </c>
      <c r="G1560">
        <v>2.1041666666666599</v>
      </c>
      <c r="H1560">
        <v>6.0065972222222204</v>
      </c>
      <c r="I1560">
        <v>0.48833333333333301</v>
      </c>
      <c r="J1560">
        <v>11.389583333333301</v>
      </c>
      <c r="K1560">
        <f t="shared" si="250"/>
        <v>29.2995169082125</v>
      </c>
      <c r="L1560">
        <f t="shared" si="251"/>
        <v>38.6770833333333</v>
      </c>
      <c r="M1560">
        <f t="shared" si="252"/>
        <v>7.015625</v>
      </c>
      <c r="N1560">
        <f t="shared" si="253"/>
        <v>0.52604166666666496</v>
      </c>
      <c r="O1560">
        <f t="shared" si="254"/>
        <v>7.5082465277777759</v>
      </c>
      <c r="P1560">
        <f t="shared" si="255"/>
        <v>5.5492424242424203</v>
      </c>
      <c r="Q1560">
        <f t="shared" si="256"/>
        <v>10.54591049382713</v>
      </c>
      <c r="R1560">
        <f t="shared" si="257"/>
        <v>38.6770833333333</v>
      </c>
      <c r="S1560" t="str">
        <f t="shared" si="258"/>
        <v>Good</v>
      </c>
      <c r="T1560" t="str">
        <f t="shared" si="259"/>
        <v>PM10</v>
      </c>
      <c r="U1560">
        <v>26.442361111111101</v>
      </c>
      <c r="V1560">
        <v>54.7708333333333</v>
      </c>
    </row>
    <row r="1561" spans="1:22" x14ac:dyDescent="0.3">
      <c r="A1561" s="2" t="s">
        <v>15</v>
      </c>
      <c r="B1561">
        <v>560026</v>
      </c>
      <c r="C1561" s="4">
        <v>45109</v>
      </c>
      <c r="D1561">
        <v>17.2986111111111</v>
      </c>
      <c r="E1561">
        <v>34.3958333333333</v>
      </c>
      <c r="F1561">
        <v>5.6916666666666602</v>
      </c>
      <c r="G1561">
        <v>2.1072916666666601</v>
      </c>
      <c r="H1561">
        <v>6.0687499999999996</v>
      </c>
      <c r="I1561">
        <v>0.50291666666666601</v>
      </c>
      <c r="J1561">
        <v>11.375</v>
      </c>
      <c r="K1561">
        <f t="shared" si="250"/>
        <v>28.831018518518498</v>
      </c>
      <c r="L1561">
        <f t="shared" si="251"/>
        <v>34.3958333333333</v>
      </c>
      <c r="M1561">
        <f t="shared" si="252"/>
        <v>7.1145833333333259</v>
      </c>
      <c r="N1561">
        <f t="shared" si="253"/>
        <v>0.52682291666666503</v>
      </c>
      <c r="O1561">
        <f t="shared" si="254"/>
        <v>7.5859375</v>
      </c>
      <c r="P1561">
        <f t="shared" si="255"/>
        <v>5.714962121212114</v>
      </c>
      <c r="Q1561">
        <f t="shared" si="256"/>
        <v>10.532407407407408</v>
      </c>
      <c r="R1561">
        <f t="shared" si="257"/>
        <v>34.3958333333333</v>
      </c>
      <c r="S1561" t="str">
        <f t="shared" si="258"/>
        <v>Good</v>
      </c>
      <c r="T1561" t="str">
        <f t="shared" si="259"/>
        <v>PM10</v>
      </c>
      <c r="U1561">
        <v>25.237152777777698</v>
      </c>
      <c r="V1561">
        <v>55.9479166666666</v>
      </c>
    </row>
    <row r="1562" spans="1:22" x14ac:dyDescent="0.3">
      <c r="A1562" s="2" t="s">
        <v>15</v>
      </c>
      <c r="B1562">
        <v>560026</v>
      </c>
      <c r="C1562" s="4">
        <v>45110</v>
      </c>
      <c r="D1562">
        <v>9.7465277777777697</v>
      </c>
      <c r="E1562">
        <v>24.15625</v>
      </c>
      <c r="F1562">
        <v>5.6624999999999996</v>
      </c>
      <c r="G1562">
        <v>2.0958333333333301</v>
      </c>
      <c r="H1562">
        <v>5.5368055555555502</v>
      </c>
      <c r="I1562">
        <v>0.52659722222222205</v>
      </c>
      <c r="J1562">
        <v>11.483333333333301</v>
      </c>
      <c r="K1562">
        <f t="shared" si="250"/>
        <v>16.244212962962948</v>
      </c>
      <c r="L1562">
        <f t="shared" si="251"/>
        <v>24.15625</v>
      </c>
      <c r="M1562">
        <f t="shared" si="252"/>
        <v>7.078125</v>
      </c>
      <c r="N1562">
        <f t="shared" si="253"/>
        <v>0.52395833333333253</v>
      </c>
      <c r="O1562">
        <f t="shared" si="254"/>
        <v>6.9210069444444375</v>
      </c>
      <c r="P1562">
        <f t="shared" si="255"/>
        <v>5.9840593434343416</v>
      </c>
      <c r="Q1562">
        <f t="shared" si="256"/>
        <v>10.632716049382685</v>
      </c>
      <c r="R1562">
        <f t="shared" si="257"/>
        <v>24.15625</v>
      </c>
      <c r="S1562" t="str">
        <f t="shared" si="258"/>
        <v>Good</v>
      </c>
      <c r="T1562" t="str">
        <f t="shared" si="259"/>
        <v>PM10</v>
      </c>
      <c r="U1562">
        <v>24.660763888888798</v>
      </c>
      <c r="V1562">
        <v>47.9791666666666</v>
      </c>
    </row>
    <row r="1563" spans="1:22" x14ac:dyDescent="0.3">
      <c r="A1563" s="2" t="s">
        <v>15</v>
      </c>
      <c r="B1563">
        <v>560026</v>
      </c>
      <c r="C1563" s="4">
        <v>45111</v>
      </c>
      <c r="D1563">
        <v>6.9166666666666599</v>
      </c>
      <c r="E1563">
        <v>17.6111111111111</v>
      </c>
      <c r="F1563">
        <v>5.6489583333333302</v>
      </c>
      <c r="G1563">
        <v>2.1072916666666601</v>
      </c>
      <c r="H1563">
        <v>6.3812499999999996</v>
      </c>
      <c r="I1563">
        <v>0.37656249999999902</v>
      </c>
      <c r="J1563">
        <v>11.534374999999899</v>
      </c>
      <c r="K1563">
        <f t="shared" si="250"/>
        <v>11.527777777777766</v>
      </c>
      <c r="L1563">
        <f t="shared" si="251"/>
        <v>17.6111111111111</v>
      </c>
      <c r="M1563">
        <f t="shared" si="252"/>
        <v>7.0611979166666625</v>
      </c>
      <c r="N1563">
        <f t="shared" si="253"/>
        <v>0.52682291666666503</v>
      </c>
      <c r="O1563">
        <f t="shared" si="254"/>
        <v>7.9765625</v>
      </c>
      <c r="P1563">
        <f t="shared" si="255"/>
        <v>4.2791193181818068</v>
      </c>
      <c r="Q1563">
        <f t="shared" si="256"/>
        <v>10.679976851851759</v>
      </c>
      <c r="R1563">
        <f t="shared" si="257"/>
        <v>17.6111111111111</v>
      </c>
      <c r="S1563" t="str">
        <f t="shared" si="258"/>
        <v>Good</v>
      </c>
      <c r="T1563" t="str">
        <f t="shared" si="259"/>
        <v>PM10</v>
      </c>
      <c r="U1563">
        <v>23.230208333333302</v>
      </c>
      <c r="V1563">
        <v>45.40625</v>
      </c>
    </row>
    <row r="1564" spans="1:22" x14ac:dyDescent="0.3">
      <c r="A1564" s="2" t="s">
        <v>15</v>
      </c>
      <c r="B1564">
        <v>560026</v>
      </c>
      <c r="C1564" s="4">
        <v>45112</v>
      </c>
      <c r="D1564">
        <v>10.4601449275362</v>
      </c>
      <c r="E1564">
        <v>23.891304347826001</v>
      </c>
      <c r="F1564">
        <v>5.6340277777777699</v>
      </c>
      <c r="G1564">
        <v>2.0743055555555499</v>
      </c>
      <c r="H1564">
        <v>5.86666666666666</v>
      </c>
      <c r="I1564">
        <v>0.59647058823529397</v>
      </c>
      <c r="J1564">
        <v>11.8725694444444</v>
      </c>
      <c r="K1564">
        <f t="shared" si="250"/>
        <v>17.433574879227002</v>
      </c>
      <c r="L1564">
        <f t="shared" si="251"/>
        <v>23.891304347826001</v>
      </c>
      <c r="M1564">
        <f t="shared" si="252"/>
        <v>7.0425347222222126</v>
      </c>
      <c r="N1564">
        <f t="shared" si="253"/>
        <v>0.51857638888888746</v>
      </c>
      <c r="O1564">
        <f t="shared" si="254"/>
        <v>7.3333333333333259</v>
      </c>
      <c r="P1564">
        <f t="shared" si="255"/>
        <v>6.7780748663101589</v>
      </c>
      <c r="Q1564">
        <f t="shared" si="256"/>
        <v>10.993119855967038</v>
      </c>
      <c r="R1564">
        <f t="shared" si="257"/>
        <v>23.891304347826001</v>
      </c>
      <c r="S1564" t="str">
        <f t="shared" si="258"/>
        <v>Good</v>
      </c>
      <c r="T1564" t="str">
        <f t="shared" si="259"/>
        <v>PM10</v>
      </c>
      <c r="U1564">
        <v>23.439930555555499</v>
      </c>
      <c r="V1564">
        <v>39.7569444444444</v>
      </c>
    </row>
    <row r="1565" spans="1:22" x14ac:dyDescent="0.3">
      <c r="A1565" s="2" t="s">
        <v>15</v>
      </c>
      <c r="B1565">
        <v>560026</v>
      </c>
      <c r="C1565" s="4">
        <v>45113</v>
      </c>
      <c r="D1565">
        <v>17.6979166666666</v>
      </c>
      <c r="E1565">
        <v>34.1666666666666</v>
      </c>
      <c r="F1565">
        <v>5.6729166666666604</v>
      </c>
      <c r="G1565">
        <v>2.1031249999999999</v>
      </c>
      <c r="H1565">
        <v>6.8413194444444398</v>
      </c>
      <c r="I1565">
        <v>0.26137681159420201</v>
      </c>
      <c r="J1565">
        <v>11.2395833333333</v>
      </c>
      <c r="K1565">
        <f t="shared" si="250"/>
        <v>29.496527777777668</v>
      </c>
      <c r="L1565">
        <f t="shared" si="251"/>
        <v>34.1666666666666</v>
      </c>
      <c r="M1565">
        <f t="shared" si="252"/>
        <v>7.0911458333333259</v>
      </c>
      <c r="N1565">
        <f t="shared" si="253"/>
        <v>0.52578124999999998</v>
      </c>
      <c r="O1565">
        <f t="shared" si="254"/>
        <v>8.55164930555555</v>
      </c>
      <c r="P1565">
        <f t="shared" si="255"/>
        <v>2.9701910408432046</v>
      </c>
      <c r="Q1565">
        <f t="shared" si="256"/>
        <v>10.40702160493824</v>
      </c>
      <c r="R1565">
        <f t="shared" si="257"/>
        <v>34.1666666666666</v>
      </c>
      <c r="S1565" t="str">
        <f t="shared" si="258"/>
        <v>Good</v>
      </c>
      <c r="T1565" t="str">
        <f t="shared" si="259"/>
        <v>PM10</v>
      </c>
      <c r="U1565">
        <v>23.424305555555499</v>
      </c>
      <c r="V1565">
        <v>28.875</v>
      </c>
    </row>
    <row r="1566" spans="1:22" x14ac:dyDescent="0.3">
      <c r="A1566" s="2" t="s">
        <v>15</v>
      </c>
      <c r="B1566">
        <v>560026</v>
      </c>
      <c r="C1566" s="4">
        <v>45114</v>
      </c>
      <c r="D1566">
        <v>10.7395833333333</v>
      </c>
      <c r="E1566">
        <v>27.6597222222222</v>
      </c>
      <c r="F1566">
        <v>5.671875</v>
      </c>
      <c r="G1566">
        <v>2.0954861111111098</v>
      </c>
      <c r="H1566">
        <v>5.5579861111111102</v>
      </c>
      <c r="I1566">
        <v>0.60736111111111102</v>
      </c>
      <c r="J1566">
        <v>11.439930555555501</v>
      </c>
      <c r="K1566">
        <f t="shared" si="250"/>
        <v>17.8993055555555</v>
      </c>
      <c r="L1566">
        <f t="shared" si="251"/>
        <v>27.6597222222222</v>
      </c>
      <c r="M1566">
        <f t="shared" si="252"/>
        <v>7.08984375</v>
      </c>
      <c r="N1566">
        <f t="shared" si="253"/>
        <v>0.52387152777777746</v>
      </c>
      <c r="O1566">
        <f t="shared" si="254"/>
        <v>6.9474826388888875</v>
      </c>
      <c r="P1566">
        <f t="shared" si="255"/>
        <v>6.9018308080808071</v>
      </c>
      <c r="Q1566">
        <f t="shared" si="256"/>
        <v>10.592528292181019</v>
      </c>
      <c r="R1566">
        <f t="shared" si="257"/>
        <v>27.6597222222222</v>
      </c>
      <c r="S1566" t="str">
        <f t="shared" si="258"/>
        <v>Good</v>
      </c>
      <c r="T1566" t="str">
        <f t="shared" si="259"/>
        <v>PM10</v>
      </c>
      <c r="U1566">
        <v>23.3840277777777</v>
      </c>
      <c r="V1566">
        <v>34.1284722222222</v>
      </c>
    </row>
    <row r="1567" spans="1:22" x14ac:dyDescent="0.3">
      <c r="A1567" s="2" t="s">
        <v>15</v>
      </c>
      <c r="B1567">
        <v>560026</v>
      </c>
      <c r="C1567" s="4">
        <v>45115</v>
      </c>
      <c r="D1567">
        <v>7.7301587301587302</v>
      </c>
      <c r="E1567">
        <v>23.2708333333333</v>
      </c>
      <c r="F1567">
        <v>5.6385416666666597</v>
      </c>
      <c r="G1567">
        <v>2.10798611111111</v>
      </c>
      <c r="H1567">
        <v>5.7319444444444398</v>
      </c>
      <c r="I1567">
        <v>0.36031249999999998</v>
      </c>
      <c r="J1567">
        <v>11.520486111111101</v>
      </c>
      <c r="K1567">
        <f t="shared" si="250"/>
        <v>12.883597883597883</v>
      </c>
      <c r="L1567">
        <f t="shared" si="251"/>
        <v>23.2708333333333</v>
      </c>
      <c r="M1567">
        <f t="shared" si="252"/>
        <v>7.0481770833333242</v>
      </c>
      <c r="N1567">
        <f t="shared" si="253"/>
        <v>0.5269965277777775</v>
      </c>
      <c r="O1567">
        <f t="shared" si="254"/>
        <v>7.16493055555555</v>
      </c>
      <c r="P1567">
        <f t="shared" si="255"/>
        <v>4.0944602272727266</v>
      </c>
      <c r="Q1567">
        <f t="shared" si="256"/>
        <v>10.667116769547315</v>
      </c>
      <c r="R1567">
        <f t="shared" si="257"/>
        <v>23.2708333333333</v>
      </c>
      <c r="S1567" t="str">
        <f t="shared" si="258"/>
        <v>Good</v>
      </c>
      <c r="T1567" t="str">
        <f t="shared" si="259"/>
        <v>PM10</v>
      </c>
      <c r="U1567">
        <v>23.0715277777777</v>
      </c>
      <c r="V1567">
        <v>32.1979166666666</v>
      </c>
    </row>
    <row r="1568" spans="1:22" x14ac:dyDescent="0.3">
      <c r="A1568" s="2" t="s">
        <v>15</v>
      </c>
      <c r="B1568">
        <v>560026</v>
      </c>
      <c r="C1568" s="4">
        <v>45116</v>
      </c>
      <c r="D1568">
        <v>8.3263888888888893</v>
      </c>
      <c r="E1568">
        <v>21.8819444444444</v>
      </c>
      <c r="F1568">
        <v>5.6156249999999996</v>
      </c>
      <c r="G1568">
        <v>2.10104166666666</v>
      </c>
      <c r="H1568">
        <v>7.0503472222222197</v>
      </c>
      <c r="I1568">
        <v>0.32083333333333303</v>
      </c>
      <c r="J1568">
        <v>11.5739583333333</v>
      </c>
      <c r="K1568">
        <f t="shared" si="250"/>
        <v>13.877314814814815</v>
      </c>
      <c r="L1568">
        <f t="shared" si="251"/>
        <v>21.8819444444444</v>
      </c>
      <c r="M1568">
        <f t="shared" si="252"/>
        <v>7.01953125</v>
      </c>
      <c r="N1568">
        <f t="shared" si="253"/>
        <v>0.52526041666666501</v>
      </c>
      <c r="O1568">
        <f t="shared" si="254"/>
        <v>8.812934027777775</v>
      </c>
      <c r="P1568">
        <f t="shared" si="255"/>
        <v>3.6458333333333299</v>
      </c>
      <c r="Q1568">
        <f t="shared" si="256"/>
        <v>10.716628086419723</v>
      </c>
      <c r="R1568">
        <f t="shared" si="257"/>
        <v>21.8819444444444</v>
      </c>
      <c r="S1568" t="str">
        <f t="shared" si="258"/>
        <v>Good</v>
      </c>
      <c r="T1568" t="str">
        <f t="shared" si="259"/>
        <v>PM10</v>
      </c>
      <c r="U1568">
        <v>24.754166666666599</v>
      </c>
      <c r="V1568">
        <v>28.3229166666666</v>
      </c>
    </row>
    <row r="1569" spans="1:22" x14ac:dyDescent="0.3">
      <c r="A1569" s="2" t="s">
        <v>15</v>
      </c>
      <c r="B1569">
        <v>560026</v>
      </c>
      <c r="C1569" s="4">
        <v>45117</v>
      </c>
      <c r="D1569">
        <v>13.2534722222222</v>
      </c>
      <c r="E1569">
        <v>30.5729166666666</v>
      </c>
      <c r="F1569">
        <v>5.703125</v>
      </c>
      <c r="G1569">
        <v>2.0833333333333299</v>
      </c>
      <c r="H1569">
        <v>6.26423611111111</v>
      </c>
      <c r="I1569">
        <v>0.681840277777777</v>
      </c>
      <c r="J1569">
        <v>11.3177083333333</v>
      </c>
      <c r="K1569">
        <f t="shared" si="250"/>
        <v>22.089120370370331</v>
      </c>
      <c r="L1569">
        <f t="shared" si="251"/>
        <v>30.5729166666666</v>
      </c>
      <c r="M1569">
        <f t="shared" si="252"/>
        <v>7.12890625</v>
      </c>
      <c r="N1569">
        <f t="shared" si="253"/>
        <v>0.52083333333333248</v>
      </c>
      <c r="O1569">
        <f t="shared" si="254"/>
        <v>7.8302951388888875</v>
      </c>
      <c r="P1569">
        <f t="shared" si="255"/>
        <v>7.748184974747466</v>
      </c>
      <c r="Q1569">
        <f t="shared" si="256"/>
        <v>10.479359567901204</v>
      </c>
      <c r="R1569">
        <f t="shared" si="257"/>
        <v>30.5729166666666</v>
      </c>
      <c r="S1569" t="str">
        <f t="shared" si="258"/>
        <v>Good</v>
      </c>
      <c r="T1569" t="str">
        <f t="shared" si="259"/>
        <v>PM10</v>
      </c>
      <c r="U1569">
        <v>24.169791666666601</v>
      </c>
      <c r="V1569">
        <v>41.8020833333333</v>
      </c>
    </row>
    <row r="1570" spans="1:22" x14ac:dyDescent="0.3">
      <c r="A1570" s="2" t="s">
        <v>15</v>
      </c>
      <c r="B1570">
        <v>560026</v>
      </c>
      <c r="C1570" s="4">
        <v>45118</v>
      </c>
      <c r="D1570">
        <v>12.7222222222222</v>
      </c>
      <c r="E1570">
        <v>35.6944444444444</v>
      </c>
      <c r="F1570">
        <v>5.6666666666666599</v>
      </c>
      <c r="G1570">
        <v>2.0885416666666599</v>
      </c>
      <c r="H1570">
        <v>6.7027777777777704</v>
      </c>
      <c r="I1570">
        <v>0.52083333333333304</v>
      </c>
      <c r="J1570">
        <v>11.629166666666601</v>
      </c>
      <c r="K1570">
        <f t="shared" si="250"/>
        <v>21.203703703703663</v>
      </c>
      <c r="L1570">
        <f t="shared" si="251"/>
        <v>35.6944444444444</v>
      </c>
      <c r="M1570">
        <f t="shared" si="252"/>
        <v>7.0833333333333242</v>
      </c>
      <c r="N1570">
        <f t="shared" si="253"/>
        <v>0.52213541666666496</v>
      </c>
      <c r="O1570">
        <f t="shared" si="254"/>
        <v>8.3784722222222126</v>
      </c>
      <c r="P1570">
        <f t="shared" si="255"/>
        <v>5.9185606060606029</v>
      </c>
      <c r="Q1570">
        <f t="shared" si="256"/>
        <v>10.767746913580186</v>
      </c>
      <c r="R1570">
        <f t="shared" si="257"/>
        <v>35.6944444444444</v>
      </c>
      <c r="S1570" t="str">
        <f t="shared" si="258"/>
        <v>Good</v>
      </c>
      <c r="T1570" t="str">
        <f t="shared" si="259"/>
        <v>PM10</v>
      </c>
      <c r="U1570">
        <v>23.580555555555499</v>
      </c>
      <c r="V1570">
        <v>45.1041666666666</v>
      </c>
    </row>
    <row r="1571" spans="1:22" x14ac:dyDescent="0.3">
      <c r="A1571" s="2" t="s">
        <v>15</v>
      </c>
      <c r="B1571">
        <v>560026</v>
      </c>
      <c r="C1571" s="4">
        <v>45119</v>
      </c>
      <c r="D1571">
        <v>12.7222222222222</v>
      </c>
      <c r="E1571">
        <v>36.4236111111111</v>
      </c>
      <c r="F1571">
        <v>5.6927083333333304</v>
      </c>
      <c r="G1571">
        <v>2.0815972222222201</v>
      </c>
      <c r="H1571">
        <v>5.8604166666666604</v>
      </c>
      <c r="I1571">
        <v>0.55645833333333306</v>
      </c>
      <c r="J1571">
        <v>11.4652777777777</v>
      </c>
      <c r="K1571">
        <f t="shared" si="250"/>
        <v>21.203703703703663</v>
      </c>
      <c r="L1571">
        <f t="shared" si="251"/>
        <v>36.4236111111111</v>
      </c>
      <c r="M1571">
        <f t="shared" si="252"/>
        <v>7.1158854166666625</v>
      </c>
      <c r="N1571">
        <f t="shared" si="253"/>
        <v>0.52039930555555503</v>
      </c>
      <c r="O1571">
        <f t="shared" si="254"/>
        <v>7.3255208333333259</v>
      </c>
      <c r="P1571">
        <f t="shared" si="255"/>
        <v>6.3233901515151478</v>
      </c>
      <c r="Q1571">
        <f t="shared" si="256"/>
        <v>10.615997942386759</v>
      </c>
      <c r="R1571">
        <f t="shared" si="257"/>
        <v>36.4236111111111</v>
      </c>
      <c r="S1571" t="str">
        <f t="shared" si="258"/>
        <v>Good</v>
      </c>
      <c r="T1571" t="str">
        <f t="shared" si="259"/>
        <v>PM10</v>
      </c>
      <c r="U1571">
        <v>24.750694444444399</v>
      </c>
      <c r="V1571">
        <v>36.1666666666666</v>
      </c>
    </row>
    <row r="1572" spans="1:22" x14ac:dyDescent="0.3">
      <c r="A1572" s="2" t="s">
        <v>15</v>
      </c>
      <c r="B1572">
        <v>560026</v>
      </c>
      <c r="C1572" s="4">
        <v>45120</v>
      </c>
      <c r="D1572">
        <v>8.2847222222222197</v>
      </c>
      <c r="E1572">
        <v>23.7083333333333</v>
      </c>
      <c r="F1572">
        <v>5.6673611111111102</v>
      </c>
      <c r="G1572">
        <v>2.1027777777777699</v>
      </c>
      <c r="H1572">
        <v>5.9753472222222204</v>
      </c>
      <c r="I1572">
        <v>0.645625</v>
      </c>
      <c r="J1572">
        <v>11.6319444444444</v>
      </c>
      <c r="K1572">
        <f t="shared" si="250"/>
        <v>13.807870370370365</v>
      </c>
      <c r="L1572">
        <f t="shared" si="251"/>
        <v>23.7083333333333</v>
      </c>
      <c r="M1572">
        <f t="shared" si="252"/>
        <v>7.0842013888888875</v>
      </c>
      <c r="N1572">
        <f t="shared" si="253"/>
        <v>0.52569444444444247</v>
      </c>
      <c r="O1572">
        <f t="shared" si="254"/>
        <v>7.4691840277777759</v>
      </c>
      <c r="P1572">
        <f t="shared" si="255"/>
        <v>7.3366477272727275</v>
      </c>
      <c r="Q1572">
        <f t="shared" si="256"/>
        <v>10.770318930041112</v>
      </c>
      <c r="R1572">
        <f t="shared" si="257"/>
        <v>23.7083333333333</v>
      </c>
      <c r="S1572" t="str">
        <f t="shared" si="258"/>
        <v>Good</v>
      </c>
      <c r="T1572" t="str">
        <f t="shared" si="259"/>
        <v>PM10</v>
      </c>
      <c r="U1572">
        <v>23.8701388888888</v>
      </c>
      <c r="V1572">
        <v>34.9791666666666</v>
      </c>
    </row>
    <row r="1573" spans="1:22" x14ac:dyDescent="0.3">
      <c r="A1573" s="2" t="s">
        <v>15</v>
      </c>
      <c r="B1573">
        <v>560026</v>
      </c>
      <c r="C1573" s="4">
        <v>45121</v>
      </c>
      <c r="D1573">
        <v>10.0416666666666</v>
      </c>
      <c r="E1573">
        <v>26.96875</v>
      </c>
      <c r="F1573">
        <v>5.5958333333333297</v>
      </c>
      <c r="G1573">
        <v>2.1097222222222198</v>
      </c>
      <c r="H1573">
        <v>6.35659722222222</v>
      </c>
      <c r="I1573">
        <v>0.51510416666666603</v>
      </c>
      <c r="J1573">
        <v>11.723611111111101</v>
      </c>
      <c r="K1573">
        <f t="shared" si="250"/>
        <v>16.736111111111001</v>
      </c>
      <c r="L1573">
        <f t="shared" si="251"/>
        <v>26.96875</v>
      </c>
      <c r="M1573">
        <f t="shared" si="252"/>
        <v>6.9947916666666616</v>
      </c>
      <c r="N1573">
        <f t="shared" si="253"/>
        <v>0.52743055555555496</v>
      </c>
      <c r="O1573">
        <f t="shared" si="254"/>
        <v>7.9457465277777741</v>
      </c>
      <c r="P1573">
        <f t="shared" si="255"/>
        <v>5.8534564393939323</v>
      </c>
      <c r="Q1573">
        <f t="shared" si="256"/>
        <v>10.855195473251019</v>
      </c>
      <c r="R1573">
        <f t="shared" si="257"/>
        <v>26.96875</v>
      </c>
      <c r="S1573" t="str">
        <f t="shared" si="258"/>
        <v>Good</v>
      </c>
      <c r="T1573" t="str">
        <f t="shared" si="259"/>
        <v>PM10</v>
      </c>
      <c r="U1573">
        <v>24.3822916666666</v>
      </c>
      <c r="V1573">
        <v>30.0347222222222</v>
      </c>
    </row>
    <row r="1574" spans="1:22" x14ac:dyDescent="0.3">
      <c r="A1574" s="2" t="s">
        <v>15</v>
      </c>
      <c r="B1574">
        <v>560026</v>
      </c>
      <c r="C1574" s="4">
        <v>45122</v>
      </c>
      <c r="D1574">
        <v>17.776515151515099</v>
      </c>
      <c r="E1574">
        <v>36.434782608695599</v>
      </c>
      <c r="F1574">
        <v>5.6572916666666604</v>
      </c>
      <c r="G1574">
        <v>2.0947916666666599</v>
      </c>
      <c r="H1574">
        <v>6.4767361111111104</v>
      </c>
      <c r="I1574">
        <v>0.50348484848484798</v>
      </c>
      <c r="J1574">
        <v>11.420833333333301</v>
      </c>
      <c r="K1574">
        <f t="shared" si="250"/>
        <v>29.627525252525167</v>
      </c>
      <c r="L1574">
        <f t="shared" si="251"/>
        <v>36.434782608695599</v>
      </c>
      <c r="M1574">
        <f t="shared" si="252"/>
        <v>7.0716145833333259</v>
      </c>
      <c r="N1574">
        <f t="shared" si="253"/>
        <v>0.52369791666666499</v>
      </c>
      <c r="O1574">
        <f t="shared" si="254"/>
        <v>8.0959201388888893</v>
      </c>
      <c r="P1574">
        <f t="shared" si="255"/>
        <v>5.7214187327823636</v>
      </c>
      <c r="Q1574">
        <f t="shared" si="256"/>
        <v>10.574845679012315</v>
      </c>
      <c r="R1574">
        <f t="shared" si="257"/>
        <v>36.434782608695599</v>
      </c>
      <c r="S1574" t="str">
        <f t="shared" si="258"/>
        <v>Good</v>
      </c>
      <c r="T1574" t="str">
        <f t="shared" si="259"/>
        <v>PM10</v>
      </c>
      <c r="U1574">
        <v>25.051736111111101</v>
      </c>
      <c r="V1574">
        <v>21.8125</v>
      </c>
    </row>
    <row r="1575" spans="1:22" x14ac:dyDescent="0.3">
      <c r="A1575" s="2" t="s">
        <v>15</v>
      </c>
      <c r="B1575">
        <v>560026</v>
      </c>
      <c r="C1575" s="4">
        <v>45123</v>
      </c>
      <c r="D1575">
        <v>9.125</v>
      </c>
      <c r="E1575">
        <v>28.0590277777777</v>
      </c>
      <c r="F1575">
        <v>5.6645833333333302</v>
      </c>
      <c r="G1575">
        <v>2.1072916666666601</v>
      </c>
      <c r="H1575">
        <v>5.4166666666666599</v>
      </c>
      <c r="I1575">
        <v>0.37489583333333298</v>
      </c>
      <c r="J1575">
        <v>11.4583333333333</v>
      </c>
      <c r="K1575">
        <f t="shared" si="250"/>
        <v>15.208333333333334</v>
      </c>
      <c r="L1575">
        <f t="shared" si="251"/>
        <v>28.0590277777777</v>
      </c>
      <c r="M1575">
        <f t="shared" si="252"/>
        <v>7.0807291666666625</v>
      </c>
      <c r="N1575">
        <f t="shared" si="253"/>
        <v>0.52682291666666503</v>
      </c>
      <c r="O1575">
        <f t="shared" si="254"/>
        <v>6.7708333333333242</v>
      </c>
      <c r="P1575">
        <f t="shared" si="255"/>
        <v>4.2601799242424203</v>
      </c>
      <c r="Q1575">
        <f t="shared" si="256"/>
        <v>10.609567901234538</v>
      </c>
      <c r="R1575">
        <f t="shared" si="257"/>
        <v>28.0590277777777</v>
      </c>
      <c r="S1575" t="str">
        <f t="shared" si="258"/>
        <v>Good</v>
      </c>
      <c r="T1575" t="str">
        <f t="shared" si="259"/>
        <v>PM10</v>
      </c>
      <c r="U1575">
        <v>24.860416666666602</v>
      </c>
      <c r="V1575">
        <v>16.3229166666666</v>
      </c>
    </row>
    <row r="1576" spans="1:22" x14ac:dyDescent="0.3">
      <c r="A1576" s="2" t="s">
        <v>15</v>
      </c>
      <c r="B1576">
        <v>560026</v>
      </c>
      <c r="C1576" s="4">
        <v>45124</v>
      </c>
      <c r="D1576">
        <v>20.3159722222222</v>
      </c>
      <c r="E1576">
        <v>42.7013888888888</v>
      </c>
      <c r="F1576">
        <v>5.6614583333333304</v>
      </c>
      <c r="G1576">
        <v>2.1041666666666599</v>
      </c>
      <c r="H1576">
        <v>6.5350694444444404</v>
      </c>
      <c r="I1576">
        <v>0.47520833333333301</v>
      </c>
      <c r="J1576">
        <v>11.5270833333333</v>
      </c>
      <c r="K1576">
        <f t="shared" si="250"/>
        <v>33.859953703703667</v>
      </c>
      <c r="L1576">
        <f t="shared" si="251"/>
        <v>42.7013888888888</v>
      </c>
      <c r="M1576">
        <f t="shared" si="252"/>
        <v>7.0768229166666625</v>
      </c>
      <c r="N1576">
        <f t="shared" si="253"/>
        <v>0.52604166666666496</v>
      </c>
      <c r="O1576">
        <f t="shared" si="254"/>
        <v>8.16883680555555</v>
      </c>
      <c r="P1576">
        <f t="shared" si="255"/>
        <v>5.4000946969696928</v>
      </c>
      <c r="Q1576">
        <f t="shared" si="256"/>
        <v>10.673225308641944</v>
      </c>
      <c r="R1576">
        <f t="shared" si="257"/>
        <v>42.7013888888888</v>
      </c>
      <c r="S1576" t="str">
        <f t="shared" si="258"/>
        <v>Good</v>
      </c>
      <c r="T1576" t="str">
        <f t="shared" si="259"/>
        <v>PM10</v>
      </c>
      <c r="U1576">
        <v>24.768402777777698</v>
      </c>
      <c r="V1576">
        <v>17.09375</v>
      </c>
    </row>
    <row r="1577" spans="1:22" x14ac:dyDescent="0.3">
      <c r="A1577" s="2" t="s">
        <v>15</v>
      </c>
      <c r="B1577">
        <v>560026</v>
      </c>
      <c r="C1577" s="4">
        <v>45125</v>
      </c>
      <c r="D1577">
        <v>15.1388888888888</v>
      </c>
      <c r="E1577">
        <v>38.1701388888888</v>
      </c>
      <c r="F1577">
        <v>5.7361111111111098</v>
      </c>
      <c r="G1577">
        <v>2.09826388888888</v>
      </c>
      <c r="H1577">
        <v>5.9010416666666599</v>
      </c>
      <c r="I1577">
        <v>0.50378472222222204</v>
      </c>
      <c r="J1577">
        <v>11.687152777777699</v>
      </c>
      <c r="K1577">
        <f t="shared" si="250"/>
        <v>25.231481481481335</v>
      </c>
      <c r="L1577">
        <f t="shared" si="251"/>
        <v>38.1701388888888</v>
      </c>
      <c r="M1577">
        <f t="shared" si="252"/>
        <v>7.1701388888888875</v>
      </c>
      <c r="N1577">
        <f t="shared" si="253"/>
        <v>0.52456597222222001</v>
      </c>
      <c r="O1577">
        <f t="shared" si="254"/>
        <v>7.3763020833333242</v>
      </c>
      <c r="P1577">
        <f t="shared" si="255"/>
        <v>5.7248263888888866</v>
      </c>
      <c r="Q1577">
        <f t="shared" si="256"/>
        <v>10.821437757201574</v>
      </c>
      <c r="R1577">
        <f t="shared" si="257"/>
        <v>38.1701388888888</v>
      </c>
      <c r="S1577" t="str">
        <f t="shared" si="258"/>
        <v>Good</v>
      </c>
      <c r="T1577" t="str">
        <f t="shared" si="259"/>
        <v>PM10</v>
      </c>
      <c r="U1577">
        <v>24.921527777777701</v>
      </c>
      <c r="V1577">
        <v>17.34375</v>
      </c>
    </row>
    <row r="1578" spans="1:22" x14ac:dyDescent="0.3">
      <c r="A1578" s="2" t="s">
        <v>15</v>
      </c>
      <c r="B1578">
        <v>560026</v>
      </c>
      <c r="C1578" s="4">
        <v>45126</v>
      </c>
      <c r="D1578">
        <v>11.531746031746</v>
      </c>
      <c r="E1578">
        <v>33.206349206349202</v>
      </c>
      <c r="F1578">
        <v>5.63492063492063</v>
      </c>
      <c r="G1578">
        <v>2.0988095238095199</v>
      </c>
      <c r="H1578">
        <v>5.2366666666666601</v>
      </c>
      <c r="I1578">
        <v>1.07342592592592</v>
      </c>
      <c r="J1578">
        <v>12.2523809523809</v>
      </c>
      <c r="K1578">
        <f t="shared" si="250"/>
        <v>19.219576719576665</v>
      </c>
      <c r="L1578">
        <f t="shared" si="251"/>
        <v>33.206349206349202</v>
      </c>
      <c r="M1578">
        <f t="shared" si="252"/>
        <v>7.0436507936507882</v>
      </c>
      <c r="N1578">
        <f t="shared" si="253"/>
        <v>0.52470238095237998</v>
      </c>
      <c r="O1578">
        <f t="shared" si="254"/>
        <v>6.5458333333333254</v>
      </c>
      <c r="P1578">
        <f t="shared" si="255"/>
        <v>12.198021885521818</v>
      </c>
      <c r="Q1578">
        <f t="shared" si="256"/>
        <v>11.344797178130463</v>
      </c>
      <c r="R1578">
        <f t="shared" si="257"/>
        <v>33.206349206349202</v>
      </c>
      <c r="S1578" t="str">
        <f t="shared" si="258"/>
        <v>Good</v>
      </c>
      <c r="T1578" t="str">
        <f t="shared" si="259"/>
        <v>PM10</v>
      </c>
      <c r="U1578">
        <v>23.8365079365079</v>
      </c>
      <c r="V1578">
        <v>17.1630434782608</v>
      </c>
    </row>
    <row r="1579" spans="1:22" x14ac:dyDescent="0.3">
      <c r="A1579" s="2" t="s">
        <v>15</v>
      </c>
      <c r="B1579">
        <v>560026</v>
      </c>
      <c r="C1579" s="4">
        <v>45127</v>
      </c>
      <c r="D1579">
        <v>16.8888888888888</v>
      </c>
      <c r="E1579">
        <v>45.7569444444444</v>
      </c>
      <c r="F1579">
        <v>5.6666666666666599</v>
      </c>
      <c r="G1579">
        <v>2.0916666666666601</v>
      </c>
      <c r="H1579">
        <v>5.4756944444444402</v>
      </c>
      <c r="I1579">
        <v>0.60039473684210498</v>
      </c>
      <c r="J1579">
        <v>11.6927083333333</v>
      </c>
      <c r="K1579">
        <f t="shared" si="250"/>
        <v>28.148148148148</v>
      </c>
      <c r="L1579">
        <f t="shared" si="251"/>
        <v>45.7569444444444</v>
      </c>
      <c r="M1579">
        <f t="shared" si="252"/>
        <v>7.0833333333333242</v>
      </c>
      <c r="N1579">
        <f t="shared" si="253"/>
        <v>0.52291666666666503</v>
      </c>
      <c r="O1579">
        <f t="shared" si="254"/>
        <v>6.84461805555555</v>
      </c>
      <c r="P1579">
        <f t="shared" si="255"/>
        <v>6.8226674641148293</v>
      </c>
      <c r="Q1579">
        <f t="shared" si="256"/>
        <v>10.826581790123425</v>
      </c>
      <c r="R1579">
        <f t="shared" si="257"/>
        <v>45.7569444444444</v>
      </c>
      <c r="S1579" t="str">
        <f t="shared" si="258"/>
        <v>Good</v>
      </c>
      <c r="T1579" t="str">
        <f t="shared" si="259"/>
        <v>PM10</v>
      </c>
      <c r="U1579">
        <v>24.876041666666602</v>
      </c>
      <c r="V1579">
        <v>17.3020833333333</v>
      </c>
    </row>
    <row r="1580" spans="1:22" x14ac:dyDescent="0.3">
      <c r="A1580" s="2" t="s">
        <v>15</v>
      </c>
      <c r="B1580">
        <v>560026</v>
      </c>
      <c r="C1580" s="4">
        <v>45128</v>
      </c>
      <c r="D1580">
        <v>14.2569444444444</v>
      </c>
      <c r="E1580">
        <v>43.3680555555555</v>
      </c>
      <c r="F1580">
        <v>5.671875</v>
      </c>
      <c r="G1580">
        <v>2.0947916666666599</v>
      </c>
      <c r="H1580">
        <v>5.8173611111111097</v>
      </c>
      <c r="I1580">
        <v>0.207708333333333</v>
      </c>
      <c r="J1580">
        <v>11.356249999999999</v>
      </c>
      <c r="K1580">
        <f t="shared" si="250"/>
        <v>23.761574074074002</v>
      </c>
      <c r="L1580">
        <f t="shared" si="251"/>
        <v>43.3680555555555</v>
      </c>
      <c r="M1580">
        <f t="shared" si="252"/>
        <v>7.08984375</v>
      </c>
      <c r="N1580">
        <f t="shared" si="253"/>
        <v>0.52369791666666499</v>
      </c>
      <c r="O1580">
        <f t="shared" si="254"/>
        <v>7.2717013888888875</v>
      </c>
      <c r="P1580">
        <f t="shared" si="255"/>
        <v>2.3603219696969657</v>
      </c>
      <c r="Q1580">
        <f t="shared" si="256"/>
        <v>10.515046296296296</v>
      </c>
      <c r="R1580">
        <f t="shared" si="257"/>
        <v>43.3680555555555</v>
      </c>
      <c r="S1580" t="str">
        <f t="shared" si="258"/>
        <v>Good</v>
      </c>
      <c r="T1580" t="str">
        <f t="shared" si="259"/>
        <v>PM10</v>
      </c>
      <c r="U1580">
        <v>24.799652777777698</v>
      </c>
      <c r="V1580">
        <v>17.8229166666666</v>
      </c>
    </row>
    <row r="1581" spans="1:22" x14ac:dyDescent="0.3">
      <c r="A1581" s="2" t="s">
        <v>15</v>
      </c>
      <c r="B1581">
        <v>560026</v>
      </c>
      <c r="C1581" s="4">
        <v>45129</v>
      </c>
      <c r="D1581">
        <v>23.672222222222199</v>
      </c>
      <c r="E1581">
        <v>31.035714285714199</v>
      </c>
      <c r="F1581">
        <v>5.6583333333333297</v>
      </c>
      <c r="G1581">
        <v>2.1020833333333302</v>
      </c>
      <c r="H1581">
        <v>5.3440972222222198</v>
      </c>
      <c r="I1581">
        <v>0.54993055555555503</v>
      </c>
      <c r="J1581">
        <v>11.049999999999899</v>
      </c>
      <c r="K1581">
        <f t="shared" si="250"/>
        <v>39.453703703703667</v>
      </c>
      <c r="L1581">
        <f t="shared" si="251"/>
        <v>31.035714285714199</v>
      </c>
      <c r="M1581">
        <f t="shared" si="252"/>
        <v>7.0729166666666616</v>
      </c>
      <c r="N1581">
        <f t="shared" si="253"/>
        <v>0.52552083333333255</v>
      </c>
      <c r="O1581">
        <f t="shared" si="254"/>
        <v>6.6801215277777741</v>
      </c>
      <c r="P1581">
        <f t="shared" si="255"/>
        <v>6.2492108585858528</v>
      </c>
      <c r="Q1581">
        <f t="shared" si="256"/>
        <v>10.231481481481389</v>
      </c>
      <c r="R1581">
        <f t="shared" si="257"/>
        <v>39.453703703703667</v>
      </c>
      <c r="S1581" t="str">
        <f t="shared" si="258"/>
        <v>Good</v>
      </c>
      <c r="T1581" t="str">
        <f t="shared" si="259"/>
        <v>PM2.5</v>
      </c>
      <c r="U1581">
        <v>24.0902777777777</v>
      </c>
      <c r="V1581">
        <v>18.71875</v>
      </c>
    </row>
    <row r="1582" spans="1:22" x14ac:dyDescent="0.3">
      <c r="A1582" s="2" t="s">
        <v>15</v>
      </c>
      <c r="B1582">
        <v>560026</v>
      </c>
      <c r="C1582" s="4">
        <v>45130</v>
      </c>
      <c r="D1582">
        <v>8.7916666666666607</v>
      </c>
      <c r="E1582">
        <v>20.0972222222222</v>
      </c>
      <c r="F1582">
        <v>5.6177083333333302</v>
      </c>
      <c r="G1582">
        <v>2.109375</v>
      </c>
      <c r="H1582">
        <v>5.3333333333333304</v>
      </c>
      <c r="I1582">
        <v>0.40795138888888799</v>
      </c>
      <c r="J1582">
        <v>11.121874999999999</v>
      </c>
      <c r="K1582">
        <f t="shared" si="250"/>
        <v>14.652777777777768</v>
      </c>
      <c r="L1582">
        <f t="shared" si="251"/>
        <v>20.0972222222222</v>
      </c>
      <c r="M1582">
        <f t="shared" si="252"/>
        <v>7.0221354166666625</v>
      </c>
      <c r="N1582">
        <f t="shared" si="253"/>
        <v>0.52734375</v>
      </c>
      <c r="O1582">
        <f t="shared" si="254"/>
        <v>6.6666666666666625</v>
      </c>
      <c r="P1582">
        <f t="shared" si="255"/>
        <v>4.6358112373737272</v>
      </c>
      <c r="Q1582">
        <f t="shared" si="256"/>
        <v>10.298032407407407</v>
      </c>
      <c r="R1582">
        <f t="shared" si="257"/>
        <v>20.0972222222222</v>
      </c>
      <c r="S1582" t="str">
        <f t="shared" si="258"/>
        <v>Good</v>
      </c>
      <c r="T1582" t="str">
        <f t="shared" si="259"/>
        <v>PM10</v>
      </c>
      <c r="U1582">
        <v>23.294791666666601</v>
      </c>
      <c r="V1582">
        <v>20.8645833333333</v>
      </c>
    </row>
    <row r="1583" spans="1:22" x14ac:dyDescent="0.3">
      <c r="A1583" s="2" t="s">
        <v>15</v>
      </c>
      <c r="B1583">
        <v>560026</v>
      </c>
      <c r="C1583" s="4">
        <v>45131</v>
      </c>
      <c r="D1583">
        <v>7.4479166666666599</v>
      </c>
      <c r="E1583">
        <v>17.6666666666666</v>
      </c>
      <c r="F1583">
        <v>5.5843749999999996</v>
      </c>
      <c r="G1583">
        <v>2.125</v>
      </c>
      <c r="H1583">
        <v>5.28993055555555</v>
      </c>
      <c r="I1583">
        <v>0.46861111111111098</v>
      </c>
      <c r="J1583">
        <v>11.423958333333299</v>
      </c>
      <c r="K1583">
        <f t="shared" si="250"/>
        <v>12.413194444444432</v>
      </c>
      <c r="L1583">
        <f t="shared" si="251"/>
        <v>17.6666666666666</v>
      </c>
      <c r="M1583">
        <f t="shared" si="252"/>
        <v>6.98046875</v>
      </c>
      <c r="N1583">
        <f t="shared" si="253"/>
        <v>0.53125</v>
      </c>
      <c r="O1583">
        <f t="shared" si="254"/>
        <v>6.6124131944444375</v>
      </c>
      <c r="P1583">
        <f t="shared" si="255"/>
        <v>5.3251262626262612</v>
      </c>
      <c r="Q1583">
        <f t="shared" si="256"/>
        <v>10.577739197530834</v>
      </c>
      <c r="R1583">
        <f t="shared" si="257"/>
        <v>17.6666666666666</v>
      </c>
      <c r="S1583" t="str">
        <f t="shared" si="258"/>
        <v>Good</v>
      </c>
      <c r="T1583" t="str">
        <f t="shared" si="259"/>
        <v>PM10</v>
      </c>
      <c r="U1583">
        <v>22.218055555555502</v>
      </c>
      <c r="V1583">
        <v>25.15625</v>
      </c>
    </row>
    <row r="1584" spans="1:22" x14ac:dyDescent="0.3">
      <c r="A1584" s="2" t="s">
        <v>15</v>
      </c>
      <c r="B1584">
        <v>560026</v>
      </c>
      <c r="C1584" s="4">
        <v>45132</v>
      </c>
      <c r="D1584">
        <v>5.6847826086956497</v>
      </c>
      <c r="E1584">
        <v>16.2361111111111</v>
      </c>
      <c r="F1584">
        <v>5.65625</v>
      </c>
      <c r="G1584">
        <v>2.1041666666666599</v>
      </c>
      <c r="H1584">
        <v>5.6729166666666604</v>
      </c>
      <c r="I1584">
        <v>0.51503472222222202</v>
      </c>
      <c r="J1584">
        <v>11.435416666666599</v>
      </c>
      <c r="K1584">
        <f t="shared" si="250"/>
        <v>9.4746376811594164</v>
      </c>
      <c r="L1584">
        <f t="shared" si="251"/>
        <v>16.2361111111111</v>
      </c>
      <c r="M1584">
        <f t="shared" si="252"/>
        <v>7.0703125</v>
      </c>
      <c r="N1584">
        <f t="shared" si="253"/>
        <v>0.52604166666666496</v>
      </c>
      <c r="O1584">
        <f t="shared" si="254"/>
        <v>7.0911458333333259</v>
      </c>
      <c r="P1584">
        <f t="shared" si="255"/>
        <v>5.8526672979797958</v>
      </c>
      <c r="Q1584">
        <f t="shared" si="256"/>
        <v>10.588348765432036</v>
      </c>
      <c r="R1584">
        <f t="shared" si="257"/>
        <v>16.2361111111111</v>
      </c>
      <c r="S1584" t="str">
        <f t="shared" si="258"/>
        <v>Good</v>
      </c>
      <c r="T1584" t="str">
        <f t="shared" si="259"/>
        <v>PM10</v>
      </c>
      <c r="U1584">
        <v>22.360069444444399</v>
      </c>
      <c r="V1584">
        <v>24.0520833333333</v>
      </c>
    </row>
    <row r="1585" spans="1:22" x14ac:dyDescent="0.3">
      <c r="A1585" s="2" t="s">
        <v>15</v>
      </c>
      <c r="B1585">
        <v>560026</v>
      </c>
      <c r="C1585" s="4">
        <v>45133</v>
      </c>
      <c r="D1585">
        <v>4.9868421052631504</v>
      </c>
      <c r="E1585">
        <v>14.5347222222222</v>
      </c>
      <c r="F1585">
        <v>5.7052083333333297</v>
      </c>
      <c r="G1585">
        <v>2.0906250000000002</v>
      </c>
      <c r="H1585">
        <v>7.0420138888888797</v>
      </c>
      <c r="I1585">
        <v>0.435347222222222</v>
      </c>
      <c r="J1585">
        <v>11.6729166666666</v>
      </c>
      <c r="K1585">
        <f t="shared" si="250"/>
        <v>8.3114035087719174</v>
      </c>
      <c r="L1585">
        <f t="shared" si="251"/>
        <v>14.5347222222222</v>
      </c>
      <c r="M1585">
        <f t="shared" si="252"/>
        <v>7.1315104166666616</v>
      </c>
      <c r="N1585">
        <f t="shared" si="253"/>
        <v>0.52265625000000004</v>
      </c>
      <c r="O1585">
        <f t="shared" si="254"/>
        <v>8.8025173611111001</v>
      </c>
      <c r="P1585">
        <f t="shared" si="255"/>
        <v>4.9471275252525224</v>
      </c>
      <c r="Q1585">
        <f t="shared" si="256"/>
        <v>10.808256172839444</v>
      </c>
      <c r="R1585">
        <f t="shared" si="257"/>
        <v>14.5347222222222</v>
      </c>
      <c r="S1585" t="str">
        <f t="shared" si="258"/>
        <v>Good</v>
      </c>
      <c r="T1585" t="str">
        <f t="shared" si="259"/>
        <v>PM10</v>
      </c>
      <c r="U1585">
        <v>22.006597222222201</v>
      </c>
      <c r="V1585">
        <v>34.0520833333333</v>
      </c>
    </row>
    <row r="1586" spans="1:22" x14ac:dyDescent="0.3">
      <c r="A1586" s="2" t="s">
        <v>15</v>
      </c>
      <c r="B1586">
        <v>560026</v>
      </c>
      <c r="C1586" s="4">
        <v>45134</v>
      </c>
      <c r="D1586">
        <v>6.5434782608695601</v>
      </c>
      <c r="E1586">
        <v>22.9895833333333</v>
      </c>
      <c r="F1586">
        <v>5.6343749999999897</v>
      </c>
      <c r="G1586">
        <v>2.0947916666666599</v>
      </c>
      <c r="H1586">
        <v>6.14930555555555</v>
      </c>
      <c r="I1586">
        <v>0.53416666666666601</v>
      </c>
      <c r="J1586">
        <v>11.544791666666599</v>
      </c>
      <c r="K1586">
        <f t="shared" si="250"/>
        <v>10.905797101449268</v>
      </c>
      <c r="L1586">
        <f t="shared" si="251"/>
        <v>22.9895833333333</v>
      </c>
      <c r="M1586">
        <f t="shared" si="252"/>
        <v>7.0429687499999876</v>
      </c>
      <c r="N1586">
        <f t="shared" si="253"/>
        <v>0.52369791666666499</v>
      </c>
      <c r="O1586">
        <f t="shared" si="254"/>
        <v>7.6866319444444375</v>
      </c>
      <c r="P1586">
        <f t="shared" si="255"/>
        <v>6.0700757575757498</v>
      </c>
      <c r="Q1586">
        <f t="shared" si="256"/>
        <v>10.689621913580185</v>
      </c>
      <c r="R1586">
        <f t="shared" si="257"/>
        <v>22.9895833333333</v>
      </c>
      <c r="S1586" t="str">
        <f t="shared" si="258"/>
        <v>Good</v>
      </c>
      <c r="T1586" t="str">
        <f t="shared" si="259"/>
        <v>PM10</v>
      </c>
      <c r="U1586">
        <v>23.117361111111101</v>
      </c>
      <c r="V1586">
        <v>25.3854166666666</v>
      </c>
    </row>
    <row r="1587" spans="1:22" x14ac:dyDescent="0.3">
      <c r="A1587" s="2" t="s">
        <v>15</v>
      </c>
      <c r="B1587">
        <v>560026</v>
      </c>
      <c r="C1587" s="4">
        <v>45135</v>
      </c>
      <c r="D1587">
        <v>22.2604166666666</v>
      </c>
      <c r="E1587">
        <v>47.5</v>
      </c>
      <c r="F1587">
        <v>5.7010416666666597</v>
      </c>
      <c r="G1587">
        <v>2.09965277777777</v>
      </c>
      <c r="H1587">
        <v>5.7340277777777704</v>
      </c>
      <c r="I1587">
        <v>0.612951388888888</v>
      </c>
      <c r="J1587">
        <v>11.301041666666601</v>
      </c>
      <c r="K1587">
        <f t="shared" si="250"/>
        <v>37.100694444444336</v>
      </c>
      <c r="L1587">
        <f t="shared" si="251"/>
        <v>47.5</v>
      </c>
      <c r="M1587">
        <f t="shared" si="252"/>
        <v>7.1263020833333242</v>
      </c>
      <c r="N1587">
        <f t="shared" si="253"/>
        <v>0.52491319444444251</v>
      </c>
      <c r="O1587">
        <f t="shared" si="254"/>
        <v>7.1675347222222126</v>
      </c>
      <c r="P1587">
        <f t="shared" si="255"/>
        <v>6.9653566919191814</v>
      </c>
      <c r="Q1587">
        <f t="shared" si="256"/>
        <v>10.463927469135742</v>
      </c>
      <c r="R1587">
        <f t="shared" si="257"/>
        <v>47.5</v>
      </c>
      <c r="S1587" t="str">
        <f t="shared" si="258"/>
        <v>Good</v>
      </c>
      <c r="T1587" t="str">
        <f t="shared" si="259"/>
        <v>PM10</v>
      </c>
      <c r="U1587">
        <v>24.101388888888799</v>
      </c>
      <c r="V1587">
        <v>17.0104166666666</v>
      </c>
    </row>
    <row r="1588" spans="1:22" x14ac:dyDescent="0.3">
      <c r="A1588" s="2" t="s">
        <v>15</v>
      </c>
      <c r="B1588">
        <v>560026</v>
      </c>
      <c r="C1588" s="4">
        <v>45136</v>
      </c>
      <c r="D1588">
        <v>11.5972222222222</v>
      </c>
      <c r="E1588">
        <v>38.4375</v>
      </c>
      <c r="F1588">
        <v>5.6375000000000002</v>
      </c>
      <c r="G1588">
        <v>2.109375</v>
      </c>
      <c r="H1588">
        <v>5.3624999999999998</v>
      </c>
      <c r="I1588">
        <v>0.28708333333333302</v>
      </c>
      <c r="J1588">
        <v>11.496874999999999</v>
      </c>
      <c r="K1588">
        <f t="shared" si="250"/>
        <v>19.328703703703663</v>
      </c>
      <c r="L1588">
        <f t="shared" si="251"/>
        <v>38.4375</v>
      </c>
      <c r="M1588">
        <f t="shared" si="252"/>
        <v>7.046875</v>
      </c>
      <c r="N1588">
        <f t="shared" si="253"/>
        <v>0.52734375</v>
      </c>
      <c r="O1588">
        <f t="shared" si="254"/>
        <v>6.703125</v>
      </c>
      <c r="P1588">
        <f t="shared" si="255"/>
        <v>3.2623106060606024</v>
      </c>
      <c r="Q1588">
        <f t="shared" si="256"/>
        <v>10.64525462962963</v>
      </c>
      <c r="R1588">
        <f t="shared" si="257"/>
        <v>38.4375</v>
      </c>
      <c r="S1588" t="str">
        <f t="shared" si="258"/>
        <v>Good</v>
      </c>
      <c r="T1588" t="str">
        <f t="shared" si="259"/>
        <v>PM10</v>
      </c>
      <c r="U1588">
        <v>24.175000000000001</v>
      </c>
      <c r="V1588">
        <v>19.4375</v>
      </c>
    </row>
    <row r="1589" spans="1:22" x14ac:dyDescent="0.3">
      <c r="A1589" s="2" t="s">
        <v>15</v>
      </c>
      <c r="B1589">
        <v>560026</v>
      </c>
      <c r="C1589" s="4">
        <v>45137</v>
      </c>
      <c r="D1589">
        <v>10.09375</v>
      </c>
      <c r="E1589">
        <v>38.1979166666666</v>
      </c>
      <c r="F1589">
        <v>5.6104166666666604</v>
      </c>
      <c r="G1589">
        <v>2.1124999999999998</v>
      </c>
      <c r="H1589">
        <v>5.8791666666666602</v>
      </c>
      <c r="I1589">
        <v>0.63272727272727203</v>
      </c>
      <c r="J1589">
        <v>11.117708333333301</v>
      </c>
      <c r="K1589">
        <f t="shared" si="250"/>
        <v>16.822916666666668</v>
      </c>
      <c r="L1589">
        <f t="shared" si="251"/>
        <v>38.1979166666666</v>
      </c>
      <c r="M1589">
        <f t="shared" si="252"/>
        <v>7.0130208333333259</v>
      </c>
      <c r="N1589">
        <f t="shared" si="253"/>
        <v>0.52812499999999996</v>
      </c>
      <c r="O1589">
        <f t="shared" si="254"/>
        <v>7.3489583333333259</v>
      </c>
      <c r="P1589">
        <f t="shared" si="255"/>
        <v>7.1900826446280908</v>
      </c>
      <c r="Q1589">
        <f t="shared" si="256"/>
        <v>10.294174382716019</v>
      </c>
      <c r="R1589">
        <f t="shared" si="257"/>
        <v>38.1979166666666</v>
      </c>
      <c r="S1589" t="str">
        <f t="shared" si="258"/>
        <v>Good</v>
      </c>
      <c r="T1589" t="str">
        <f t="shared" si="259"/>
        <v>PM10</v>
      </c>
      <c r="U1589">
        <v>25.1180555555555</v>
      </c>
      <c r="V1589">
        <v>22.875</v>
      </c>
    </row>
    <row r="1590" spans="1:22" x14ac:dyDescent="0.3">
      <c r="A1590" s="2" t="s">
        <v>15</v>
      </c>
      <c r="B1590">
        <v>560026</v>
      </c>
      <c r="C1590" s="4">
        <v>45138</v>
      </c>
      <c r="D1590">
        <v>8.9895833333333304</v>
      </c>
      <c r="E1590">
        <v>35.2777777777777</v>
      </c>
      <c r="F1590">
        <v>5.6781249999999996</v>
      </c>
      <c r="G1590">
        <v>2.07395833333333</v>
      </c>
      <c r="H1590">
        <v>5.66493055555555</v>
      </c>
      <c r="I1590">
        <v>0.38488095238095199</v>
      </c>
      <c r="J1590">
        <v>11.0121527777777</v>
      </c>
      <c r="K1590">
        <f t="shared" si="250"/>
        <v>14.982638888888884</v>
      </c>
      <c r="L1590">
        <f t="shared" si="251"/>
        <v>35.2777777777777</v>
      </c>
      <c r="M1590">
        <f t="shared" si="252"/>
        <v>7.09765625</v>
      </c>
      <c r="N1590">
        <f t="shared" si="253"/>
        <v>0.5184895833333325</v>
      </c>
      <c r="O1590">
        <f t="shared" si="254"/>
        <v>7.0811631944444375</v>
      </c>
      <c r="P1590">
        <f t="shared" si="255"/>
        <v>4.3736471861471813</v>
      </c>
      <c r="Q1590">
        <f t="shared" si="256"/>
        <v>10.196437757201574</v>
      </c>
      <c r="R1590">
        <f t="shared" si="257"/>
        <v>35.2777777777777</v>
      </c>
      <c r="S1590" t="str">
        <f t="shared" si="258"/>
        <v>Good</v>
      </c>
      <c r="T1590" t="str">
        <f t="shared" si="259"/>
        <v>PM10</v>
      </c>
      <c r="U1590">
        <v>25.374305555555502</v>
      </c>
      <c r="V1590">
        <v>26.4722222222222</v>
      </c>
    </row>
    <row r="1591" spans="1:22" x14ac:dyDescent="0.3">
      <c r="A1591" s="2" t="s">
        <v>15</v>
      </c>
      <c r="B1591">
        <v>560026</v>
      </c>
      <c r="C1591" s="4">
        <v>45139</v>
      </c>
      <c r="D1591">
        <v>15.25</v>
      </c>
      <c r="E1591">
        <v>41.5520833333333</v>
      </c>
      <c r="F1591">
        <v>5.6437499999999998</v>
      </c>
      <c r="G1591">
        <v>2.1062500000000002</v>
      </c>
      <c r="H1591">
        <v>6.1284722222222197</v>
      </c>
      <c r="J1591">
        <v>11.2239583333333</v>
      </c>
      <c r="K1591">
        <f t="shared" si="250"/>
        <v>25.416666666666668</v>
      </c>
      <c r="L1591">
        <f t="shared" si="251"/>
        <v>41.5520833333333</v>
      </c>
      <c r="M1591">
        <f t="shared" si="252"/>
        <v>7.0546875</v>
      </c>
      <c r="N1591">
        <f t="shared" si="253"/>
        <v>0.52656250000000004</v>
      </c>
      <c r="O1591">
        <f t="shared" si="254"/>
        <v>7.6605902777777741</v>
      </c>
      <c r="P1591">
        <f t="shared" si="255"/>
        <v>0</v>
      </c>
      <c r="Q1591">
        <f t="shared" si="256"/>
        <v>10.392554012345649</v>
      </c>
      <c r="R1591">
        <f t="shared" si="257"/>
        <v>41.5520833333333</v>
      </c>
      <c r="S1591" t="str">
        <f t="shared" si="258"/>
        <v>Good</v>
      </c>
      <c r="T1591" t="str">
        <f t="shared" si="259"/>
        <v>PM10</v>
      </c>
      <c r="U1591">
        <v>24.9340277777777</v>
      </c>
      <c r="V1591">
        <v>26.90625</v>
      </c>
    </row>
    <row r="1592" spans="1:22" x14ac:dyDescent="0.3">
      <c r="A1592" s="2" t="s">
        <v>15</v>
      </c>
      <c r="B1592">
        <v>560026</v>
      </c>
      <c r="C1592" s="4">
        <v>45140</v>
      </c>
      <c r="D1592">
        <v>17.3229166666666</v>
      </c>
      <c r="E1592">
        <v>46.3333333333333</v>
      </c>
      <c r="F1592">
        <v>5.6749999999999998</v>
      </c>
      <c r="G1592">
        <v>2.1072916666666601</v>
      </c>
      <c r="H1592">
        <v>5.9635416666666599</v>
      </c>
      <c r="I1592">
        <v>0.44555555555555498</v>
      </c>
      <c r="J1592">
        <v>11.53125</v>
      </c>
      <c r="K1592">
        <f t="shared" si="250"/>
        <v>28.871527777777668</v>
      </c>
      <c r="L1592">
        <f t="shared" si="251"/>
        <v>46.3333333333333</v>
      </c>
      <c r="M1592">
        <f t="shared" si="252"/>
        <v>7.09375</v>
      </c>
      <c r="N1592">
        <f t="shared" si="253"/>
        <v>0.52682291666666503</v>
      </c>
      <c r="O1592">
        <f t="shared" si="254"/>
        <v>7.4544270833333242</v>
      </c>
      <c r="P1592">
        <f t="shared" si="255"/>
        <v>5.063131313131306</v>
      </c>
      <c r="Q1592">
        <f t="shared" si="256"/>
        <v>10.677083333333334</v>
      </c>
      <c r="R1592">
        <f t="shared" si="257"/>
        <v>46.3333333333333</v>
      </c>
      <c r="S1592" t="str">
        <f t="shared" si="258"/>
        <v>Good</v>
      </c>
      <c r="T1592" t="str">
        <f t="shared" si="259"/>
        <v>PM10</v>
      </c>
      <c r="U1592">
        <v>24.750694444444399</v>
      </c>
      <c r="V1592">
        <v>25.40625</v>
      </c>
    </row>
    <row r="1593" spans="1:22" x14ac:dyDescent="0.3">
      <c r="A1593" s="2" t="s">
        <v>15</v>
      </c>
      <c r="B1593">
        <v>560026</v>
      </c>
      <c r="C1593" s="4">
        <v>45141</v>
      </c>
      <c r="D1593">
        <v>10.90625</v>
      </c>
      <c r="E1593">
        <v>37.6076388888888</v>
      </c>
      <c r="F1593">
        <v>5.7531249999999998</v>
      </c>
      <c r="G1593">
        <v>2.0791666666666599</v>
      </c>
      <c r="H1593">
        <v>4.8336805555555502</v>
      </c>
      <c r="I1593">
        <v>0.42204861111111103</v>
      </c>
      <c r="J1593">
        <v>11.574999999999999</v>
      </c>
      <c r="K1593">
        <f t="shared" si="250"/>
        <v>18.177083333333332</v>
      </c>
      <c r="L1593">
        <f t="shared" si="251"/>
        <v>37.6076388888888</v>
      </c>
      <c r="M1593">
        <f t="shared" si="252"/>
        <v>7.19140625</v>
      </c>
      <c r="N1593">
        <f t="shared" si="253"/>
        <v>0.51979166666666499</v>
      </c>
      <c r="O1593">
        <f t="shared" si="254"/>
        <v>6.0421006944444375</v>
      </c>
      <c r="P1593">
        <f t="shared" si="255"/>
        <v>4.7960069444444438</v>
      </c>
      <c r="Q1593">
        <f t="shared" si="256"/>
        <v>10.717592592592592</v>
      </c>
      <c r="R1593">
        <f t="shared" si="257"/>
        <v>37.6076388888888</v>
      </c>
      <c r="S1593" t="str">
        <f t="shared" si="258"/>
        <v>Good</v>
      </c>
      <c r="T1593" t="str">
        <f t="shared" si="259"/>
        <v>PM10</v>
      </c>
      <c r="U1593">
        <v>25.035763888888798</v>
      </c>
      <c r="V1593">
        <v>25.6458333333333</v>
      </c>
    </row>
    <row r="1594" spans="1:22" x14ac:dyDescent="0.3">
      <c r="A1594" s="2" t="s">
        <v>15</v>
      </c>
      <c r="B1594">
        <v>560026</v>
      </c>
      <c r="C1594" s="4">
        <v>45142</v>
      </c>
      <c r="D1594">
        <v>15.8784722222222</v>
      </c>
      <c r="E1594">
        <v>41.8541666666666</v>
      </c>
      <c r="F1594">
        <v>5.671875</v>
      </c>
      <c r="G1594">
        <v>2.0958333333333301</v>
      </c>
      <c r="H1594">
        <v>5.42916666666666</v>
      </c>
      <c r="I1594">
        <v>0.455277777777777</v>
      </c>
      <c r="J1594">
        <v>11.3135416666666</v>
      </c>
      <c r="K1594">
        <f t="shared" si="250"/>
        <v>26.464120370370331</v>
      </c>
      <c r="L1594">
        <f t="shared" si="251"/>
        <v>41.8541666666666</v>
      </c>
      <c r="M1594">
        <f t="shared" si="252"/>
        <v>7.08984375</v>
      </c>
      <c r="N1594">
        <f t="shared" si="253"/>
        <v>0.52395833333333253</v>
      </c>
      <c r="O1594">
        <f t="shared" si="254"/>
        <v>6.7864583333333259</v>
      </c>
      <c r="P1594">
        <f t="shared" si="255"/>
        <v>5.1736111111111018</v>
      </c>
      <c r="Q1594">
        <f t="shared" si="256"/>
        <v>10.475501543209814</v>
      </c>
      <c r="R1594">
        <f t="shared" si="257"/>
        <v>41.8541666666666</v>
      </c>
      <c r="S1594" t="str">
        <f t="shared" si="258"/>
        <v>Good</v>
      </c>
      <c r="T1594" t="str">
        <f t="shared" si="259"/>
        <v>PM10</v>
      </c>
      <c r="U1594">
        <v>25.2572916666666</v>
      </c>
      <c r="V1594">
        <v>40.6354166666666</v>
      </c>
    </row>
    <row r="1595" spans="1:22" x14ac:dyDescent="0.3">
      <c r="A1595" s="2" t="s">
        <v>15</v>
      </c>
      <c r="B1595">
        <v>560026</v>
      </c>
      <c r="C1595" s="4">
        <v>45143</v>
      </c>
      <c r="D1595">
        <v>13.797101449275299</v>
      </c>
      <c r="E1595">
        <v>37.343137254901897</v>
      </c>
      <c r="F1595">
        <v>5.6458333333333304</v>
      </c>
      <c r="G1595">
        <v>2.0874999999999999</v>
      </c>
      <c r="H1595">
        <v>5.2670138888888802</v>
      </c>
      <c r="I1595">
        <v>0.44006944444444401</v>
      </c>
      <c r="J1595">
        <v>11.377083333333299</v>
      </c>
      <c r="K1595">
        <f t="shared" si="250"/>
        <v>22.995169082125496</v>
      </c>
      <c r="L1595">
        <f t="shared" si="251"/>
        <v>37.343137254901897</v>
      </c>
      <c r="M1595">
        <f t="shared" si="252"/>
        <v>7.0572916666666625</v>
      </c>
      <c r="N1595">
        <f t="shared" si="253"/>
        <v>0.52187499999999998</v>
      </c>
      <c r="O1595">
        <f t="shared" si="254"/>
        <v>6.5837673611111001</v>
      </c>
      <c r="P1595">
        <f t="shared" si="255"/>
        <v>5.0007891414141366</v>
      </c>
      <c r="Q1595">
        <f t="shared" si="256"/>
        <v>10.534336419753055</v>
      </c>
      <c r="R1595">
        <f t="shared" si="257"/>
        <v>37.343137254901897</v>
      </c>
      <c r="S1595" t="str">
        <f t="shared" si="258"/>
        <v>Good</v>
      </c>
      <c r="T1595" t="str">
        <f t="shared" si="259"/>
        <v>PM10</v>
      </c>
      <c r="U1595">
        <v>25.0225694444444</v>
      </c>
      <c r="V1595">
        <v>53.9479166666666</v>
      </c>
    </row>
    <row r="1596" spans="1:22" x14ac:dyDescent="0.3">
      <c r="A1596" s="2" t="s">
        <v>15</v>
      </c>
      <c r="B1596">
        <v>560026</v>
      </c>
      <c r="C1596" s="4">
        <v>45144</v>
      </c>
      <c r="D1596">
        <v>9.3425925925925899</v>
      </c>
      <c r="E1596">
        <v>59.418109459999997</v>
      </c>
      <c r="F1596">
        <v>5.6104166666666604</v>
      </c>
      <c r="G1596">
        <v>2.1</v>
      </c>
      <c r="H1596">
        <v>5.9809027777777697</v>
      </c>
      <c r="I1596">
        <v>0.463784722222222</v>
      </c>
      <c r="J1596">
        <v>11.459375</v>
      </c>
      <c r="K1596">
        <f t="shared" si="250"/>
        <v>15.570987654320984</v>
      </c>
      <c r="L1596">
        <f t="shared" si="251"/>
        <v>59.418109459999997</v>
      </c>
      <c r="M1596">
        <f t="shared" si="252"/>
        <v>7.0130208333333259</v>
      </c>
      <c r="N1596">
        <f t="shared" si="253"/>
        <v>0.52500000000000002</v>
      </c>
      <c r="O1596">
        <f t="shared" si="254"/>
        <v>7.4761284722222117</v>
      </c>
      <c r="P1596">
        <f t="shared" si="255"/>
        <v>5.2702809343434316</v>
      </c>
      <c r="Q1596">
        <f t="shared" si="256"/>
        <v>10.610532407407407</v>
      </c>
      <c r="R1596">
        <f t="shared" si="257"/>
        <v>59.418109459999997</v>
      </c>
      <c r="S1596" t="str">
        <f t="shared" si="258"/>
        <v>Satisfactory</v>
      </c>
      <c r="T1596" t="str">
        <f t="shared" si="259"/>
        <v>PM10</v>
      </c>
      <c r="U1596">
        <v>25.273958333333301</v>
      </c>
      <c r="V1596">
        <v>53.4270833333333</v>
      </c>
    </row>
    <row r="1597" spans="1:22" x14ac:dyDescent="0.3">
      <c r="A1597" s="2" t="s">
        <v>15</v>
      </c>
      <c r="B1597">
        <v>560026</v>
      </c>
      <c r="C1597" s="4">
        <v>45145</v>
      </c>
      <c r="D1597">
        <v>18.5</v>
      </c>
      <c r="E1597">
        <v>41.95</v>
      </c>
      <c r="F1597">
        <v>5.7291666666666599</v>
      </c>
      <c r="G1597">
        <v>2.0885416666666599</v>
      </c>
      <c r="H1597">
        <v>5.4152777777777699</v>
      </c>
      <c r="I1597">
        <v>0.48947916666666602</v>
      </c>
      <c r="J1597">
        <v>11.434374999999999</v>
      </c>
      <c r="K1597">
        <f t="shared" ref="K1597:K1659" si="260">IF(ISTEXT(D1597),0,IF(D1597&lt;=30,D1597*50/30,IF(AND(D1597&gt;30,D1597&lt;=60),50+(D1597-30)*50/30,IF(AND(D1597&gt;60,D1597&lt;=90),100+(D1597-60)*100/30,IF(AND(D1597&gt;90,D1597&lt;=120),200+(D1597-90)*(100/30),IF(AND(D1597&gt;120,D1597&lt;=250),300+(D1597-120)*(100/130),IF(D1597&gt;250,400+(D1597-250)*(100/130))))))))</f>
        <v>30.833333333333332</v>
      </c>
      <c r="L1597">
        <f t="shared" ref="L1597:L1659" si="261">IF(ISTEXT(E1597),0,IF(E1597&lt;=50,E1597,IF(AND(E1597&gt;50,E1597&lt;=100),E1597,IF(AND(E1597&gt;100,E1597&lt;=250),100+(E1597-100)*100/150,IF(AND(E1597&gt;250,E1597&lt;=350),200+(E1597-250),IF(AND(E1597&gt;350,E1597&lt;=430),300+(E1597-350)*(100/80),IF(E1597&gt;430,400+(E1597-430)*(100/80))))))))</f>
        <v>41.95</v>
      </c>
      <c r="M1597">
        <f t="shared" ref="M1597:M1659" si="262">IF(ISTEXT(F1597),0,IF(F1597&lt;=40,F1597*50/40,IF(AND(F1597&gt;40,F1597&lt;=80),50+(F1597-40)*50/40,IF(AND(F1597&gt;80,F1597&lt;=180),100+(F1597-80)*100/100,IF(AND(F1597&gt;180,F1597&lt;=280),200+(F1597-180)*(100/100),IF(AND(F1597&gt;280,F1597&lt;=400),300+(F1597-280)*(100/120),IF(F1597&gt;400,400+(F1597-400)*(100/120))))))))</f>
        <v>7.1614583333333242</v>
      </c>
      <c r="N1597">
        <f t="shared" ref="N1597:N1659" si="263">IF(ISTEXT(G1597),0,IF(G1597&lt;=200,G1597*50/200,IF(AND(G1597&gt;200,G1597&lt;=400),50+(G1597-200)*50/200,IF(AND(G1597&gt;400,G1597&lt;=800),100+(G1597-400)*100/400,IF(AND(G1597&gt;800,G1597&lt;=1200),200+(G1597-800)*(100/400),IF(AND(G1597&gt;1200,G1597&lt;=1800),300+(G1597-1200)*(100/600),IF(G1597&gt;1800,400+(G1597-1800)*(100/600))))))))</f>
        <v>0.52213541666666496</v>
      </c>
      <c r="O1597">
        <f t="shared" ref="O1597:O1659" si="264">IF(ISTEXT(H1597),0,IF(H1597&lt;=40,H1597*50/40,IF(AND(H1597&gt;40,H1597&lt;=80),50+(H1597-40)*50/40,IF(AND(H1597&gt;80,H1597&lt;=380),100+(H1597-80)*100/300,IF(AND(H1597&gt;380,H1597&lt;=800),200+(H1597-380)*(100/420),IF(AND(H1597&gt;800,H1597&lt;=1600),300+(H1597-800)*(100/800),IF(H1597&gt;1600,400+(H1597-1600)*(100/800))))))))</f>
        <v>6.7690972222222126</v>
      </c>
      <c r="P1597">
        <f t="shared" ref="P1597:P1659" si="265">IF(I1597&lt;=4.4,(50-0)/(4.4-0)*(I1597-0)+0,
IF(I1597&lt;=9.4,(100-51)/(9.4-4.5)*(I1597-4.5)+51,
IF(I1597&lt;=12.4,(150-101)/(12.4-9.5)*(I1597-9.5)+101,
IF(I1597&lt;=15.4,(200-151)/(15.4-12.5)*(I1597-12.5)+151,
IF(I1597&lt;=30.4,(300-201)/(30.4-15.5)*(I1597-15.5)+201,
(500-301)/(50.4-30.5)*(I1597-30.5)+301)))))</f>
        <v>5.5622632575757498</v>
      </c>
      <c r="Q1597">
        <f t="shared" ref="Q1597:Q1659" si="266">IF(J1597&lt;=54,(50-0)/(54-0)*(J1597-0)+0,
IF(J1597&lt;=70,(100-51)/(70-55)*(J1597-55)+51,
IF(J1597&lt;=85,(150-101)/(85-71)*(J1597-71)+101,
IF(J1597&lt;=105,(200-151)/(105-86)*(J1597-86)+151,
IF(J1597&lt;=200,(300-201)/(200-106)*(J1597-106)+201,
(500-301)/(300-201)*(J1597-201)+301)))))</f>
        <v>10.58738425925926</v>
      </c>
      <c r="R1597">
        <f t="shared" ref="R1597:R1659" si="267">MAX(K1597:Q1597)</f>
        <v>41.95</v>
      </c>
      <c r="S1597" t="str">
        <f t="shared" ref="S1597:S1659" si="268">IF(R1597&lt;=50,"Good",
IF(R1597&lt;=100,"Satisfactory",
IF(R1597&lt;=200,"Moderate",
IF(R1597&lt;=300,"Poor",
IF(R1597&lt;=400,"Very Poor",
"Severe")))))</f>
        <v>Good</v>
      </c>
      <c r="T1597" t="str">
        <f t="shared" ref="T1597:T1659" si="269">IF(MAX(K1597:Q1597)=K1597,"PM2.5",
IF(MAX(K1597:Q1597)=L1597,"PM10",
IF(MAX(K1597:Q1597)=M1597,"NO2",
IF(MAX(K1597:Q1597)=N1597,"NH3",
IF(MAX(K1597:Q1597)=O1597,"SO2",
IF(MAX(K1597:Q1597)=P1597,"CO",
IF(MAX(K1597:Q1597)=Q1597,"OZONE","")))))))</f>
        <v>PM10</v>
      </c>
      <c r="U1597">
        <v>25.454166666666602</v>
      </c>
      <c r="V1597">
        <v>36.375</v>
      </c>
    </row>
    <row r="1598" spans="1:22" x14ac:dyDescent="0.3">
      <c r="A1598" s="2" t="s">
        <v>15</v>
      </c>
      <c r="B1598">
        <v>560026</v>
      </c>
      <c r="C1598" s="4">
        <v>45146</v>
      </c>
      <c r="D1598">
        <v>41.159090909090899</v>
      </c>
      <c r="E1598">
        <v>34.6944444444444</v>
      </c>
      <c r="F1598">
        <v>5.6770833333333304</v>
      </c>
      <c r="G1598">
        <v>2.0927083333333298</v>
      </c>
      <c r="H1598">
        <v>5.4739583333333304</v>
      </c>
      <c r="I1598">
        <v>0.56560606060606</v>
      </c>
      <c r="J1598">
        <v>11.633333333333301</v>
      </c>
      <c r="K1598">
        <f t="shared" si="260"/>
        <v>68.59848484848483</v>
      </c>
      <c r="L1598">
        <f t="shared" si="261"/>
        <v>34.6944444444444</v>
      </c>
      <c r="M1598">
        <f t="shared" si="262"/>
        <v>7.0963541666666625</v>
      </c>
      <c r="N1598">
        <f t="shared" si="263"/>
        <v>0.52317708333333246</v>
      </c>
      <c r="O1598">
        <f t="shared" si="264"/>
        <v>6.8424479166666625</v>
      </c>
      <c r="P1598">
        <f t="shared" si="265"/>
        <v>6.4273415977961363</v>
      </c>
      <c r="Q1598">
        <f t="shared" si="266"/>
        <v>10.771604938271574</v>
      </c>
      <c r="R1598">
        <f t="shared" si="267"/>
        <v>68.59848484848483</v>
      </c>
      <c r="S1598" t="str">
        <f t="shared" si="268"/>
        <v>Satisfactory</v>
      </c>
      <c r="T1598" t="str">
        <f t="shared" si="269"/>
        <v>PM2.5</v>
      </c>
      <c r="U1598">
        <v>25.21875</v>
      </c>
      <c r="V1598">
        <v>36.9270833333333</v>
      </c>
    </row>
    <row r="1599" spans="1:22" x14ac:dyDescent="0.3">
      <c r="A1599" s="2" t="s">
        <v>15</v>
      </c>
      <c r="B1599">
        <v>560026</v>
      </c>
      <c r="C1599" s="4">
        <v>45147</v>
      </c>
      <c r="D1599">
        <v>18.033333333333299</v>
      </c>
      <c r="E1599">
        <v>61.6666666666666</v>
      </c>
      <c r="F1599">
        <v>5.6437499999999998</v>
      </c>
      <c r="G1599">
        <v>2.1156250000000001</v>
      </c>
      <c r="H1599">
        <v>5.1684027777777697</v>
      </c>
      <c r="I1599">
        <v>0.70152777777777697</v>
      </c>
      <c r="J1599">
        <v>11.253124999999899</v>
      </c>
      <c r="K1599">
        <f t="shared" si="260"/>
        <v>30.055555555555497</v>
      </c>
      <c r="L1599">
        <f t="shared" si="261"/>
        <v>61.6666666666666</v>
      </c>
      <c r="M1599">
        <f t="shared" si="262"/>
        <v>7.0546875</v>
      </c>
      <c r="N1599">
        <f t="shared" si="263"/>
        <v>0.52890625000000002</v>
      </c>
      <c r="O1599">
        <f t="shared" si="264"/>
        <v>6.4605034722222117</v>
      </c>
      <c r="P1599">
        <f t="shared" si="265"/>
        <v>7.971906565656556</v>
      </c>
      <c r="Q1599">
        <f t="shared" si="266"/>
        <v>10.419560185185093</v>
      </c>
      <c r="R1599">
        <f t="shared" si="267"/>
        <v>61.6666666666666</v>
      </c>
      <c r="S1599" t="str">
        <f t="shared" si="268"/>
        <v>Satisfactory</v>
      </c>
      <c r="T1599" t="str">
        <f t="shared" si="269"/>
        <v>PM10</v>
      </c>
      <c r="U1599">
        <v>26.175000000000001</v>
      </c>
      <c r="V1599">
        <v>43.0833333333333</v>
      </c>
    </row>
    <row r="1600" spans="1:22" x14ac:dyDescent="0.3">
      <c r="A1600" s="2" t="s">
        <v>15</v>
      </c>
      <c r="B1600">
        <v>560026</v>
      </c>
      <c r="C1600" s="4">
        <v>45148</v>
      </c>
      <c r="D1600">
        <v>21.21875</v>
      </c>
      <c r="E1600">
        <v>53.2291666666666</v>
      </c>
      <c r="F1600">
        <v>5.6531250000000002</v>
      </c>
      <c r="G1600">
        <v>2.1104166666666599</v>
      </c>
      <c r="H1600">
        <v>5.2746527777777699</v>
      </c>
      <c r="I1600">
        <v>0.65204861111111101</v>
      </c>
      <c r="J1600">
        <v>11.365625</v>
      </c>
      <c r="K1600">
        <f t="shared" si="260"/>
        <v>35.364583333333336</v>
      </c>
      <c r="L1600">
        <f t="shared" si="261"/>
        <v>53.2291666666666</v>
      </c>
      <c r="M1600">
        <f t="shared" si="262"/>
        <v>7.06640625</v>
      </c>
      <c r="N1600">
        <f t="shared" si="263"/>
        <v>0.52760416666666499</v>
      </c>
      <c r="O1600">
        <f t="shared" si="264"/>
        <v>6.5933159722222126</v>
      </c>
      <c r="P1600">
        <f t="shared" si="265"/>
        <v>7.4096433080808071</v>
      </c>
      <c r="Q1600">
        <f t="shared" si="266"/>
        <v>10.523726851851851</v>
      </c>
      <c r="R1600">
        <f t="shared" si="267"/>
        <v>53.2291666666666</v>
      </c>
      <c r="S1600" t="str">
        <f t="shared" si="268"/>
        <v>Satisfactory</v>
      </c>
      <c r="T1600" t="str">
        <f t="shared" si="269"/>
        <v>PM10</v>
      </c>
      <c r="U1600">
        <v>26.483333333333299</v>
      </c>
      <c r="V1600">
        <v>40.84375</v>
      </c>
    </row>
    <row r="1601" spans="1:22" x14ac:dyDescent="0.3">
      <c r="A1601" s="2" t="s">
        <v>15</v>
      </c>
      <c r="B1601">
        <v>560026</v>
      </c>
      <c r="C1601" s="4">
        <v>45149</v>
      </c>
      <c r="D1601">
        <v>22.716666666666601</v>
      </c>
      <c r="E1601">
        <v>57.183333333333302</v>
      </c>
      <c r="F1601">
        <v>5.7166666666666597</v>
      </c>
      <c r="G1601">
        <v>2.0950000000000002</v>
      </c>
      <c r="H1601">
        <v>5.0866666666666598</v>
      </c>
      <c r="I1601">
        <v>0.72094444444444405</v>
      </c>
      <c r="J1601">
        <v>11.261666666666599</v>
      </c>
      <c r="K1601">
        <f t="shared" si="260"/>
        <v>37.861111111111001</v>
      </c>
      <c r="L1601">
        <f t="shared" si="261"/>
        <v>57.183333333333302</v>
      </c>
      <c r="M1601">
        <f t="shared" si="262"/>
        <v>7.1458333333333242</v>
      </c>
      <c r="N1601">
        <f t="shared" si="263"/>
        <v>0.52375000000000005</v>
      </c>
      <c r="O1601">
        <f t="shared" si="264"/>
        <v>6.3583333333333254</v>
      </c>
      <c r="P1601">
        <f t="shared" si="265"/>
        <v>8.1925505050504999</v>
      </c>
      <c r="Q1601">
        <f t="shared" si="266"/>
        <v>10.427469135802406</v>
      </c>
      <c r="R1601">
        <f t="shared" si="267"/>
        <v>57.183333333333302</v>
      </c>
      <c r="S1601" t="str">
        <f t="shared" si="268"/>
        <v>Satisfactory</v>
      </c>
      <c r="T1601" t="str">
        <f t="shared" si="269"/>
        <v>PM10</v>
      </c>
      <c r="U1601">
        <v>25.386666666666599</v>
      </c>
      <c r="V1601">
        <v>41.6</v>
      </c>
    </row>
    <row r="1602" spans="1:22" x14ac:dyDescent="0.3">
      <c r="A1602" s="2" t="s">
        <v>15</v>
      </c>
      <c r="B1602">
        <v>560026</v>
      </c>
      <c r="C1602" s="4">
        <v>45150</v>
      </c>
      <c r="D1602">
        <v>27</v>
      </c>
      <c r="E1602">
        <v>68</v>
      </c>
      <c r="F1602">
        <v>5.6825000000000001</v>
      </c>
      <c r="G1602">
        <v>2.125</v>
      </c>
      <c r="H1602">
        <v>4.2027777777777704</v>
      </c>
      <c r="I1602">
        <v>1.4712962962962901</v>
      </c>
      <c r="J1602">
        <v>13.626666666666599</v>
      </c>
      <c r="K1602">
        <f t="shared" si="260"/>
        <v>45</v>
      </c>
      <c r="L1602">
        <f t="shared" si="261"/>
        <v>68</v>
      </c>
      <c r="M1602">
        <f t="shared" si="262"/>
        <v>7.1031250000000004</v>
      </c>
      <c r="N1602">
        <f t="shared" si="263"/>
        <v>0.53125</v>
      </c>
      <c r="O1602">
        <f t="shared" si="264"/>
        <v>5.2534722222222126</v>
      </c>
      <c r="P1602">
        <f t="shared" si="265"/>
        <v>16.719276094276022</v>
      </c>
      <c r="Q1602">
        <f t="shared" si="266"/>
        <v>12.617283950617221</v>
      </c>
      <c r="R1602">
        <f t="shared" si="267"/>
        <v>68</v>
      </c>
      <c r="S1602" t="str">
        <f t="shared" si="268"/>
        <v>Satisfactory</v>
      </c>
      <c r="T1602" t="str">
        <f t="shared" si="269"/>
        <v>PM10</v>
      </c>
      <c r="U1602">
        <v>27.692499999999999</v>
      </c>
      <c r="V1602">
        <v>42.566666666666599</v>
      </c>
    </row>
    <row r="1603" spans="1:22" x14ac:dyDescent="0.3">
      <c r="A1603" s="2" t="s">
        <v>15</v>
      </c>
      <c r="B1603">
        <v>560026</v>
      </c>
      <c r="C1603" s="4">
        <v>45151</v>
      </c>
      <c r="D1603">
        <v>30</v>
      </c>
      <c r="E1603">
        <v>75</v>
      </c>
      <c r="F1603">
        <v>5.66770833333333</v>
      </c>
      <c r="G1603">
        <v>2.10104166666666</v>
      </c>
      <c r="H1603">
        <v>5.5486111111111098</v>
      </c>
      <c r="I1603">
        <v>0.46718749999999998</v>
      </c>
      <c r="J1603">
        <v>11.7125</v>
      </c>
      <c r="K1603">
        <f t="shared" si="260"/>
        <v>50</v>
      </c>
      <c r="L1603">
        <f t="shared" si="261"/>
        <v>75</v>
      </c>
      <c r="M1603">
        <f t="shared" si="262"/>
        <v>7.0846354166666625</v>
      </c>
      <c r="N1603">
        <f t="shared" si="263"/>
        <v>0.52526041666666501</v>
      </c>
      <c r="O1603">
        <f t="shared" si="264"/>
        <v>6.9357638888888875</v>
      </c>
      <c r="P1603">
        <f t="shared" si="265"/>
        <v>5.3089488636363633</v>
      </c>
      <c r="Q1603">
        <f t="shared" si="266"/>
        <v>10.844907407407408</v>
      </c>
      <c r="R1603">
        <f t="shared" si="267"/>
        <v>75</v>
      </c>
      <c r="S1603" t="str">
        <f t="shared" si="268"/>
        <v>Satisfactory</v>
      </c>
      <c r="T1603" t="str">
        <f t="shared" si="269"/>
        <v>PM10</v>
      </c>
      <c r="U1603">
        <v>25.965624999999999</v>
      </c>
      <c r="V1603">
        <v>50.3333333333333</v>
      </c>
    </row>
    <row r="1604" spans="1:22" x14ac:dyDescent="0.3">
      <c r="A1604" s="2" t="s">
        <v>15</v>
      </c>
      <c r="B1604">
        <v>560026</v>
      </c>
      <c r="C1604" s="4">
        <v>45152</v>
      </c>
      <c r="D1604">
        <v>56.703971879999997</v>
      </c>
      <c r="E1604">
        <v>59.418109459999997</v>
      </c>
      <c r="F1604">
        <v>5.6979166666666599</v>
      </c>
      <c r="G1604">
        <v>2.0812499999999998</v>
      </c>
      <c r="H1604">
        <v>5.9239583333333297</v>
      </c>
      <c r="I1604">
        <v>0.45186274509803898</v>
      </c>
      <c r="J1604">
        <v>10.983333333333301</v>
      </c>
      <c r="K1604">
        <f t="shared" si="260"/>
        <v>94.506619799999996</v>
      </c>
      <c r="L1604">
        <f t="shared" si="261"/>
        <v>59.418109459999997</v>
      </c>
      <c r="M1604">
        <f t="shared" si="262"/>
        <v>7.1223958333333242</v>
      </c>
      <c r="N1604">
        <f t="shared" si="263"/>
        <v>0.52031249999999996</v>
      </c>
      <c r="O1604">
        <f t="shared" si="264"/>
        <v>7.4049479166666616</v>
      </c>
      <c r="P1604">
        <f t="shared" si="265"/>
        <v>5.1348039215686248</v>
      </c>
      <c r="Q1604">
        <f t="shared" si="266"/>
        <v>10.169753086419723</v>
      </c>
      <c r="R1604">
        <f t="shared" si="267"/>
        <v>94.506619799999996</v>
      </c>
      <c r="S1604" t="str">
        <f t="shared" si="268"/>
        <v>Satisfactory</v>
      </c>
      <c r="T1604" t="str">
        <f t="shared" si="269"/>
        <v>PM2.5</v>
      </c>
      <c r="U1604">
        <v>25.826041666666601</v>
      </c>
      <c r="V1604">
        <v>53.71875</v>
      </c>
    </row>
    <row r="1605" spans="1:22" x14ac:dyDescent="0.3">
      <c r="A1605" s="2" t="s">
        <v>15</v>
      </c>
      <c r="B1605">
        <v>560026</v>
      </c>
      <c r="C1605" s="4">
        <v>45153</v>
      </c>
      <c r="D1605">
        <v>25</v>
      </c>
      <c r="E1605">
        <v>63</v>
      </c>
      <c r="F1605">
        <v>5.6749999999999998</v>
      </c>
      <c r="G1605">
        <v>2.1</v>
      </c>
      <c r="H1605">
        <v>6.2423611111111104</v>
      </c>
      <c r="I1605">
        <v>0.46760416666666599</v>
      </c>
      <c r="J1605">
        <v>11.5375</v>
      </c>
      <c r="K1605">
        <f t="shared" si="260"/>
        <v>41.666666666666664</v>
      </c>
      <c r="L1605">
        <f t="shared" si="261"/>
        <v>63</v>
      </c>
      <c r="M1605">
        <f t="shared" si="262"/>
        <v>7.09375</v>
      </c>
      <c r="N1605">
        <f t="shared" si="263"/>
        <v>0.52500000000000002</v>
      </c>
      <c r="O1605">
        <f t="shared" si="264"/>
        <v>7.8029513888888884</v>
      </c>
      <c r="P1605">
        <f t="shared" si="265"/>
        <v>5.3136837121212039</v>
      </c>
      <c r="Q1605">
        <f t="shared" si="266"/>
        <v>10.68287037037037</v>
      </c>
      <c r="R1605">
        <f t="shared" si="267"/>
        <v>63</v>
      </c>
      <c r="S1605" t="str">
        <f t="shared" si="268"/>
        <v>Satisfactory</v>
      </c>
      <c r="T1605" t="str">
        <f t="shared" si="269"/>
        <v>PM10</v>
      </c>
      <c r="U1605">
        <v>26.624305555555502</v>
      </c>
      <c r="V1605">
        <v>46.2291666666666</v>
      </c>
    </row>
    <row r="1606" spans="1:22" x14ac:dyDescent="0.3">
      <c r="A1606" s="2" t="s">
        <v>15</v>
      </c>
      <c r="B1606">
        <v>560026</v>
      </c>
      <c r="C1606" s="4">
        <v>45154</v>
      </c>
      <c r="D1606">
        <v>56.703971879999997</v>
      </c>
      <c r="E1606">
        <v>59.418109459999997</v>
      </c>
      <c r="F1606">
        <v>5.62083333333333</v>
      </c>
      <c r="G1606">
        <v>2.1041666666666599</v>
      </c>
      <c r="H1606">
        <v>5.7270833333333302</v>
      </c>
      <c r="I1606">
        <v>0.47993055555555503</v>
      </c>
      <c r="J1606">
        <v>11.5989583333333</v>
      </c>
      <c r="K1606">
        <f t="shared" si="260"/>
        <v>94.506619799999996</v>
      </c>
      <c r="L1606">
        <f t="shared" si="261"/>
        <v>59.418109459999997</v>
      </c>
      <c r="M1606">
        <f t="shared" si="262"/>
        <v>7.0260416666666625</v>
      </c>
      <c r="N1606">
        <f t="shared" si="263"/>
        <v>0.52604166666666496</v>
      </c>
      <c r="O1606">
        <f t="shared" si="264"/>
        <v>7.1588541666666625</v>
      </c>
      <c r="P1606">
        <f t="shared" si="265"/>
        <v>5.4537563131313069</v>
      </c>
      <c r="Q1606">
        <f t="shared" si="266"/>
        <v>10.73977623456787</v>
      </c>
      <c r="R1606">
        <f t="shared" si="267"/>
        <v>94.506619799999996</v>
      </c>
      <c r="S1606" t="str">
        <f t="shared" si="268"/>
        <v>Satisfactory</v>
      </c>
      <c r="T1606" t="str">
        <f t="shared" si="269"/>
        <v>PM2.5</v>
      </c>
      <c r="U1606">
        <v>26.886458333333302</v>
      </c>
      <c r="V1606">
        <v>46.1979166666666</v>
      </c>
    </row>
    <row r="1607" spans="1:22" x14ac:dyDescent="0.3">
      <c r="A1607" s="2" t="s">
        <v>15</v>
      </c>
      <c r="B1607">
        <v>560026</v>
      </c>
      <c r="C1607" s="4">
        <v>45155</v>
      </c>
      <c r="D1607">
        <v>56.703971879999997</v>
      </c>
      <c r="E1607">
        <v>59.418109459999997</v>
      </c>
      <c r="F1607">
        <v>5.6416666666666604</v>
      </c>
      <c r="G1607">
        <v>2.0906250000000002</v>
      </c>
      <c r="H1607">
        <v>5.4770833333333302</v>
      </c>
      <c r="I1607">
        <v>0.55211805555555504</v>
      </c>
      <c r="J1607">
        <v>11.519791666666601</v>
      </c>
      <c r="K1607">
        <f t="shared" si="260"/>
        <v>94.506619799999996</v>
      </c>
      <c r="L1607">
        <f t="shared" si="261"/>
        <v>59.418109459999997</v>
      </c>
      <c r="M1607">
        <f t="shared" si="262"/>
        <v>7.0520833333333259</v>
      </c>
      <c r="N1607">
        <f t="shared" si="263"/>
        <v>0.52265625000000004</v>
      </c>
      <c r="O1607">
        <f t="shared" si="264"/>
        <v>6.8463541666666625</v>
      </c>
      <c r="P1607">
        <f t="shared" si="265"/>
        <v>6.2740688131313069</v>
      </c>
      <c r="Q1607">
        <f t="shared" si="266"/>
        <v>10.666473765432038</v>
      </c>
      <c r="R1607">
        <f t="shared" si="267"/>
        <v>94.506619799999996</v>
      </c>
      <c r="S1607" t="str">
        <f t="shared" si="268"/>
        <v>Satisfactory</v>
      </c>
      <c r="T1607" t="str">
        <f t="shared" si="269"/>
        <v>PM2.5</v>
      </c>
      <c r="U1607">
        <v>26.574999999999999</v>
      </c>
      <c r="V1607">
        <v>51.09375</v>
      </c>
    </row>
    <row r="1608" spans="1:22" x14ac:dyDescent="0.3">
      <c r="A1608" s="2" t="s">
        <v>15</v>
      </c>
      <c r="B1608">
        <v>560026</v>
      </c>
      <c r="C1608" s="4">
        <v>45156</v>
      </c>
      <c r="D1608">
        <v>56.703971879999997</v>
      </c>
      <c r="E1608">
        <v>59.418109459999997</v>
      </c>
      <c r="F1608">
        <v>5.71041666666666</v>
      </c>
      <c r="G1608">
        <v>2.0989583333333299</v>
      </c>
      <c r="H1608">
        <v>6.4281249999999996</v>
      </c>
      <c r="I1608">
        <v>0.53909722222222201</v>
      </c>
      <c r="J1608">
        <v>11.859375</v>
      </c>
      <c r="K1608">
        <f t="shared" si="260"/>
        <v>94.506619799999996</v>
      </c>
      <c r="L1608">
        <f t="shared" si="261"/>
        <v>59.418109459999997</v>
      </c>
      <c r="M1608">
        <f t="shared" si="262"/>
        <v>7.1380208333333259</v>
      </c>
      <c r="N1608">
        <f t="shared" si="263"/>
        <v>0.52473958333333248</v>
      </c>
      <c r="O1608">
        <f t="shared" si="264"/>
        <v>8.03515625</v>
      </c>
      <c r="P1608">
        <f t="shared" si="265"/>
        <v>6.1261047979797949</v>
      </c>
      <c r="Q1608">
        <f t="shared" si="266"/>
        <v>10.980902777777779</v>
      </c>
      <c r="R1608">
        <f t="shared" si="267"/>
        <v>94.506619799999996</v>
      </c>
      <c r="S1608" t="str">
        <f t="shared" si="268"/>
        <v>Satisfactory</v>
      </c>
      <c r="T1608" t="str">
        <f t="shared" si="269"/>
        <v>PM2.5</v>
      </c>
      <c r="U1608">
        <v>25.221875000000001</v>
      </c>
      <c r="V1608">
        <v>49.65625</v>
      </c>
    </row>
    <row r="1609" spans="1:22" x14ac:dyDescent="0.3">
      <c r="A1609" s="2" t="s">
        <v>15</v>
      </c>
      <c r="B1609">
        <v>560026</v>
      </c>
      <c r="C1609" s="4">
        <v>45157</v>
      </c>
      <c r="D1609">
        <v>56.703971879999997</v>
      </c>
      <c r="E1609">
        <v>59.418109459999997</v>
      </c>
      <c r="F1609">
        <v>5.6916666666666602</v>
      </c>
      <c r="G1609">
        <v>2.0979166666666602</v>
      </c>
      <c r="H1609">
        <v>6.02152777777777</v>
      </c>
      <c r="I1609">
        <v>0.41666666666666602</v>
      </c>
      <c r="J1609">
        <v>11.7083333333333</v>
      </c>
      <c r="K1609">
        <f t="shared" si="260"/>
        <v>94.506619799999996</v>
      </c>
      <c r="L1609">
        <f t="shared" si="261"/>
        <v>59.418109459999997</v>
      </c>
      <c r="M1609">
        <f t="shared" si="262"/>
        <v>7.1145833333333259</v>
      </c>
      <c r="N1609">
        <f t="shared" si="263"/>
        <v>0.52447916666666505</v>
      </c>
      <c r="O1609">
        <f t="shared" si="264"/>
        <v>7.5269097222222126</v>
      </c>
      <c r="P1609">
        <f t="shared" si="265"/>
        <v>4.7348484848484773</v>
      </c>
      <c r="Q1609">
        <f t="shared" si="266"/>
        <v>10.841049382716019</v>
      </c>
      <c r="R1609">
        <f t="shared" si="267"/>
        <v>94.506619799999996</v>
      </c>
      <c r="S1609" t="str">
        <f t="shared" si="268"/>
        <v>Satisfactory</v>
      </c>
      <c r="T1609" t="str">
        <f t="shared" si="269"/>
        <v>PM2.5</v>
      </c>
      <c r="U1609">
        <v>23.971875000000001</v>
      </c>
      <c r="V1609">
        <v>57.125</v>
      </c>
    </row>
    <row r="1610" spans="1:22" x14ac:dyDescent="0.3">
      <c r="A1610" s="2" t="s">
        <v>15</v>
      </c>
      <c r="B1610">
        <v>560026</v>
      </c>
      <c r="C1610" s="4">
        <v>45158</v>
      </c>
      <c r="D1610">
        <v>56.703971879999997</v>
      </c>
      <c r="E1610">
        <v>59.418109459999997</v>
      </c>
      <c r="F1610">
        <v>5.5979166666666602</v>
      </c>
      <c r="G1610">
        <v>2.0906250000000002</v>
      </c>
      <c r="H1610">
        <v>5.74861111111111</v>
      </c>
      <c r="I1610">
        <v>0.49225694444444401</v>
      </c>
      <c r="J1610">
        <v>11.5989583333333</v>
      </c>
      <c r="K1610">
        <f t="shared" si="260"/>
        <v>94.506619799999996</v>
      </c>
      <c r="L1610">
        <f t="shared" si="261"/>
        <v>59.418109459999997</v>
      </c>
      <c r="M1610">
        <f t="shared" si="262"/>
        <v>6.9973958333333259</v>
      </c>
      <c r="N1610">
        <f t="shared" si="263"/>
        <v>0.52265625000000004</v>
      </c>
      <c r="O1610">
        <f t="shared" si="264"/>
        <v>7.1857638888888875</v>
      </c>
      <c r="P1610">
        <f t="shared" si="265"/>
        <v>5.593828914141409</v>
      </c>
      <c r="Q1610">
        <f t="shared" si="266"/>
        <v>10.73977623456787</v>
      </c>
      <c r="R1610">
        <f t="shared" si="267"/>
        <v>94.506619799999996</v>
      </c>
      <c r="S1610" t="str">
        <f t="shared" si="268"/>
        <v>Satisfactory</v>
      </c>
      <c r="T1610" t="str">
        <f t="shared" si="269"/>
        <v>PM2.5</v>
      </c>
      <c r="U1610">
        <v>25.269791666666599</v>
      </c>
      <c r="V1610">
        <v>37.8020833333333</v>
      </c>
    </row>
    <row r="1611" spans="1:22" x14ac:dyDescent="0.3">
      <c r="A1611" s="2" t="s">
        <v>15</v>
      </c>
      <c r="B1611">
        <v>560026</v>
      </c>
      <c r="C1611" s="4">
        <v>45159</v>
      </c>
      <c r="D1611">
        <v>56.703971879999997</v>
      </c>
      <c r="E1611">
        <v>59.418109459999997</v>
      </c>
      <c r="F1611">
        <v>5.6437499999999998</v>
      </c>
      <c r="G1611">
        <v>2.0979166666666602</v>
      </c>
      <c r="H1611">
        <v>5.6986111111111102</v>
      </c>
      <c r="I1611">
        <v>1.2234375</v>
      </c>
      <c r="J1611">
        <v>11.7145833333333</v>
      </c>
      <c r="K1611">
        <f t="shared" si="260"/>
        <v>94.506619799999996</v>
      </c>
      <c r="L1611">
        <f t="shared" si="261"/>
        <v>59.418109459999997</v>
      </c>
      <c r="M1611">
        <f t="shared" si="262"/>
        <v>7.0546875</v>
      </c>
      <c r="N1611">
        <f t="shared" si="263"/>
        <v>0.52447916666666505</v>
      </c>
      <c r="O1611">
        <f t="shared" si="264"/>
        <v>7.1232638888888875</v>
      </c>
      <c r="P1611">
        <f t="shared" si="265"/>
        <v>13.902698863636363</v>
      </c>
      <c r="Q1611">
        <f t="shared" si="266"/>
        <v>10.846836419753055</v>
      </c>
      <c r="R1611">
        <f t="shared" si="267"/>
        <v>94.506619799999996</v>
      </c>
      <c r="S1611" t="str">
        <f t="shared" si="268"/>
        <v>Satisfactory</v>
      </c>
      <c r="T1611" t="str">
        <f t="shared" si="269"/>
        <v>PM2.5</v>
      </c>
      <c r="U1611">
        <v>26.643750000000001</v>
      </c>
      <c r="V1611">
        <v>37.5520833333333</v>
      </c>
    </row>
    <row r="1612" spans="1:22" x14ac:dyDescent="0.3">
      <c r="A1612" s="2" t="s">
        <v>15</v>
      </c>
      <c r="B1612">
        <v>560026</v>
      </c>
      <c r="C1612" s="4">
        <v>45160</v>
      </c>
      <c r="D1612">
        <v>56.703971879999997</v>
      </c>
      <c r="E1612">
        <v>59.418109459999997</v>
      </c>
      <c r="F1612">
        <v>5.6708333333333298</v>
      </c>
      <c r="G1612">
        <v>2.10520833333333</v>
      </c>
      <c r="H1612">
        <v>4.8885416666666597</v>
      </c>
      <c r="I1612">
        <v>0.79222222222222205</v>
      </c>
      <c r="J1612">
        <v>11.705208333333299</v>
      </c>
      <c r="K1612">
        <f t="shared" si="260"/>
        <v>94.506619799999996</v>
      </c>
      <c r="L1612">
        <f t="shared" si="261"/>
        <v>59.418109459999997</v>
      </c>
      <c r="M1612">
        <f t="shared" si="262"/>
        <v>7.0885416666666625</v>
      </c>
      <c r="N1612">
        <f t="shared" si="263"/>
        <v>0.5263020833333325</v>
      </c>
      <c r="O1612">
        <f t="shared" si="264"/>
        <v>6.1106770833333242</v>
      </c>
      <c r="P1612">
        <f t="shared" si="265"/>
        <v>9.0025252525252508</v>
      </c>
      <c r="Q1612">
        <f t="shared" si="266"/>
        <v>10.8381558641975</v>
      </c>
      <c r="R1612">
        <f t="shared" si="267"/>
        <v>94.506619799999996</v>
      </c>
      <c r="S1612" t="str">
        <f t="shared" si="268"/>
        <v>Satisfactory</v>
      </c>
      <c r="T1612" t="str">
        <f t="shared" si="269"/>
        <v>PM2.5</v>
      </c>
      <c r="U1612">
        <v>27.4652777777777</v>
      </c>
      <c r="V1612">
        <v>36.3020833333333</v>
      </c>
    </row>
    <row r="1613" spans="1:22" x14ac:dyDescent="0.3">
      <c r="A1613" s="2" t="s">
        <v>15</v>
      </c>
      <c r="B1613">
        <v>560026</v>
      </c>
      <c r="C1613" s="4">
        <v>45161</v>
      </c>
      <c r="D1613">
        <v>56.703971879999997</v>
      </c>
      <c r="E1613">
        <v>59.418109459999997</v>
      </c>
      <c r="F1613">
        <v>5.6239583333333298</v>
      </c>
      <c r="G1613">
        <v>2.1156250000000001</v>
      </c>
      <c r="H1613">
        <v>5.4381944444444397</v>
      </c>
      <c r="I1613">
        <v>0.585208333333333</v>
      </c>
      <c r="J1613">
        <v>11.896875</v>
      </c>
      <c r="K1613">
        <f t="shared" si="260"/>
        <v>94.506619799999996</v>
      </c>
      <c r="L1613">
        <f t="shared" si="261"/>
        <v>59.418109459999997</v>
      </c>
      <c r="M1613">
        <f t="shared" si="262"/>
        <v>7.0299479166666625</v>
      </c>
      <c r="N1613">
        <f t="shared" si="263"/>
        <v>0.52890625000000002</v>
      </c>
      <c r="O1613">
        <f t="shared" si="264"/>
        <v>6.79774305555555</v>
      </c>
      <c r="P1613">
        <f t="shared" si="265"/>
        <v>6.6500946969696928</v>
      </c>
      <c r="Q1613">
        <f t="shared" si="266"/>
        <v>11.015625</v>
      </c>
      <c r="R1613">
        <f t="shared" si="267"/>
        <v>94.506619799999996</v>
      </c>
      <c r="S1613" t="str">
        <f t="shared" si="268"/>
        <v>Satisfactory</v>
      </c>
      <c r="T1613" t="str">
        <f t="shared" si="269"/>
        <v>PM2.5</v>
      </c>
      <c r="U1613">
        <v>27.237500000000001</v>
      </c>
      <c r="V1613">
        <v>34.7916666666666</v>
      </c>
    </row>
    <row r="1614" spans="1:22" x14ac:dyDescent="0.3">
      <c r="A1614" s="2" t="s">
        <v>15</v>
      </c>
      <c r="B1614">
        <v>560026</v>
      </c>
      <c r="C1614" s="4">
        <v>45164</v>
      </c>
      <c r="D1614">
        <v>27.7013888888888</v>
      </c>
      <c r="E1614">
        <v>77.6180555555555</v>
      </c>
      <c r="F1614">
        <v>5.6135416666666602</v>
      </c>
      <c r="G1614">
        <v>2.0989583333333299</v>
      </c>
      <c r="H1614">
        <v>5.2979166666666604</v>
      </c>
      <c r="I1614">
        <v>0.45427083333333301</v>
      </c>
      <c r="J1614">
        <v>11.746874999999999</v>
      </c>
      <c r="K1614">
        <f t="shared" si="260"/>
        <v>46.168981481481332</v>
      </c>
      <c r="L1614">
        <f t="shared" si="261"/>
        <v>77.6180555555555</v>
      </c>
      <c r="M1614">
        <f t="shared" si="262"/>
        <v>7.0169270833333259</v>
      </c>
      <c r="N1614">
        <f t="shared" si="263"/>
        <v>0.52473958333333248</v>
      </c>
      <c r="O1614">
        <f t="shared" si="264"/>
        <v>6.6223958333333259</v>
      </c>
      <c r="P1614">
        <f t="shared" si="265"/>
        <v>5.162168560606057</v>
      </c>
      <c r="Q1614">
        <f t="shared" si="266"/>
        <v>10.876736111111111</v>
      </c>
      <c r="R1614">
        <f t="shared" si="267"/>
        <v>77.6180555555555</v>
      </c>
      <c r="S1614" t="str">
        <f t="shared" si="268"/>
        <v>Satisfactory</v>
      </c>
      <c r="T1614" t="str">
        <f t="shared" si="269"/>
        <v>PM10</v>
      </c>
      <c r="U1614">
        <v>26.75</v>
      </c>
      <c r="V1614">
        <v>52.96875</v>
      </c>
    </row>
    <row r="1615" spans="1:22" x14ac:dyDescent="0.3">
      <c r="A1615" s="2" t="s">
        <v>15</v>
      </c>
      <c r="B1615">
        <v>560026</v>
      </c>
      <c r="C1615" s="4">
        <v>45165</v>
      </c>
      <c r="D1615">
        <v>30.9166666666666</v>
      </c>
      <c r="E1615">
        <v>76.96875</v>
      </c>
      <c r="F1615">
        <v>5.6666666666666599</v>
      </c>
      <c r="G1615">
        <v>2.1</v>
      </c>
      <c r="H1615">
        <v>4.7864583333333304</v>
      </c>
      <c r="I1615">
        <v>0.35770833333333302</v>
      </c>
      <c r="J1615">
        <v>11.920833333333301</v>
      </c>
      <c r="K1615">
        <f t="shared" si="260"/>
        <v>51.527777777777665</v>
      </c>
      <c r="L1615">
        <f t="shared" si="261"/>
        <v>76.96875</v>
      </c>
      <c r="M1615">
        <f t="shared" si="262"/>
        <v>7.0833333333333242</v>
      </c>
      <c r="N1615">
        <f t="shared" si="263"/>
        <v>0.52500000000000002</v>
      </c>
      <c r="O1615">
        <f t="shared" si="264"/>
        <v>5.9830729166666625</v>
      </c>
      <c r="P1615">
        <f t="shared" si="265"/>
        <v>4.0648674242424203</v>
      </c>
      <c r="Q1615">
        <f t="shared" si="266"/>
        <v>11.037808641975278</v>
      </c>
      <c r="R1615">
        <f t="shared" si="267"/>
        <v>76.96875</v>
      </c>
      <c r="S1615" t="str">
        <f t="shared" si="268"/>
        <v>Satisfactory</v>
      </c>
      <c r="T1615" t="str">
        <f t="shared" si="269"/>
        <v>PM10</v>
      </c>
      <c r="U1615">
        <v>26.653124999999999</v>
      </c>
      <c r="V1615">
        <v>52.4479166666666</v>
      </c>
    </row>
    <row r="1616" spans="1:22" x14ac:dyDescent="0.3">
      <c r="A1616" s="2" t="s">
        <v>15</v>
      </c>
      <c r="B1616">
        <v>560026</v>
      </c>
      <c r="C1616" s="4">
        <v>45166</v>
      </c>
      <c r="D1616">
        <v>36.173913043478201</v>
      </c>
      <c r="E1616">
        <v>92.9673913043478</v>
      </c>
      <c r="F1616">
        <v>5.7481884057970998</v>
      </c>
      <c r="G1616">
        <v>2.1054347826086901</v>
      </c>
      <c r="H1616">
        <v>5.4384057971014403</v>
      </c>
      <c r="I1616">
        <v>0.80423913043478201</v>
      </c>
      <c r="J1616">
        <v>11.787318840579699</v>
      </c>
      <c r="K1616">
        <f t="shared" si="260"/>
        <v>60.289855072463666</v>
      </c>
      <c r="L1616">
        <f t="shared" si="261"/>
        <v>92.9673913043478</v>
      </c>
      <c r="M1616">
        <f t="shared" si="262"/>
        <v>7.1852355072463752</v>
      </c>
      <c r="N1616">
        <f t="shared" si="263"/>
        <v>0.52635869565217253</v>
      </c>
      <c r="O1616">
        <f t="shared" si="264"/>
        <v>6.7980072463768009</v>
      </c>
      <c r="P1616">
        <f t="shared" si="265"/>
        <v>9.1390810276679773</v>
      </c>
      <c r="Q1616">
        <f t="shared" si="266"/>
        <v>10.91418411164787</v>
      </c>
      <c r="R1616">
        <f t="shared" si="267"/>
        <v>92.9673913043478</v>
      </c>
      <c r="S1616" t="str">
        <f t="shared" si="268"/>
        <v>Satisfactory</v>
      </c>
      <c r="T1616" t="str">
        <f t="shared" si="269"/>
        <v>PM10</v>
      </c>
      <c r="U1616">
        <v>27.345652173912999</v>
      </c>
      <c r="V1616">
        <v>52.9166666666666</v>
      </c>
    </row>
    <row r="1617" spans="1:22" x14ac:dyDescent="0.3">
      <c r="A1617" s="2" t="s">
        <v>15</v>
      </c>
      <c r="B1617">
        <v>560026</v>
      </c>
      <c r="C1617" s="4">
        <v>45168</v>
      </c>
      <c r="D1617">
        <v>21.8333333333333</v>
      </c>
      <c r="E1617">
        <v>66.9375</v>
      </c>
      <c r="F1617">
        <v>8.60520833333333</v>
      </c>
      <c r="G1617">
        <v>2.1354166666666599</v>
      </c>
      <c r="H1617">
        <v>5.21458333333333</v>
      </c>
      <c r="I1617">
        <v>0.51695652173912998</v>
      </c>
      <c r="J1617">
        <v>12.059374999999999</v>
      </c>
      <c r="K1617">
        <f t="shared" si="260"/>
        <v>36.388888888888829</v>
      </c>
      <c r="L1617">
        <f t="shared" si="261"/>
        <v>66.9375</v>
      </c>
      <c r="M1617">
        <f t="shared" si="262"/>
        <v>10.756510416666663</v>
      </c>
      <c r="N1617">
        <f t="shared" si="263"/>
        <v>0.53385416666666496</v>
      </c>
      <c r="O1617">
        <f t="shared" si="264"/>
        <v>6.5182291666666625</v>
      </c>
      <c r="P1617">
        <f t="shared" si="265"/>
        <v>5.8745059288537496</v>
      </c>
      <c r="Q1617">
        <f t="shared" si="266"/>
        <v>11.166087962962962</v>
      </c>
      <c r="R1617">
        <f t="shared" si="267"/>
        <v>66.9375</v>
      </c>
      <c r="S1617" t="str">
        <f t="shared" si="268"/>
        <v>Satisfactory</v>
      </c>
      <c r="T1617" t="str">
        <f t="shared" si="269"/>
        <v>PM10</v>
      </c>
      <c r="U1617">
        <v>27.280208333333299</v>
      </c>
      <c r="V1617">
        <v>53</v>
      </c>
    </row>
    <row r="1618" spans="1:22" x14ac:dyDescent="0.3">
      <c r="A1618" s="2" t="s">
        <v>15</v>
      </c>
      <c r="B1618">
        <v>560026</v>
      </c>
      <c r="C1618" s="4">
        <v>45169</v>
      </c>
      <c r="D1618">
        <v>21.576086956521699</v>
      </c>
      <c r="E1618">
        <v>67.9673913043478</v>
      </c>
      <c r="F1618">
        <v>8.3607638888888793</v>
      </c>
      <c r="G1618">
        <v>2.1447916666666602</v>
      </c>
      <c r="H1618">
        <v>5.33263888888888</v>
      </c>
      <c r="I1618">
        <v>0.63188405797101399</v>
      </c>
      <c r="J1618">
        <v>11.5329861111111</v>
      </c>
      <c r="K1618">
        <f t="shared" si="260"/>
        <v>35.960144927536163</v>
      </c>
      <c r="L1618">
        <f t="shared" si="261"/>
        <v>67.9673913043478</v>
      </c>
      <c r="M1618">
        <f t="shared" si="262"/>
        <v>10.450954861111098</v>
      </c>
      <c r="N1618">
        <f t="shared" si="263"/>
        <v>0.53619791666666505</v>
      </c>
      <c r="O1618">
        <f t="shared" si="264"/>
        <v>6.6657986111111001</v>
      </c>
      <c r="P1618">
        <f t="shared" si="265"/>
        <v>7.1805006587615221</v>
      </c>
      <c r="Q1618">
        <f t="shared" si="266"/>
        <v>10.678690843621389</v>
      </c>
      <c r="R1618">
        <f t="shared" si="267"/>
        <v>67.9673913043478</v>
      </c>
      <c r="S1618" t="str">
        <f t="shared" si="268"/>
        <v>Satisfactory</v>
      </c>
      <c r="T1618" t="str">
        <f t="shared" si="269"/>
        <v>PM10</v>
      </c>
      <c r="U1618">
        <v>26.4</v>
      </c>
      <c r="V1618">
        <v>56.4166666666666</v>
      </c>
    </row>
    <row r="1619" spans="1:22" x14ac:dyDescent="0.3">
      <c r="A1619" s="2" t="s">
        <v>15</v>
      </c>
      <c r="B1619">
        <v>560026</v>
      </c>
      <c r="C1619" s="4">
        <v>45170</v>
      </c>
      <c r="D1619">
        <v>18.223484848484802</v>
      </c>
      <c r="E1619">
        <v>66.737499999999997</v>
      </c>
      <c r="F1619">
        <v>8.4114583333333304</v>
      </c>
      <c r="G1619">
        <v>2.1312500000000001</v>
      </c>
      <c r="H1619">
        <v>4.3642361111111097</v>
      </c>
      <c r="I1619">
        <v>0.77593749999999995</v>
      </c>
      <c r="J1619">
        <v>11.436458333333301</v>
      </c>
      <c r="K1619">
        <f t="shared" si="260"/>
        <v>30.372474747474669</v>
      </c>
      <c r="L1619">
        <f t="shared" si="261"/>
        <v>66.737499999999997</v>
      </c>
      <c r="M1619">
        <f t="shared" si="262"/>
        <v>10.514322916666663</v>
      </c>
      <c r="N1619">
        <f t="shared" si="263"/>
        <v>0.53281250000000002</v>
      </c>
      <c r="O1619">
        <f t="shared" si="264"/>
        <v>5.4552951388888875</v>
      </c>
      <c r="P1619">
        <f t="shared" si="265"/>
        <v>8.8174715909090899</v>
      </c>
      <c r="Q1619">
        <f t="shared" si="266"/>
        <v>10.589313271604908</v>
      </c>
      <c r="R1619">
        <f t="shared" si="267"/>
        <v>66.737499999999997</v>
      </c>
      <c r="S1619" t="str">
        <f t="shared" si="268"/>
        <v>Satisfactory</v>
      </c>
      <c r="T1619" t="str">
        <f t="shared" si="269"/>
        <v>PM10</v>
      </c>
      <c r="U1619">
        <v>25.011458333333302</v>
      </c>
      <c r="V1619">
        <v>55.8541666666666</v>
      </c>
    </row>
    <row r="1620" spans="1:22" x14ac:dyDescent="0.3">
      <c r="A1620" s="2" t="s">
        <v>15</v>
      </c>
      <c r="B1620">
        <v>560026</v>
      </c>
      <c r="C1620" s="4">
        <v>45171</v>
      </c>
      <c r="D1620">
        <v>14.2465277777777</v>
      </c>
      <c r="E1620">
        <v>48.4513888888888</v>
      </c>
      <c r="F1620">
        <v>8.3927083333333297</v>
      </c>
      <c r="G1620">
        <v>2.1197916666666599</v>
      </c>
      <c r="H1620">
        <v>5.5979166666666602</v>
      </c>
      <c r="I1620">
        <v>0.63126811594202903</v>
      </c>
      <c r="J1620">
        <v>11.8802083333333</v>
      </c>
      <c r="K1620">
        <f t="shared" si="260"/>
        <v>23.744212962962834</v>
      </c>
      <c r="L1620">
        <f t="shared" si="261"/>
        <v>48.4513888888888</v>
      </c>
      <c r="M1620">
        <f t="shared" si="262"/>
        <v>10.490885416666661</v>
      </c>
      <c r="N1620">
        <f t="shared" si="263"/>
        <v>0.52994791666666496</v>
      </c>
      <c r="O1620">
        <f t="shared" si="264"/>
        <v>6.9973958333333259</v>
      </c>
      <c r="P1620">
        <f t="shared" si="265"/>
        <v>7.1735013175230566</v>
      </c>
      <c r="Q1620">
        <f t="shared" si="266"/>
        <v>11.000192901234538</v>
      </c>
      <c r="R1620">
        <f t="shared" si="267"/>
        <v>48.4513888888888</v>
      </c>
      <c r="S1620" t="str">
        <f t="shared" si="268"/>
        <v>Good</v>
      </c>
      <c r="T1620" t="str">
        <f t="shared" si="269"/>
        <v>PM10</v>
      </c>
      <c r="U1620">
        <v>24.783333333333299</v>
      </c>
      <c r="V1620">
        <v>57.59375</v>
      </c>
    </row>
    <row r="1621" spans="1:22" x14ac:dyDescent="0.3">
      <c r="A1621" s="2" t="s">
        <v>15</v>
      </c>
      <c r="B1621">
        <v>560026</v>
      </c>
      <c r="C1621" s="4">
        <v>45172</v>
      </c>
      <c r="D1621">
        <v>20.3715277777777</v>
      </c>
      <c r="E1621">
        <v>68.4965277777777</v>
      </c>
      <c r="F1621">
        <v>8.63645833333333</v>
      </c>
      <c r="G1621">
        <v>2.0354166666666602</v>
      </c>
      <c r="H1621">
        <v>5.1458333333333304</v>
      </c>
      <c r="I1621">
        <v>0.59989583333333296</v>
      </c>
      <c r="J1621">
        <v>11.861458333333299</v>
      </c>
      <c r="K1621">
        <f t="shared" si="260"/>
        <v>33.95254629629617</v>
      </c>
      <c r="L1621">
        <f t="shared" si="261"/>
        <v>68.4965277777777</v>
      </c>
      <c r="M1621">
        <f t="shared" si="262"/>
        <v>10.795572916666663</v>
      </c>
      <c r="N1621">
        <f t="shared" si="263"/>
        <v>0.50885416666666505</v>
      </c>
      <c r="O1621">
        <f t="shared" si="264"/>
        <v>6.4322916666666625</v>
      </c>
      <c r="P1621">
        <f t="shared" si="265"/>
        <v>6.816998106060602</v>
      </c>
      <c r="Q1621">
        <f t="shared" si="266"/>
        <v>10.982831790123425</v>
      </c>
      <c r="R1621">
        <f t="shared" si="267"/>
        <v>68.4965277777777</v>
      </c>
      <c r="S1621" t="str">
        <f t="shared" si="268"/>
        <v>Satisfactory</v>
      </c>
      <c r="T1621" t="str">
        <f t="shared" si="269"/>
        <v>PM10</v>
      </c>
      <c r="U1621">
        <v>24.8020833333333</v>
      </c>
      <c r="V1621">
        <v>56.9375</v>
      </c>
    </row>
    <row r="1622" spans="1:22" x14ac:dyDescent="0.3">
      <c r="A1622" s="2" t="s">
        <v>15</v>
      </c>
      <c r="B1622">
        <v>560026</v>
      </c>
      <c r="C1622" s="4">
        <v>45173</v>
      </c>
      <c r="D1622">
        <v>19.5243055555555</v>
      </c>
      <c r="E1622">
        <v>76.0381944444444</v>
      </c>
      <c r="F1622">
        <v>8.42916666666666</v>
      </c>
      <c r="G1622">
        <v>2.0979166666666602</v>
      </c>
      <c r="H1622">
        <v>4.9000000000000004</v>
      </c>
      <c r="I1622">
        <v>0.58124999999999905</v>
      </c>
      <c r="J1622">
        <v>11.773958333333301</v>
      </c>
      <c r="K1622">
        <f t="shared" si="260"/>
        <v>32.540509259259167</v>
      </c>
      <c r="L1622">
        <f t="shared" si="261"/>
        <v>76.0381944444444</v>
      </c>
      <c r="M1622">
        <f t="shared" si="262"/>
        <v>10.536458333333325</v>
      </c>
      <c r="N1622">
        <f t="shared" si="263"/>
        <v>0.52447916666666505</v>
      </c>
      <c r="O1622">
        <f t="shared" si="264"/>
        <v>6.1250000000000009</v>
      </c>
      <c r="P1622">
        <f t="shared" si="265"/>
        <v>6.6051136363636251</v>
      </c>
      <c r="Q1622">
        <f t="shared" si="266"/>
        <v>10.901813271604908</v>
      </c>
      <c r="R1622">
        <f t="shared" si="267"/>
        <v>76.0381944444444</v>
      </c>
      <c r="S1622" t="str">
        <f t="shared" si="268"/>
        <v>Satisfactory</v>
      </c>
      <c r="T1622" t="str">
        <f t="shared" si="269"/>
        <v>PM10</v>
      </c>
      <c r="U1622">
        <v>23.404861111111099</v>
      </c>
      <c r="V1622">
        <v>59.4791666666666</v>
      </c>
    </row>
    <row r="1623" spans="1:22" x14ac:dyDescent="0.3">
      <c r="A1623" s="2" t="s">
        <v>15</v>
      </c>
      <c r="B1623">
        <v>560026</v>
      </c>
      <c r="C1623" s="4">
        <v>45174</v>
      </c>
      <c r="D1623">
        <v>19.5104166666666</v>
      </c>
      <c r="E1623">
        <v>60.9618055555555</v>
      </c>
      <c r="F1623">
        <v>8.6125000000000007</v>
      </c>
      <c r="G1623">
        <v>2.0520833333333299</v>
      </c>
      <c r="H1623">
        <v>5.0864583333333302</v>
      </c>
      <c r="I1623">
        <v>0.614340277777777</v>
      </c>
      <c r="J1623">
        <v>11.75</v>
      </c>
      <c r="K1623">
        <f t="shared" si="260"/>
        <v>32.517361111111001</v>
      </c>
      <c r="L1623">
        <f t="shared" si="261"/>
        <v>60.9618055555555</v>
      </c>
      <c r="M1623">
        <f t="shared" si="262"/>
        <v>10.765625000000002</v>
      </c>
      <c r="N1623">
        <f t="shared" si="263"/>
        <v>0.51302083333333248</v>
      </c>
      <c r="O1623">
        <f t="shared" si="264"/>
        <v>6.3580729166666625</v>
      </c>
      <c r="P1623">
        <f t="shared" si="265"/>
        <v>6.981139520202011</v>
      </c>
      <c r="Q1623">
        <f t="shared" si="266"/>
        <v>10.87962962962963</v>
      </c>
      <c r="R1623">
        <f t="shared" si="267"/>
        <v>60.9618055555555</v>
      </c>
      <c r="S1623" t="str">
        <f t="shared" si="268"/>
        <v>Satisfactory</v>
      </c>
      <c r="T1623" t="str">
        <f t="shared" si="269"/>
        <v>PM10</v>
      </c>
      <c r="U1623">
        <v>22.931597222222202</v>
      </c>
      <c r="V1623">
        <v>84.1458333333333</v>
      </c>
    </row>
    <row r="1624" spans="1:22" x14ac:dyDescent="0.3">
      <c r="A1624" s="2" t="s">
        <v>15</v>
      </c>
      <c r="B1624">
        <v>560026</v>
      </c>
      <c r="C1624" s="4">
        <v>45175</v>
      </c>
      <c r="D1624">
        <v>6.78125</v>
      </c>
      <c r="E1624">
        <v>24.4444444444444</v>
      </c>
      <c r="F1624">
        <v>8.6624999999999996</v>
      </c>
      <c r="G1624">
        <v>2.0666666666666602</v>
      </c>
      <c r="H1624">
        <v>4.7569444444444402</v>
      </c>
      <c r="I1624">
        <v>0.508506944444444</v>
      </c>
      <c r="J1624">
        <v>11.8916666666666</v>
      </c>
      <c r="K1624">
        <f t="shared" si="260"/>
        <v>11.302083333333334</v>
      </c>
      <c r="L1624">
        <f t="shared" si="261"/>
        <v>24.4444444444444</v>
      </c>
      <c r="M1624">
        <f t="shared" si="262"/>
        <v>10.828125</v>
      </c>
      <c r="N1624">
        <f t="shared" si="263"/>
        <v>0.51666666666666505</v>
      </c>
      <c r="O1624">
        <f t="shared" si="264"/>
        <v>5.94618055555555</v>
      </c>
      <c r="P1624">
        <f t="shared" si="265"/>
        <v>5.7784880050504999</v>
      </c>
      <c r="Q1624">
        <f t="shared" si="266"/>
        <v>11.01080246913574</v>
      </c>
      <c r="R1624">
        <f t="shared" si="267"/>
        <v>24.4444444444444</v>
      </c>
      <c r="S1624" t="str">
        <f t="shared" si="268"/>
        <v>Good</v>
      </c>
      <c r="T1624" t="str">
        <f t="shared" si="269"/>
        <v>PM10</v>
      </c>
      <c r="U1624">
        <v>23.177777777777699</v>
      </c>
      <c r="V1624">
        <v>77.90625</v>
      </c>
    </row>
    <row r="1625" spans="1:22" x14ac:dyDescent="0.3">
      <c r="A1625" s="2" t="s">
        <v>15</v>
      </c>
      <c r="B1625">
        <v>560026</v>
      </c>
      <c r="C1625" s="4">
        <v>45176</v>
      </c>
      <c r="D1625">
        <v>9.1527777777777697</v>
      </c>
      <c r="E1625">
        <v>31.2604166666666</v>
      </c>
      <c r="F1625">
        <v>8.4874999999999901</v>
      </c>
      <c r="G1625">
        <v>2.0958333333333301</v>
      </c>
      <c r="H1625">
        <v>5.6739583333333297</v>
      </c>
      <c r="I1625">
        <v>0.393166666666666</v>
      </c>
      <c r="J1625">
        <v>11.810416666666599</v>
      </c>
      <c r="K1625">
        <f t="shared" si="260"/>
        <v>15.254629629629616</v>
      </c>
      <c r="L1625">
        <f t="shared" si="261"/>
        <v>31.2604166666666</v>
      </c>
      <c r="M1625">
        <f t="shared" si="262"/>
        <v>10.609374999999988</v>
      </c>
      <c r="N1625">
        <f t="shared" si="263"/>
        <v>0.52395833333333253</v>
      </c>
      <c r="O1625">
        <f t="shared" si="264"/>
        <v>7.0924479166666616</v>
      </c>
      <c r="P1625">
        <f t="shared" si="265"/>
        <v>4.4678030303030223</v>
      </c>
      <c r="Q1625">
        <f t="shared" si="266"/>
        <v>10.935570987654259</v>
      </c>
      <c r="R1625">
        <f t="shared" si="267"/>
        <v>31.2604166666666</v>
      </c>
      <c r="S1625" t="str">
        <f t="shared" si="268"/>
        <v>Good</v>
      </c>
      <c r="T1625" t="str">
        <f t="shared" si="269"/>
        <v>PM10</v>
      </c>
      <c r="U1625">
        <v>23.970138888888801</v>
      </c>
      <c r="V1625">
        <v>75</v>
      </c>
    </row>
    <row r="1626" spans="1:22" x14ac:dyDescent="0.3">
      <c r="A1626" s="2" t="s">
        <v>15</v>
      </c>
      <c r="B1626">
        <v>560026</v>
      </c>
      <c r="C1626" s="4">
        <v>45177</v>
      </c>
      <c r="D1626">
        <v>10.8472222222222</v>
      </c>
      <c r="E1626">
        <v>33.1319444444444</v>
      </c>
      <c r="F1626">
        <v>8.6239583333333307</v>
      </c>
      <c r="G1626">
        <v>2.12083333333333</v>
      </c>
      <c r="H1626">
        <v>5.00729166666666</v>
      </c>
      <c r="I1626">
        <v>0.399166666666666</v>
      </c>
      <c r="J1626">
        <v>11.908333333333299</v>
      </c>
      <c r="K1626">
        <f t="shared" si="260"/>
        <v>18.078703703703663</v>
      </c>
      <c r="L1626">
        <f t="shared" si="261"/>
        <v>33.1319444444444</v>
      </c>
      <c r="M1626">
        <f t="shared" si="262"/>
        <v>10.779947916666663</v>
      </c>
      <c r="N1626">
        <f t="shared" si="263"/>
        <v>0.5302083333333325</v>
      </c>
      <c r="O1626">
        <f t="shared" si="264"/>
        <v>6.259114583333325</v>
      </c>
      <c r="P1626">
        <f t="shared" si="265"/>
        <v>4.5359848484848406</v>
      </c>
      <c r="Q1626">
        <f t="shared" si="266"/>
        <v>11.026234567901204</v>
      </c>
      <c r="R1626">
        <f t="shared" si="267"/>
        <v>33.1319444444444</v>
      </c>
      <c r="S1626" t="str">
        <f t="shared" si="268"/>
        <v>Good</v>
      </c>
      <c r="T1626" t="str">
        <f t="shared" si="269"/>
        <v>PM10</v>
      </c>
      <c r="U1626">
        <v>24.140277777777701</v>
      </c>
      <c r="V1626">
        <v>81.704545454545396</v>
      </c>
    </row>
    <row r="1627" spans="1:22" x14ac:dyDescent="0.3">
      <c r="A1627" s="2" t="s">
        <v>15</v>
      </c>
      <c r="B1627">
        <v>560026</v>
      </c>
      <c r="C1627" s="4">
        <v>45178</v>
      </c>
      <c r="D1627">
        <v>19.9479166666666</v>
      </c>
      <c r="E1627">
        <v>49.2291666666666</v>
      </c>
      <c r="F1627">
        <v>8.7208333333333297</v>
      </c>
      <c r="G1627">
        <v>2.0499999999999998</v>
      </c>
      <c r="H1627">
        <v>4.9024305555555499</v>
      </c>
      <c r="I1627">
        <v>0.55340909090909096</v>
      </c>
      <c r="J1627">
        <v>11.655208333333301</v>
      </c>
      <c r="K1627">
        <f t="shared" si="260"/>
        <v>33.246527777777672</v>
      </c>
      <c r="L1627">
        <f t="shared" si="261"/>
        <v>49.2291666666666</v>
      </c>
      <c r="M1627">
        <f t="shared" si="262"/>
        <v>10.901041666666661</v>
      </c>
      <c r="N1627">
        <f t="shared" si="263"/>
        <v>0.51249999999999996</v>
      </c>
      <c r="O1627">
        <f t="shared" si="264"/>
        <v>6.1280381944444375</v>
      </c>
      <c r="P1627">
        <f t="shared" si="265"/>
        <v>6.2887396694214877</v>
      </c>
      <c r="Q1627">
        <f t="shared" si="266"/>
        <v>10.791859567901204</v>
      </c>
      <c r="R1627">
        <f t="shared" si="267"/>
        <v>49.2291666666666</v>
      </c>
      <c r="S1627" t="str">
        <f t="shared" si="268"/>
        <v>Good</v>
      </c>
      <c r="T1627" t="str">
        <f t="shared" si="269"/>
        <v>PM10</v>
      </c>
      <c r="U1627">
        <v>25.043749999999999</v>
      </c>
      <c r="V1627">
        <v>71.59375</v>
      </c>
    </row>
    <row r="1628" spans="1:22" x14ac:dyDescent="0.3">
      <c r="A1628" s="2" t="s">
        <v>15</v>
      </c>
      <c r="B1628">
        <v>560026</v>
      </c>
      <c r="C1628" s="4">
        <v>45179</v>
      </c>
      <c r="D1628">
        <v>19.3611111111111</v>
      </c>
      <c r="E1628">
        <v>55.0381944444444</v>
      </c>
      <c r="F1628">
        <v>8.6541666666666597</v>
      </c>
      <c r="G1628">
        <v>2.0604166666666601</v>
      </c>
      <c r="H1628">
        <v>5.3312499999999998</v>
      </c>
      <c r="I1628">
        <v>0.45343749999999999</v>
      </c>
      <c r="J1628">
        <v>11.7239583333333</v>
      </c>
      <c r="K1628">
        <f t="shared" si="260"/>
        <v>32.268518518518498</v>
      </c>
      <c r="L1628">
        <f t="shared" si="261"/>
        <v>55.0381944444444</v>
      </c>
      <c r="M1628">
        <f t="shared" si="262"/>
        <v>10.817708333333325</v>
      </c>
      <c r="N1628">
        <f t="shared" si="263"/>
        <v>0.51510416666666503</v>
      </c>
      <c r="O1628">
        <f t="shared" si="264"/>
        <v>6.6640625</v>
      </c>
      <c r="P1628">
        <f t="shared" si="265"/>
        <v>5.1526988636363633</v>
      </c>
      <c r="Q1628">
        <f t="shared" si="266"/>
        <v>10.85551697530861</v>
      </c>
      <c r="R1628">
        <f t="shared" si="267"/>
        <v>55.0381944444444</v>
      </c>
      <c r="S1628" t="str">
        <f t="shared" si="268"/>
        <v>Satisfactory</v>
      </c>
      <c r="T1628" t="str">
        <f t="shared" si="269"/>
        <v>PM10</v>
      </c>
      <c r="U1628">
        <v>24.9947916666666</v>
      </c>
      <c r="V1628">
        <v>71.6145833333333</v>
      </c>
    </row>
    <row r="1629" spans="1:22" x14ac:dyDescent="0.3">
      <c r="A1629" s="2" t="s">
        <v>15</v>
      </c>
      <c r="B1629">
        <v>560026</v>
      </c>
      <c r="C1629" s="4">
        <v>45180</v>
      </c>
      <c r="D1629">
        <v>14.9131944444444</v>
      </c>
      <c r="E1629">
        <v>38.4131944444444</v>
      </c>
      <c r="F1629">
        <v>8.3937499999999901</v>
      </c>
      <c r="G1629">
        <v>2.1427083333333301</v>
      </c>
      <c r="H1629">
        <v>4.4229166666666604</v>
      </c>
      <c r="I1629">
        <v>0.54156249999999995</v>
      </c>
      <c r="J1629">
        <v>11.7864583333333</v>
      </c>
      <c r="K1629">
        <f t="shared" si="260"/>
        <v>24.855324074074002</v>
      </c>
      <c r="L1629">
        <f t="shared" si="261"/>
        <v>38.4131944444444</v>
      </c>
      <c r="M1629">
        <f t="shared" si="262"/>
        <v>10.492187499999988</v>
      </c>
      <c r="N1629">
        <f t="shared" si="263"/>
        <v>0.53567708333333253</v>
      </c>
      <c r="O1629">
        <f t="shared" si="264"/>
        <v>5.5286458333333259</v>
      </c>
      <c r="P1629">
        <f t="shared" si="265"/>
        <v>6.1541193181818175</v>
      </c>
      <c r="Q1629">
        <f t="shared" si="266"/>
        <v>10.913387345678982</v>
      </c>
      <c r="R1629">
        <f t="shared" si="267"/>
        <v>38.4131944444444</v>
      </c>
      <c r="S1629" t="str">
        <f t="shared" si="268"/>
        <v>Good</v>
      </c>
      <c r="T1629" t="str">
        <f t="shared" si="269"/>
        <v>PM10</v>
      </c>
      <c r="U1629">
        <v>24.1666666666666</v>
      </c>
      <c r="V1629">
        <v>74.5104166666666</v>
      </c>
    </row>
    <row r="1630" spans="1:22" x14ac:dyDescent="0.3">
      <c r="A1630" s="2" t="s">
        <v>15</v>
      </c>
      <c r="B1630">
        <v>560026</v>
      </c>
      <c r="C1630" s="4">
        <v>45181</v>
      </c>
      <c r="D1630">
        <v>13.4375</v>
      </c>
      <c r="E1630">
        <v>47.8402777777777</v>
      </c>
      <c r="F1630">
        <v>8.3614583333333297</v>
      </c>
      <c r="G1630">
        <v>2.1072916666666601</v>
      </c>
      <c r="H1630">
        <v>4.5993055555555502</v>
      </c>
      <c r="I1630">
        <v>0.55819444444444399</v>
      </c>
      <c r="J1630">
        <v>11.644791666666601</v>
      </c>
      <c r="K1630">
        <f t="shared" si="260"/>
        <v>22.395833333333332</v>
      </c>
      <c r="L1630">
        <f t="shared" si="261"/>
        <v>47.8402777777777</v>
      </c>
      <c r="M1630">
        <f t="shared" si="262"/>
        <v>10.451822916666661</v>
      </c>
      <c r="N1630">
        <f t="shared" si="263"/>
        <v>0.52682291666666503</v>
      </c>
      <c r="O1630">
        <f t="shared" si="264"/>
        <v>5.7491319444444375</v>
      </c>
      <c r="P1630">
        <f t="shared" si="265"/>
        <v>6.3431186868686815</v>
      </c>
      <c r="Q1630">
        <f t="shared" si="266"/>
        <v>10.782214506172778</v>
      </c>
      <c r="R1630">
        <f t="shared" si="267"/>
        <v>47.8402777777777</v>
      </c>
      <c r="S1630" t="str">
        <f t="shared" si="268"/>
        <v>Good</v>
      </c>
      <c r="T1630" t="str">
        <f t="shared" si="269"/>
        <v>PM10</v>
      </c>
      <c r="U1630">
        <v>24.8385416666666</v>
      </c>
      <c r="V1630">
        <v>76.7291666666666</v>
      </c>
    </row>
    <row r="1631" spans="1:22" x14ac:dyDescent="0.3">
      <c r="A1631" s="2" t="s">
        <v>15</v>
      </c>
      <c r="B1631">
        <v>560026</v>
      </c>
      <c r="C1631" s="4">
        <v>45182</v>
      </c>
      <c r="D1631">
        <v>13.3229166666666</v>
      </c>
      <c r="E1631">
        <v>42.5555555555555</v>
      </c>
      <c r="F1631">
        <v>8.35520833333333</v>
      </c>
      <c r="G1631">
        <v>2.0968749999999998</v>
      </c>
      <c r="H1631">
        <v>4.7062499999999998</v>
      </c>
      <c r="I1631">
        <v>0.52309027777777695</v>
      </c>
      <c r="J1631">
        <v>11.779166666666599</v>
      </c>
      <c r="K1631">
        <f t="shared" si="260"/>
        <v>22.204861111111004</v>
      </c>
      <c r="L1631">
        <f t="shared" si="261"/>
        <v>42.5555555555555</v>
      </c>
      <c r="M1631">
        <f t="shared" si="262"/>
        <v>10.444010416666663</v>
      </c>
      <c r="N1631">
        <f t="shared" si="263"/>
        <v>0.52421874999999996</v>
      </c>
      <c r="O1631">
        <f t="shared" si="264"/>
        <v>5.8828125</v>
      </c>
      <c r="P1631">
        <f t="shared" si="265"/>
        <v>5.9442077020201927</v>
      </c>
      <c r="Q1631">
        <f t="shared" si="266"/>
        <v>10.906635802469074</v>
      </c>
      <c r="R1631">
        <f t="shared" si="267"/>
        <v>42.5555555555555</v>
      </c>
      <c r="S1631" t="str">
        <f t="shared" si="268"/>
        <v>Good</v>
      </c>
      <c r="T1631" t="str">
        <f t="shared" si="269"/>
        <v>PM10</v>
      </c>
      <c r="U1631">
        <v>24.233680555555502</v>
      </c>
      <c r="V1631">
        <v>80.5416666666666</v>
      </c>
    </row>
    <row r="1632" spans="1:22" x14ac:dyDescent="0.3">
      <c r="A1632" s="2" t="s">
        <v>15</v>
      </c>
      <c r="B1632">
        <v>560026</v>
      </c>
      <c r="C1632" s="4">
        <v>45183</v>
      </c>
      <c r="D1632">
        <v>9.3298611111111107</v>
      </c>
      <c r="E1632">
        <v>35.1736111111111</v>
      </c>
      <c r="F1632">
        <v>8.6458333333333304</v>
      </c>
      <c r="G1632">
        <v>2.0458333333333298</v>
      </c>
      <c r="H1632">
        <v>4.7215277777777702</v>
      </c>
      <c r="I1632">
        <v>0.43701388888888798</v>
      </c>
      <c r="J1632">
        <v>11.7</v>
      </c>
      <c r="K1632">
        <f t="shared" si="260"/>
        <v>15.549768518518517</v>
      </c>
      <c r="L1632">
        <f t="shared" si="261"/>
        <v>35.1736111111111</v>
      </c>
      <c r="M1632">
        <f t="shared" si="262"/>
        <v>10.807291666666663</v>
      </c>
      <c r="N1632">
        <f t="shared" si="263"/>
        <v>0.51145833333333246</v>
      </c>
      <c r="O1632">
        <f t="shared" si="264"/>
        <v>5.9019097222222126</v>
      </c>
      <c r="P1632">
        <f t="shared" si="265"/>
        <v>4.9660669191919089</v>
      </c>
      <c r="Q1632">
        <f t="shared" si="266"/>
        <v>10.833333333333332</v>
      </c>
      <c r="R1632">
        <f t="shared" si="267"/>
        <v>35.1736111111111</v>
      </c>
      <c r="S1632" t="str">
        <f t="shared" si="268"/>
        <v>Good</v>
      </c>
      <c r="T1632" t="str">
        <f t="shared" si="269"/>
        <v>PM10</v>
      </c>
      <c r="U1632">
        <v>23.482291666666601</v>
      </c>
      <c r="V1632">
        <v>59.4791666666666</v>
      </c>
    </row>
    <row r="1633" spans="1:22" x14ac:dyDescent="0.3">
      <c r="A1633" s="2" t="s">
        <v>15</v>
      </c>
      <c r="B1633">
        <v>560026</v>
      </c>
      <c r="C1633" s="4">
        <v>45184</v>
      </c>
      <c r="D1633">
        <v>14.9722222222222</v>
      </c>
      <c r="E1633">
        <v>39.6215277777777</v>
      </c>
      <c r="F1633">
        <v>8.515625</v>
      </c>
      <c r="G1633">
        <v>2.1083333333333298</v>
      </c>
      <c r="H1633">
        <v>4.7072916666666602</v>
      </c>
      <c r="I1633">
        <v>0.50128472222222198</v>
      </c>
      <c r="J1633">
        <v>11.669791666666599</v>
      </c>
      <c r="K1633">
        <f t="shared" si="260"/>
        <v>24.953703703703663</v>
      </c>
      <c r="L1633">
        <f t="shared" si="261"/>
        <v>39.6215277777777</v>
      </c>
      <c r="M1633">
        <f t="shared" si="262"/>
        <v>10.64453125</v>
      </c>
      <c r="N1633">
        <f t="shared" si="263"/>
        <v>0.52708333333333246</v>
      </c>
      <c r="O1633">
        <f t="shared" si="264"/>
        <v>5.884114583333325</v>
      </c>
      <c r="P1633">
        <f t="shared" si="265"/>
        <v>5.6964172979797949</v>
      </c>
      <c r="Q1633">
        <f t="shared" si="266"/>
        <v>10.805362654320925</v>
      </c>
      <c r="R1633">
        <f t="shared" si="267"/>
        <v>39.6215277777777</v>
      </c>
      <c r="S1633" t="str">
        <f t="shared" si="268"/>
        <v>Good</v>
      </c>
      <c r="T1633" t="str">
        <f t="shared" si="269"/>
        <v>PM10</v>
      </c>
      <c r="U1633">
        <v>23.580902777777698</v>
      </c>
      <c r="V1633">
        <v>67.4375</v>
      </c>
    </row>
    <row r="1634" spans="1:22" x14ac:dyDescent="0.3">
      <c r="A1634" s="2" t="s">
        <v>15</v>
      </c>
      <c r="B1634">
        <v>560026</v>
      </c>
      <c r="C1634" s="4">
        <v>45185</v>
      </c>
      <c r="D1634">
        <v>7.0486111111111098</v>
      </c>
      <c r="E1634">
        <v>25.0833333333333</v>
      </c>
      <c r="F1634">
        <v>8.5489583333333297</v>
      </c>
      <c r="G1634">
        <v>2.12083333333333</v>
      </c>
      <c r="H1634">
        <v>4.5510416666666602</v>
      </c>
      <c r="I1634">
        <v>0.443194444444444</v>
      </c>
      <c r="J1634">
        <v>11.7614583333333</v>
      </c>
      <c r="K1634">
        <f t="shared" si="260"/>
        <v>11.747685185185183</v>
      </c>
      <c r="L1634">
        <f t="shared" si="261"/>
        <v>25.0833333333333</v>
      </c>
      <c r="M1634">
        <f t="shared" si="262"/>
        <v>10.686197916666661</v>
      </c>
      <c r="N1634">
        <f t="shared" si="263"/>
        <v>0.5302083333333325</v>
      </c>
      <c r="O1634">
        <f t="shared" si="264"/>
        <v>5.688802083333325</v>
      </c>
      <c r="P1634">
        <f t="shared" si="265"/>
        <v>5.0363005050504999</v>
      </c>
      <c r="Q1634">
        <f t="shared" si="266"/>
        <v>10.890239197530834</v>
      </c>
      <c r="R1634">
        <f t="shared" si="267"/>
        <v>25.0833333333333</v>
      </c>
      <c r="S1634" t="str">
        <f t="shared" si="268"/>
        <v>Good</v>
      </c>
      <c r="T1634" t="str">
        <f t="shared" si="269"/>
        <v>PM10</v>
      </c>
      <c r="U1634">
        <v>24.2864583333333</v>
      </c>
      <c r="V1634">
        <v>85.3020833333333</v>
      </c>
    </row>
    <row r="1635" spans="1:22" x14ac:dyDescent="0.3">
      <c r="A1635" s="2" t="s">
        <v>15</v>
      </c>
      <c r="B1635">
        <v>560026</v>
      </c>
      <c r="C1635" s="4">
        <v>45186</v>
      </c>
      <c r="D1635">
        <v>15.5833333333333</v>
      </c>
      <c r="E1635">
        <v>38.34375</v>
      </c>
      <c r="F1635">
        <v>8.5031249999999901</v>
      </c>
      <c r="G1635">
        <v>2.1072916666666601</v>
      </c>
      <c r="H1635">
        <v>5.43194444444444</v>
      </c>
      <c r="I1635">
        <v>0.54163194444444396</v>
      </c>
      <c r="J1635">
        <v>11.731249999999999</v>
      </c>
      <c r="K1635">
        <f t="shared" si="260"/>
        <v>25.972222222222168</v>
      </c>
      <c r="L1635">
        <f t="shared" si="261"/>
        <v>38.34375</v>
      </c>
      <c r="M1635">
        <f t="shared" si="262"/>
        <v>10.628906249999988</v>
      </c>
      <c r="N1635">
        <f t="shared" si="263"/>
        <v>0.52682291666666503</v>
      </c>
      <c r="O1635">
        <f t="shared" si="264"/>
        <v>6.78993055555555</v>
      </c>
      <c r="P1635">
        <f t="shared" si="265"/>
        <v>6.154908459595954</v>
      </c>
      <c r="Q1635">
        <f t="shared" si="266"/>
        <v>10.862268518518517</v>
      </c>
      <c r="R1635">
        <f t="shared" si="267"/>
        <v>38.34375</v>
      </c>
      <c r="S1635" t="str">
        <f t="shared" si="268"/>
        <v>Good</v>
      </c>
      <c r="T1635" t="str">
        <f t="shared" si="269"/>
        <v>PM10</v>
      </c>
      <c r="U1635">
        <v>24.6774305555555</v>
      </c>
      <c r="V1635">
        <v>88.5</v>
      </c>
    </row>
    <row r="1636" spans="1:22" x14ac:dyDescent="0.3">
      <c r="A1636" s="2" t="s">
        <v>15</v>
      </c>
      <c r="B1636">
        <v>560026</v>
      </c>
      <c r="C1636" s="4">
        <v>45187</v>
      </c>
      <c r="D1636">
        <v>9.5486111111111107</v>
      </c>
      <c r="E1636">
        <v>30.2395833333333</v>
      </c>
      <c r="F1636">
        <v>8.5281249999999993</v>
      </c>
      <c r="G1636">
        <v>2.0833333333333299</v>
      </c>
      <c r="H1636">
        <v>4.5788194444444397</v>
      </c>
      <c r="I1636">
        <v>0.43440972222222202</v>
      </c>
      <c r="J1636">
        <v>11.758333333333301</v>
      </c>
      <c r="K1636">
        <f t="shared" si="260"/>
        <v>15.914351851851851</v>
      </c>
      <c r="L1636">
        <f t="shared" si="261"/>
        <v>30.2395833333333</v>
      </c>
      <c r="M1636">
        <f t="shared" si="262"/>
        <v>10.660156249999998</v>
      </c>
      <c r="N1636">
        <f t="shared" si="263"/>
        <v>0.52083333333333248</v>
      </c>
      <c r="O1636">
        <f t="shared" si="264"/>
        <v>5.7235243055555491</v>
      </c>
      <c r="P1636">
        <f t="shared" si="265"/>
        <v>4.9364741161616132</v>
      </c>
      <c r="Q1636">
        <f t="shared" si="266"/>
        <v>10.887345679012316</v>
      </c>
      <c r="R1636">
        <f t="shared" si="267"/>
        <v>30.2395833333333</v>
      </c>
      <c r="S1636" t="str">
        <f t="shared" si="268"/>
        <v>Good</v>
      </c>
      <c r="T1636" t="str">
        <f t="shared" si="269"/>
        <v>PM10</v>
      </c>
      <c r="U1636">
        <v>23.988888888888798</v>
      </c>
      <c r="V1636">
        <v>69.120370370370296</v>
      </c>
    </row>
    <row r="1637" spans="1:22" x14ac:dyDescent="0.3">
      <c r="A1637" s="2" t="s">
        <v>15</v>
      </c>
      <c r="B1637">
        <v>560026</v>
      </c>
      <c r="C1637" s="4">
        <v>45188</v>
      </c>
      <c r="D1637">
        <v>8.9513888888888893</v>
      </c>
      <c r="E1637">
        <v>42.2743055555555</v>
      </c>
      <c r="F1637">
        <v>8.375</v>
      </c>
      <c r="G1637">
        <v>2.1083333333333298</v>
      </c>
      <c r="H1637">
        <v>4.98298611111111</v>
      </c>
      <c r="I1637">
        <v>0.54951388888888897</v>
      </c>
      <c r="J1637">
        <v>11.678125</v>
      </c>
      <c r="K1637">
        <f t="shared" si="260"/>
        <v>14.918981481481483</v>
      </c>
      <c r="L1637">
        <f t="shared" si="261"/>
        <v>42.2743055555555</v>
      </c>
      <c r="M1637">
        <f t="shared" si="262"/>
        <v>10.46875</v>
      </c>
      <c r="N1637">
        <f t="shared" si="263"/>
        <v>0.52708333333333246</v>
      </c>
      <c r="O1637">
        <f t="shared" si="264"/>
        <v>6.2287326388888875</v>
      </c>
      <c r="P1637">
        <f t="shared" si="265"/>
        <v>6.2444760101010104</v>
      </c>
      <c r="Q1637">
        <f t="shared" si="266"/>
        <v>10.813078703703704</v>
      </c>
      <c r="R1637">
        <f t="shared" si="267"/>
        <v>42.2743055555555</v>
      </c>
      <c r="S1637" t="str">
        <f t="shared" si="268"/>
        <v>Good</v>
      </c>
      <c r="T1637" t="str">
        <f t="shared" si="269"/>
        <v>PM10</v>
      </c>
      <c r="U1637">
        <v>25.2104166666666</v>
      </c>
      <c r="V1637">
        <v>82.21875</v>
      </c>
    </row>
    <row r="1638" spans="1:22" x14ac:dyDescent="0.3">
      <c r="A1638" s="2" t="s">
        <v>15</v>
      </c>
      <c r="B1638">
        <v>560026</v>
      </c>
      <c r="C1638" s="4">
        <v>45189</v>
      </c>
      <c r="D1638">
        <v>10.9652777777777</v>
      </c>
      <c r="E1638">
        <v>40.7013888888888</v>
      </c>
      <c r="F1638">
        <v>8.6072916666666597</v>
      </c>
      <c r="G1638">
        <v>2.1135416666666602</v>
      </c>
      <c r="H1638">
        <v>4.7496527777777704</v>
      </c>
      <c r="I1638">
        <v>0.64239583333333306</v>
      </c>
      <c r="J1638">
        <v>11.8041666666666</v>
      </c>
      <c r="K1638">
        <f t="shared" si="260"/>
        <v>18.275462962962834</v>
      </c>
      <c r="L1638">
        <f t="shared" si="261"/>
        <v>40.7013888888888</v>
      </c>
      <c r="M1638">
        <f t="shared" si="262"/>
        <v>10.759114583333325</v>
      </c>
      <c r="N1638">
        <f t="shared" si="263"/>
        <v>0.52838541666666505</v>
      </c>
      <c r="O1638">
        <f t="shared" si="264"/>
        <v>5.9370659722222126</v>
      </c>
      <c r="P1638">
        <f t="shared" si="265"/>
        <v>7.2999526515151478</v>
      </c>
      <c r="Q1638">
        <f t="shared" si="266"/>
        <v>10.929783950617223</v>
      </c>
      <c r="R1638">
        <f t="shared" si="267"/>
        <v>40.7013888888888</v>
      </c>
      <c r="S1638" t="str">
        <f t="shared" si="268"/>
        <v>Good</v>
      </c>
      <c r="T1638" t="str">
        <f t="shared" si="269"/>
        <v>PM10</v>
      </c>
      <c r="U1638">
        <v>24.517013888888801</v>
      </c>
      <c r="V1638">
        <v>48.615384615384599</v>
      </c>
    </row>
    <row r="1639" spans="1:22" x14ac:dyDescent="0.3">
      <c r="A1639" s="2" t="s">
        <v>15</v>
      </c>
      <c r="B1639">
        <v>560026</v>
      </c>
      <c r="C1639" s="4">
        <v>45190</v>
      </c>
      <c r="D1639">
        <v>16.3680555555555</v>
      </c>
      <c r="E1639">
        <v>51.3125</v>
      </c>
      <c r="F1639">
        <v>8.4437499999999996</v>
      </c>
      <c r="G1639">
        <v>2.13229166666666</v>
      </c>
      <c r="H1639">
        <v>4.42777777777777</v>
      </c>
      <c r="I1639">
        <v>0.59614583333333304</v>
      </c>
      <c r="J1639">
        <v>11.720833333333299</v>
      </c>
      <c r="K1639">
        <f t="shared" si="260"/>
        <v>27.280092592592499</v>
      </c>
      <c r="L1639">
        <f t="shared" si="261"/>
        <v>51.3125</v>
      </c>
      <c r="M1639">
        <f t="shared" si="262"/>
        <v>10.5546875</v>
      </c>
      <c r="N1639">
        <f t="shared" si="263"/>
        <v>0.53307291666666501</v>
      </c>
      <c r="O1639">
        <f t="shared" si="264"/>
        <v>5.5347222222222126</v>
      </c>
      <c r="P1639">
        <f t="shared" si="265"/>
        <v>6.7743844696969662</v>
      </c>
      <c r="Q1639">
        <f t="shared" si="266"/>
        <v>10.852623456790091</v>
      </c>
      <c r="R1639">
        <f t="shared" si="267"/>
        <v>51.3125</v>
      </c>
      <c r="S1639" t="str">
        <f t="shared" si="268"/>
        <v>Satisfactory</v>
      </c>
      <c r="T1639" t="str">
        <f t="shared" si="269"/>
        <v>PM10</v>
      </c>
      <c r="U1639">
        <v>24.434722222222199</v>
      </c>
      <c r="V1639">
        <v>63.6979166666666</v>
      </c>
    </row>
    <row r="1640" spans="1:22" x14ac:dyDescent="0.3">
      <c r="A1640" s="2" t="s">
        <v>15</v>
      </c>
      <c r="B1640">
        <v>560026</v>
      </c>
      <c r="C1640" s="4">
        <v>45191</v>
      </c>
      <c r="D1640">
        <v>15.0416666666666</v>
      </c>
      <c r="E1640">
        <v>51.3472222222222</v>
      </c>
      <c r="F1640">
        <v>8.4041666666666597</v>
      </c>
      <c r="G1640">
        <v>2.0916666666666601</v>
      </c>
      <c r="H1640">
        <v>4.3347222222222204</v>
      </c>
      <c r="I1640">
        <v>0.54173611111111097</v>
      </c>
      <c r="J1640">
        <v>11.512499999999999</v>
      </c>
      <c r="K1640">
        <f t="shared" si="260"/>
        <v>25.069444444444336</v>
      </c>
      <c r="L1640">
        <f t="shared" si="261"/>
        <v>51.3472222222222</v>
      </c>
      <c r="M1640">
        <f t="shared" si="262"/>
        <v>10.505208333333325</v>
      </c>
      <c r="N1640">
        <f t="shared" si="263"/>
        <v>0.52291666666666503</v>
      </c>
      <c r="O1640">
        <f t="shared" si="264"/>
        <v>5.4184027777777759</v>
      </c>
      <c r="P1640">
        <f t="shared" si="265"/>
        <v>6.1560921717171704</v>
      </c>
      <c r="Q1640">
        <f t="shared" si="266"/>
        <v>10.659722222222221</v>
      </c>
      <c r="R1640">
        <f t="shared" si="267"/>
        <v>51.3472222222222</v>
      </c>
      <c r="S1640" t="str">
        <f t="shared" si="268"/>
        <v>Satisfactory</v>
      </c>
      <c r="T1640" t="str">
        <f t="shared" si="269"/>
        <v>PM10</v>
      </c>
      <c r="U1640">
        <v>22.813194444444399</v>
      </c>
      <c r="V1640">
        <v>62.7083333333333</v>
      </c>
    </row>
    <row r="1641" spans="1:22" x14ac:dyDescent="0.3">
      <c r="A1641" s="2" t="s">
        <v>15</v>
      </c>
      <c r="B1641">
        <v>560026</v>
      </c>
      <c r="C1641" s="4">
        <v>45192</v>
      </c>
      <c r="D1641">
        <v>14.099287459999999</v>
      </c>
      <c r="E1641">
        <v>44.368212210000003</v>
      </c>
      <c r="F1641">
        <v>8.5132283480000002</v>
      </c>
      <c r="G1641">
        <v>2.0971123270000001</v>
      </c>
      <c r="H1641">
        <v>4.8538100919999998</v>
      </c>
      <c r="I1641">
        <v>0.52300597900000001</v>
      </c>
      <c r="J1641">
        <v>11.6932695</v>
      </c>
      <c r="K1641">
        <f t="shared" si="260"/>
        <v>23.498812433333335</v>
      </c>
      <c r="L1641">
        <f t="shared" si="261"/>
        <v>44.368212210000003</v>
      </c>
      <c r="M1641">
        <f t="shared" si="262"/>
        <v>10.641535435</v>
      </c>
      <c r="N1641">
        <f t="shared" si="263"/>
        <v>0.52427808175000001</v>
      </c>
      <c r="O1641">
        <f t="shared" si="264"/>
        <v>6.0672626149999997</v>
      </c>
      <c r="P1641">
        <f t="shared" si="265"/>
        <v>5.9432497613636359</v>
      </c>
      <c r="Q1641">
        <f t="shared" si="266"/>
        <v>10.827101388888888</v>
      </c>
      <c r="R1641">
        <f t="shared" si="267"/>
        <v>44.368212210000003</v>
      </c>
      <c r="S1641" t="str">
        <f t="shared" si="268"/>
        <v>Good</v>
      </c>
      <c r="T1641" t="str">
        <f t="shared" si="269"/>
        <v>PM10</v>
      </c>
      <c r="U1641">
        <v>24.193437849999999</v>
      </c>
      <c r="V1641">
        <v>69.397339970000004</v>
      </c>
    </row>
    <row r="1642" spans="1:22" x14ac:dyDescent="0.3">
      <c r="A1642" s="2" t="s">
        <v>15</v>
      </c>
      <c r="B1642">
        <v>560026</v>
      </c>
      <c r="C1642" s="4">
        <v>45193</v>
      </c>
      <c r="D1642">
        <v>14.099287459999999</v>
      </c>
      <c r="E1642">
        <v>44.368212210000003</v>
      </c>
      <c r="F1642">
        <v>8.5132283480000002</v>
      </c>
      <c r="G1642">
        <v>2.0971123270000001</v>
      </c>
      <c r="H1642">
        <v>4.8538100919999998</v>
      </c>
      <c r="I1642">
        <v>0.52300597900000001</v>
      </c>
      <c r="J1642">
        <v>11.6932695</v>
      </c>
      <c r="K1642">
        <f t="shared" si="260"/>
        <v>23.498812433333335</v>
      </c>
      <c r="L1642">
        <f t="shared" si="261"/>
        <v>44.368212210000003</v>
      </c>
      <c r="M1642">
        <f t="shared" si="262"/>
        <v>10.641535435</v>
      </c>
      <c r="N1642">
        <f t="shared" si="263"/>
        <v>0.52427808175000001</v>
      </c>
      <c r="O1642">
        <f t="shared" si="264"/>
        <v>6.0672626149999997</v>
      </c>
      <c r="P1642">
        <f t="shared" si="265"/>
        <v>5.9432497613636359</v>
      </c>
      <c r="Q1642">
        <f t="shared" si="266"/>
        <v>10.827101388888888</v>
      </c>
      <c r="R1642">
        <f t="shared" si="267"/>
        <v>44.368212210000003</v>
      </c>
      <c r="S1642" t="str">
        <f t="shared" si="268"/>
        <v>Good</v>
      </c>
      <c r="T1642" t="str">
        <f t="shared" si="269"/>
        <v>PM10</v>
      </c>
      <c r="U1642">
        <v>24.193437849999999</v>
      </c>
      <c r="V1642">
        <v>69.397339970000004</v>
      </c>
    </row>
    <row r="1643" spans="1:22" x14ac:dyDescent="0.3">
      <c r="A1643" s="2" t="s">
        <v>15</v>
      </c>
      <c r="B1643">
        <v>560026</v>
      </c>
      <c r="C1643" s="4">
        <v>45194</v>
      </c>
      <c r="D1643">
        <v>14.099287459999999</v>
      </c>
      <c r="E1643">
        <v>44.368212210000003</v>
      </c>
      <c r="F1643">
        <v>8.5132283480000002</v>
      </c>
      <c r="G1643">
        <v>2.0971123270000001</v>
      </c>
      <c r="H1643">
        <v>4.8538100919999998</v>
      </c>
      <c r="I1643">
        <v>0.52300597900000001</v>
      </c>
      <c r="J1643">
        <v>11.6932695</v>
      </c>
      <c r="K1643">
        <f t="shared" si="260"/>
        <v>23.498812433333335</v>
      </c>
      <c r="L1643">
        <f t="shared" si="261"/>
        <v>44.368212210000003</v>
      </c>
      <c r="M1643">
        <f t="shared" si="262"/>
        <v>10.641535435</v>
      </c>
      <c r="N1643">
        <f t="shared" si="263"/>
        <v>0.52427808175000001</v>
      </c>
      <c r="O1643">
        <f t="shared" si="264"/>
        <v>6.0672626149999997</v>
      </c>
      <c r="P1643">
        <f t="shared" si="265"/>
        <v>5.9432497613636359</v>
      </c>
      <c r="Q1643">
        <f t="shared" si="266"/>
        <v>10.827101388888888</v>
      </c>
      <c r="R1643">
        <f t="shared" si="267"/>
        <v>44.368212210000003</v>
      </c>
      <c r="S1643" t="str">
        <f t="shared" si="268"/>
        <v>Good</v>
      </c>
      <c r="T1643" t="str">
        <f t="shared" si="269"/>
        <v>PM10</v>
      </c>
      <c r="U1643">
        <v>24.193437849999999</v>
      </c>
      <c r="V1643">
        <v>69.397339970000004</v>
      </c>
    </row>
    <row r="1644" spans="1:22" x14ac:dyDescent="0.3">
      <c r="A1644" s="2" t="s">
        <v>15</v>
      </c>
      <c r="B1644">
        <v>560026</v>
      </c>
      <c r="C1644" s="4">
        <v>45195</v>
      </c>
      <c r="D1644">
        <v>13.25</v>
      </c>
      <c r="E1644">
        <v>35.909090909090899</v>
      </c>
      <c r="F1644">
        <v>8.4568181818181802</v>
      </c>
      <c r="G1644">
        <v>2.1477272727272698</v>
      </c>
      <c r="H1644">
        <v>4.2636363636363601</v>
      </c>
      <c r="I1644">
        <v>0.48106060606060602</v>
      </c>
      <c r="J1644">
        <v>11.381818181818099</v>
      </c>
      <c r="K1644">
        <f t="shared" si="260"/>
        <v>22.083333333333332</v>
      </c>
      <c r="L1644">
        <f t="shared" si="261"/>
        <v>35.909090909090899</v>
      </c>
      <c r="M1644">
        <f t="shared" si="262"/>
        <v>10.571022727272725</v>
      </c>
      <c r="N1644">
        <f t="shared" si="263"/>
        <v>0.53693181818181746</v>
      </c>
      <c r="O1644">
        <f t="shared" si="264"/>
        <v>5.3295454545454506</v>
      </c>
      <c r="P1644">
        <f t="shared" si="265"/>
        <v>5.4665977961432501</v>
      </c>
      <c r="Q1644">
        <f t="shared" si="266"/>
        <v>10.538720538720462</v>
      </c>
      <c r="R1644">
        <f t="shared" si="267"/>
        <v>35.909090909090899</v>
      </c>
      <c r="S1644" t="str">
        <f t="shared" si="268"/>
        <v>Good</v>
      </c>
      <c r="T1644" t="str">
        <f t="shared" si="269"/>
        <v>PM10</v>
      </c>
      <c r="U1644">
        <v>26.7030303030303</v>
      </c>
      <c r="V1644">
        <v>63.704545454545404</v>
      </c>
    </row>
    <row r="1645" spans="1:22" x14ac:dyDescent="0.3">
      <c r="A1645" s="2" t="s">
        <v>15</v>
      </c>
      <c r="B1645">
        <v>560026</v>
      </c>
      <c r="C1645" s="4">
        <v>45196</v>
      </c>
      <c r="D1645">
        <v>15.9027777777777</v>
      </c>
      <c r="E1645">
        <v>48.7534722222222</v>
      </c>
      <c r="F1645">
        <v>8.4468750000000004</v>
      </c>
      <c r="G1645">
        <v>2.1197916666666599</v>
      </c>
      <c r="H1645">
        <v>4.99444444444444</v>
      </c>
      <c r="I1645">
        <v>0.55315972222222198</v>
      </c>
      <c r="J1645">
        <v>11.7395833333333</v>
      </c>
      <c r="K1645">
        <f t="shared" si="260"/>
        <v>26.504629629629502</v>
      </c>
      <c r="L1645">
        <f t="shared" si="261"/>
        <v>48.7534722222222</v>
      </c>
      <c r="M1645">
        <f t="shared" si="262"/>
        <v>10.55859375</v>
      </c>
      <c r="N1645">
        <f t="shared" si="263"/>
        <v>0.52994791666666496</v>
      </c>
      <c r="O1645">
        <f t="shared" si="264"/>
        <v>6.24305555555555</v>
      </c>
      <c r="P1645">
        <f t="shared" si="265"/>
        <v>6.2859059343434316</v>
      </c>
      <c r="Q1645">
        <f t="shared" si="266"/>
        <v>10.869984567901204</v>
      </c>
      <c r="R1645">
        <f t="shared" si="267"/>
        <v>48.7534722222222</v>
      </c>
      <c r="S1645" t="str">
        <f t="shared" si="268"/>
        <v>Good</v>
      </c>
      <c r="T1645" t="str">
        <f t="shared" si="269"/>
        <v>PM10</v>
      </c>
      <c r="U1645">
        <v>24.396527777777699</v>
      </c>
      <c r="V1645">
        <v>64.5</v>
      </c>
    </row>
    <row r="1646" spans="1:22" x14ac:dyDescent="0.3">
      <c r="A1646" s="2" t="s">
        <v>15</v>
      </c>
      <c r="B1646">
        <v>560026</v>
      </c>
      <c r="C1646" s="4">
        <v>45197</v>
      </c>
      <c r="D1646">
        <v>14.891304347826001</v>
      </c>
      <c r="E1646">
        <v>41.8715277777777</v>
      </c>
      <c r="F1646">
        <v>8.6614583333333304</v>
      </c>
      <c r="G1646">
        <v>2.08541666666666</v>
      </c>
      <c r="H1646">
        <v>4.91493055555555</v>
      </c>
      <c r="I1646">
        <v>0.46215277777777702</v>
      </c>
      <c r="J1646">
        <v>11.565624999999899</v>
      </c>
      <c r="K1646">
        <f t="shared" si="260"/>
        <v>24.818840579710002</v>
      </c>
      <c r="L1646">
        <f t="shared" si="261"/>
        <v>41.8715277777777</v>
      </c>
      <c r="M1646">
        <f t="shared" si="262"/>
        <v>10.826822916666663</v>
      </c>
      <c r="N1646">
        <f t="shared" si="263"/>
        <v>0.52135416666666501</v>
      </c>
      <c r="O1646">
        <f t="shared" si="264"/>
        <v>6.1436631944444375</v>
      </c>
      <c r="P1646">
        <f t="shared" si="265"/>
        <v>5.2517361111111027</v>
      </c>
      <c r="Q1646">
        <f t="shared" si="266"/>
        <v>10.708912037036944</v>
      </c>
      <c r="R1646">
        <f t="shared" si="267"/>
        <v>41.8715277777777</v>
      </c>
      <c r="S1646" t="str">
        <f t="shared" si="268"/>
        <v>Good</v>
      </c>
      <c r="T1646" t="str">
        <f t="shared" si="269"/>
        <v>PM10</v>
      </c>
      <c r="U1646">
        <v>22.903819444444402</v>
      </c>
      <c r="V1646">
        <v>63.8541666666666</v>
      </c>
    </row>
    <row r="1647" spans="1:22" x14ac:dyDescent="0.3">
      <c r="A1647" s="2" t="s">
        <v>15</v>
      </c>
      <c r="B1647">
        <v>560026</v>
      </c>
      <c r="C1647" s="4">
        <v>45198</v>
      </c>
      <c r="D1647">
        <v>14.7326388888888</v>
      </c>
      <c r="E1647">
        <v>38.6944444444444</v>
      </c>
      <c r="F1647">
        <v>8.6374999999999993</v>
      </c>
      <c r="G1647">
        <v>2.0499999999999998</v>
      </c>
      <c r="H1647">
        <v>4.859375</v>
      </c>
      <c r="I1647">
        <v>0.33079861111111097</v>
      </c>
      <c r="J1647">
        <v>11.466666666666599</v>
      </c>
      <c r="K1647">
        <f t="shared" si="260"/>
        <v>24.554398148148</v>
      </c>
      <c r="L1647">
        <f t="shared" si="261"/>
        <v>38.6944444444444</v>
      </c>
      <c r="M1647">
        <f t="shared" si="262"/>
        <v>10.796874999999998</v>
      </c>
      <c r="N1647">
        <f t="shared" si="263"/>
        <v>0.51249999999999996</v>
      </c>
      <c r="O1647">
        <f t="shared" si="264"/>
        <v>6.07421875</v>
      </c>
      <c r="P1647">
        <f t="shared" si="265"/>
        <v>3.7590751262626245</v>
      </c>
      <c r="Q1647">
        <f t="shared" si="266"/>
        <v>10.617283950617221</v>
      </c>
      <c r="R1647">
        <f t="shared" si="267"/>
        <v>38.6944444444444</v>
      </c>
      <c r="S1647" t="str">
        <f t="shared" si="268"/>
        <v>Good</v>
      </c>
      <c r="T1647" t="str">
        <f t="shared" si="269"/>
        <v>PM10</v>
      </c>
      <c r="U1647">
        <v>23.353124999999999</v>
      </c>
      <c r="V1647">
        <v>64.9895833333333</v>
      </c>
    </row>
    <row r="1648" spans="1:22" x14ac:dyDescent="0.3">
      <c r="A1648" s="2" t="s">
        <v>15</v>
      </c>
      <c r="B1648">
        <v>560026</v>
      </c>
      <c r="C1648" s="4">
        <v>45199</v>
      </c>
      <c r="D1648">
        <v>14.4548611111111</v>
      </c>
      <c r="E1648">
        <v>36.0173611111111</v>
      </c>
      <c r="F1648">
        <v>8.34097222222222</v>
      </c>
      <c r="G1648">
        <v>2.1305555555555502</v>
      </c>
      <c r="H1648">
        <v>5.03993055555555</v>
      </c>
      <c r="I1648">
        <v>0.47343749999999901</v>
      </c>
      <c r="J1648">
        <v>11.326041666666599</v>
      </c>
      <c r="K1648">
        <f t="shared" si="260"/>
        <v>24.091435185185166</v>
      </c>
      <c r="L1648">
        <f t="shared" si="261"/>
        <v>36.0173611111111</v>
      </c>
      <c r="M1648">
        <f t="shared" si="262"/>
        <v>10.426215277777775</v>
      </c>
      <c r="N1648">
        <f t="shared" si="263"/>
        <v>0.53263888888888755</v>
      </c>
      <c r="O1648">
        <f t="shared" si="264"/>
        <v>6.2999131944444375</v>
      </c>
      <c r="P1648">
        <f t="shared" si="265"/>
        <v>5.3799715909090793</v>
      </c>
      <c r="Q1648">
        <f t="shared" si="266"/>
        <v>10.487075617283889</v>
      </c>
      <c r="R1648">
        <f t="shared" si="267"/>
        <v>36.0173611111111</v>
      </c>
      <c r="S1648" t="str">
        <f t="shared" si="268"/>
        <v>Good</v>
      </c>
      <c r="T1648" t="str">
        <f t="shared" si="269"/>
        <v>PM10</v>
      </c>
      <c r="U1648">
        <v>23.376041666666602</v>
      </c>
      <c r="V1648">
        <v>65.9895833333333</v>
      </c>
    </row>
    <row r="1649" spans="1:22" x14ac:dyDescent="0.3">
      <c r="A1649" s="2" t="s">
        <v>15</v>
      </c>
      <c r="B1649">
        <v>560026</v>
      </c>
      <c r="C1649" s="4">
        <v>45200</v>
      </c>
      <c r="D1649">
        <v>9.3819444444444393</v>
      </c>
      <c r="E1649">
        <v>25.2673611111111</v>
      </c>
      <c r="F1649">
        <v>8.4197916666666597</v>
      </c>
      <c r="G1649">
        <v>2.140625</v>
      </c>
      <c r="H1649">
        <v>4.9885416666666602</v>
      </c>
      <c r="I1649">
        <v>0.33</v>
      </c>
      <c r="J1649">
        <v>11.6520833333333</v>
      </c>
      <c r="K1649">
        <f t="shared" si="260"/>
        <v>15.636574074074066</v>
      </c>
      <c r="L1649">
        <f t="shared" si="261"/>
        <v>25.2673611111111</v>
      </c>
      <c r="M1649">
        <f t="shared" si="262"/>
        <v>10.524739583333325</v>
      </c>
      <c r="N1649">
        <f t="shared" si="263"/>
        <v>0.53515625</v>
      </c>
      <c r="O1649">
        <f t="shared" si="264"/>
        <v>6.235677083333325</v>
      </c>
      <c r="P1649">
        <f t="shared" si="265"/>
        <v>3.75</v>
      </c>
      <c r="Q1649">
        <f t="shared" si="266"/>
        <v>10.788966049382685</v>
      </c>
      <c r="R1649">
        <f t="shared" si="267"/>
        <v>25.2673611111111</v>
      </c>
      <c r="S1649" t="str">
        <f t="shared" si="268"/>
        <v>Good</v>
      </c>
      <c r="T1649" t="str">
        <f t="shared" si="269"/>
        <v>PM10</v>
      </c>
      <c r="U1649">
        <v>24.105208333333302</v>
      </c>
      <c r="V1649">
        <v>66.2604166666666</v>
      </c>
    </row>
    <row r="1650" spans="1:22" x14ac:dyDescent="0.3">
      <c r="A1650" s="2" t="s">
        <v>15</v>
      </c>
      <c r="B1650">
        <v>560026</v>
      </c>
      <c r="C1650" s="4">
        <v>45201</v>
      </c>
      <c r="D1650">
        <v>25.0173611111111</v>
      </c>
      <c r="E1650">
        <v>69.9375</v>
      </c>
      <c r="F1650">
        <v>8.5406250000000004</v>
      </c>
      <c r="G1650">
        <v>2.109375</v>
      </c>
      <c r="H1650">
        <v>4.8243055555555499</v>
      </c>
      <c r="I1650">
        <v>0.59767361111111095</v>
      </c>
      <c r="J1650">
        <v>11.5427083333333</v>
      </c>
      <c r="K1650">
        <f t="shared" si="260"/>
        <v>41.695601851851833</v>
      </c>
      <c r="L1650">
        <f t="shared" si="261"/>
        <v>69.9375</v>
      </c>
      <c r="M1650">
        <f t="shared" si="262"/>
        <v>10.67578125</v>
      </c>
      <c r="N1650">
        <f t="shared" si="263"/>
        <v>0.52734375</v>
      </c>
      <c r="O1650">
        <f t="shared" si="264"/>
        <v>6.0303819444444375</v>
      </c>
      <c r="P1650">
        <f t="shared" si="265"/>
        <v>6.7917455808080787</v>
      </c>
      <c r="Q1650">
        <f t="shared" si="266"/>
        <v>10.687692901234536</v>
      </c>
      <c r="R1650">
        <f t="shared" si="267"/>
        <v>69.9375</v>
      </c>
      <c r="S1650" t="str">
        <f t="shared" si="268"/>
        <v>Satisfactory</v>
      </c>
      <c r="T1650" t="str">
        <f t="shared" si="269"/>
        <v>PM10</v>
      </c>
      <c r="U1650">
        <v>24.895138888888798</v>
      </c>
      <c r="V1650">
        <v>69.5208333333333</v>
      </c>
    </row>
    <row r="1651" spans="1:22" x14ac:dyDescent="0.3">
      <c r="A1651" s="2" t="s">
        <v>15</v>
      </c>
      <c r="B1651">
        <v>560026</v>
      </c>
      <c r="C1651" s="4">
        <v>45202</v>
      </c>
      <c r="D1651">
        <v>41.5451388888888</v>
      </c>
      <c r="E1651">
        <v>103.628472222222</v>
      </c>
      <c r="F1651">
        <v>8.4052083333333307</v>
      </c>
      <c r="G1651">
        <v>2.1229166666666601</v>
      </c>
      <c r="H1651">
        <v>4.296875</v>
      </c>
      <c r="I1651">
        <v>0.82326388888888802</v>
      </c>
      <c r="J1651">
        <v>11.6010416666666</v>
      </c>
      <c r="K1651">
        <f t="shared" si="260"/>
        <v>69.241898148147996</v>
      </c>
      <c r="L1651">
        <f t="shared" si="261"/>
        <v>102.41898148148134</v>
      </c>
      <c r="M1651">
        <f t="shared" si="262"/>
        <v>10.506510416666663</v>
      </c>
      <c r="N1651">
        <f t="shared" si="263"/>
        <v>0.53072916666666503</v>
      </c>
      <c r="O1651">
        <f t="shared" si="264"/>
        <v>5.37109375</v>
      </c>
      <c r="P1651">
        <f t="shared" si="265"/>
        <v>9.3552714646464548</v>
      </c>
      <c r="Q1651">
        <f t="shared" si="266"/>
        <v>10.741705246913519</v>
      </c>
      <c r="R1651">
        <f t="shared" si="267"/>
        <v>102.41898148148134</v>
      </c>
      <c r="S1651" t="str">
        <f t="shared" si="268"/>
        <v>Moderate</v>
      </c>
      <c r="T1651" t="str">
        <f t="shared" si="269"/>
        <v>PM10</v>
      </c>
      <c r="U1651">
        <v>25.2434027777777</v>
      </c>
      <c r="V1651">
        <v>76.8125</v>
      </c>
    </row>
    <row r="1652" spans="1:22" x14ac:dyDescent="0.3">
      <c r="A1652" s="2" t="s">
        <v>15</v>
      </c>
      <c r="B1652">
        <v>560026</v>
      </c>
      <c r="C1652" s="4">
        <v>45203</v>
      </c>
      <c r="D1652">
        <v>47.3888888888888</v>
      </c>
      <c r="E1652">
        <v>111.791666666666</v>
      </c>
      <c r="F1652">
        <v>8.2270833333333293</v>
      </c>
      <c r="G1652">
        <v>2.1156250000000001</v>
      </c>
      <c r="H1652">
        <v>4.78576388888888</v>
      </c>
      <c r="I1652">
        <v>0.92444444444444396</v>
      </c>
      <c r="J1652">
        <v>11.628124999999899</v>
      </c>
      <c r="K1652">
        <f t="shared" si="260"/>
        <v>78.981481481481339</v>
      </c>
      <c r="L1652">
        <f t="shared" si="261"/>
        <v>107.86111111111067</v>
      </c>
      <c r="M1652">
        <f t="shared" si="262"/>
        <v>10.283854166666661</v>
      </c>
      <c r="N1652">
        <f t="shared" si="263"/>
        <v>0.52890625000000002</v>
      </c>
      <c r="O1652">
        <f t="shared" si="264"/>
        <v>5.9822048611111001</v>
      </c>
      <c r="P1652">
        <f t="shared" si="265"/>
        <v>10.5050505050505</v>
      </c>
      <c r="Q1652">
        <f t="shared" si="266"/>
        <v>10.766782407407314</v>
      </c>
      <c r="R1652">
        <f t="shared" si="267"/>
        <v>107.86111111111067</v>
      </c>
      <c r="S1652" t="str">
        <f t="shared" si="268"/>
        <v>Moderate</v>
      </c>
      <c r="T1652" t="str">
        <f t="shared" si="269"/>
        <v>PM10</v>
      </c>
      <c r="U1652">
        <v>25.787499999999898</v>
      </c>
      <c r="V1652">
        <v>82.3020833333333</v>
      </c>
    </row>
    <row r="1653" spans="1:22" x14ac:dyDescent="0.3">
      <c r="A1653" s="2" t="s">
        <v>15</v>
      </c>
      <c r="B1653">
        <v>560026</v>
      </c>
      <c r="C1653" s="4">
        <v>45204</v>
      </c>
      <c r="D1653">
        <v>49.1076388888888</v>
      </c>
      <c r="E1653">
        <v>107.770833333333</v>
      </c>
      <c r="F1653">
        <v>8.7197916666666604</v>
      </c>
      <c r="G1653">
        <v>2.05416666666666</v>
      </c>
      <c r="H1653">
        <v>4.20173611111111</v>
      </c>
      <c r="I1653">
        <v>0.9296875</v>
      </c>
      <c r="J1653">
        <v>11.6</v>
      </c>
      <c r="K1653">
        <f t="shared" si="260"/>
        <v>81.846064814814667</v>
      </c>
      <c r="L1653">
        <f t="shared" si="261"/>
        <v>105.18055555555533</v>
      </c>
      <c r="M1653">
        <f t="shared" si="262"/>
        <v>10.899739583333325</v>
      </c>
      <c r="N1653">
        <f t="shared" si="263"/>
        <v>0.51354166666666501</v>
      </c>
      <c r="O1653">
        <f t="shared" si="264"/>
        <v>5.2521701388888875</v>
      </c>
      <c r="P1653">
        <f t="shared" si="265"/>
        <v>10.564630681818182</v>
      </c>
      <c r="Q1653">
        <f t="shared" si="266"/>
        <v>10.74074074074074</v>
      </c>
      <c r="R1653">
        <f t="shared" si="267"/>
        <v>105.18055555555533</v>
      </c>
      <c r="S1653" t="str">
        <f t="shared" si="268"/>
        <v>Moderate</v>
      </c>
      <c r="T1653" t="str">
        <f t="shared" si="269"/>
        <v>PM10</v>
      </c>
      <c r="U1653">
        <v>26.311458333333299</v>
      </c>
      <c r="V1653">
        <v>86.4375</v>
      </c>
    </row>
    <row r="1654" spans="1:22" x14ac:dyDescent="0.3">
      <c r="A1654" s="2" t="s">
        <v>15</v>
      </c>
      <c r="B1654">
        <v>560026</v>
      </c>
      <c r="C1654" s="4">
        <v>45205</v>
      </c>
      <c r="D1654">
        <v>50.1319444444444</v>
      </c>
      <c r="E1654">
        <v>118.9375</v>
      </c>
      <c r="F1654">
        <v>8.4166666666666607</v>
      </c>
      <c r="G1654">
        <v>2.0822916666666602</v>
      </c>
      <c r="H1654">
        <v>4.6517361111111102</v>
      </c>
      <c r="I1654">
        <v>0.97284722222222197</v>
      </c>
      <c r="J1654">
        <v>11.717708333333301</v>
      </c>
      <c r="K1654">
        <f t="shared" si="260"/>
        <v>83.553240740740677</v>
      </c>
      <c r="L1654">
        <f t="shared" si="261"/>
        <v>112.625</v>
      </c>
      <c r="M1654">
        <f t="shared" si="262"/>
        <v>10.520833333333325</v>
      </c>
      <c r="N1654">
        <f t="shared" si="263"/>
        <v>0.52057291666666505</v>
      </c>
      <c r="O1654">
        <f t="shared" si="264"/>
        <v>5.8146701388888875</v>
      </c>
      <c r="P1654">
        <f t="shared" si="265"/>
        <v>11.055082070707067</v>
      </c>
      <c r="Q1654">
        <f t="shared" si="266"/>
        <v>10.849729938271574</v>
      </c>
      <c r="R1654">
        <f t="shared" si="267"/>
        <v>112.625</v>
      </c>
      <c r="S1654" t="str">
        <f t="shared" si="268"/>
        <v>Moderate</v>
      </c>
      <c r="T1654" t="str">
        <f t="shared" si="269"/>
        <v>PM10</v>
      </c>
      <c r="U1654">
        <v>25.935069444444402</v>
      </c>
      <c r="V1654">
        <v>87.5208333333333</v>
      </c>
    </row>
    <row r="1655" spans="1:22" x14ac:dyDescent="0.3">
      <c r="A1655" s="2" t="s">
        <v>15</v>
      </c>
      <c r="B1655">
        <v>560026</v>
      </c>
      <c r="C1655" s="4">
        <v>45206</v>
      </c>
      <c r="D1655">
        <v>56.125</v>
      </c>
      <c r="E1655">
        <v>117.1875</v>
      </c>
      <c r="F1655">
        <v>8.3947916666666593</v>
      </c>
      <c r="G1655">
        <v>2.0927083333333298</v>
      </c>
      <c r="H1655">
        <v>4.8215277777777699</v>
      </c>
      <c r="I1655">
        <v>1.0396180555555501</v>
      </c>
      <c r="J1655">
        <v>11.6322916666666</v>
      </c>
      <c r="K1655">
        <f t="shared" si="260"/>
        <v>93.541666666666657</v>
      </c>
      <c r="L1655">
        <f t="shared" si="261"/>
        <v>111.45833333333333</v>
      </c>
      <c r="M1655">
        <f t="shared" si="262"/>
        <v>10.493489583333325</v>
      </c>
      <c r="N1655">
        <f t="shared" si="263"/>
        <v>0.52317708333333246</v>
      </c>
      <c r="O1655">
        <f t="shared" si="264"/>
        <v>6.0269097222222126</v>
      </c>
      <c r="P1655">
        <f t="shared" si="265"/>
        <v>11.813841540403978</v>
      </c>
      <c r="Q1655">
        <f t="shared" si="266"/>
        <v>10.770640432098704</v>
      </c>
      <c r="R1655">
        <f t="shared" si="267"/>
        <v>111.45833333333333</v>
      </c>
      <c r="S1655" t="str">
        <f t="shared" si="268"/>
        <v>Moderate</v>
      </c>
      <c r="T1655" t="str">
        <f t="shared" si="269"/>
        <v>PM10</v>
      </c>
      <c r="U1655">
        <v>26.242708333333301</v>
      </c>
      <c r="V1655">
        <v>87.6770833333333</v>
      </c>
    </row>
    <row r="1656" spans="1:22" x14ac:dyDescent="0.3">
      <c r="A1656" s="2" t="s">
        <v>15</v>
      </c>
      <c r="B1656">
        <v>560026</v>
      </c>
      <c r="C1656" s="4">
        <v>45207</v>
      </c>
      <c r="D1656">
        <v>46.03125</v>
      </c>
      <c r="E1656">
        <v>82.0416666666666</v>
      </c>
      <c r="F1656">
        <v>8.4749999999999996</v>
      </c>
      <c r="G1656">
        <v>2.1104166666666599</v>
      </c>
      <c r="H1656">
        <v>4.69340277777777</v>
      </c>
      <c r="I1656">
        <v>0.74093749999999903</v>
      </c>
      <c r="J1656">
        <v>11.5791666666666</v>
      </c>
      <c r="K1656">
        <f t="shared" si="260"/>
        <v>76.71875</v>
      </c>
      <c r="L1656">
        <f t="shared" si="261"/>
        <v>82.0416666666666</v>
      </c>
      <c r="M1656">
        <f t="shared" si="262"/>
        <v>10.59375</v>
      </c>
      <c r="N1656">
        <f t="shared" si="263"/>
        <v>0.52760416666666499</v>
      </c>
      <c r="O1656">
        <f t="shared" si="264"/>
        <v>5.8667534722222126</v>
      </c>
      <c r="P1656">
        <f t="shared" si="265"/>
        <v>8.4197443181818077</v>
      </c>
      <c r="Q1656">
        <f t="shared" si="266"/>
        <v>10.721450617283889</v>
      </c>
      <c r="R1656">
        <f t="shared" si="267"/>
        <v>82.0416666666666</v>
      </c>
      <c r="S1656" t="str">
        <f t="shared" si="268"/>
        <v>Satisfactory</v>
      </c>
      <c r="T1656" t="str">
        <f t="shared" si="269"/>
        <v>PM10</v>
      </c>
      <c r="U1656">
        <v>26.051041666666599</v>
      </c>
      <c r="V1656">
        <v>87.9479166666666</v>
      </c>
    </row>
    <row r="1657" spans="1:22" x14ac:dyDescent="0.3">
      <c r="A1657" s="2" t="s">
        <v>15</v>
      </c>
      <c r="B1657">
        <v>560026</v>
      </c>
      <c r="C1657" s="4">
        <v>45208</v>
      </c>
      <c r="D1657">
        <v>42.759259259259203</v>
      </c>
      <c r="E1657">
        <v>61.771739130434703</v>
      </c>
      <c r="F1657">
        <v>8.7312499999999993</v>
      </c>
      <c r="G1657">
        <v>2.0687500000000001</v>
      </c>
      <c r="H1657">
        <v>4.4628472222222202</v>
      </c>
      <c r="I1657">
        <v>0.79701388888888802</v>
      </c>
      <c r="J1657">
        <v>11.611458333333299</v>
      </c>
      <c r="K1657">
        <f t="shared" si="260"/>
        <v>71.265432098765331</v>
      </c>
      <c r="L1657">
        <f t="shared" si="261"/>
        <v>61.771739130434703</v>
      </c>
      <c r="M1657">
        <f t="shared" si="262"/>
        <v>10.914062499999998</v>
      </c>
      <c r="N1657">
        <f t="shared" si="263"/>
        <v>0.51718750000000002</v>
      </c>
      <c r="O1657">
        <f t="shared" si="264"/>
        <v>5.578559027777775</v>
      </c>
      <c r="P1657">
        <f t="shared" si="265"/>
        <v>9.0569760101009997</v>
      </c>
      <c r="Q1657">
        <f t="shared" si="266"/>
        <v>10.751350308641944</v>
      </c>
      <c r="R1657">
        <f t="shared" si="267"/>
        <v>71.265432098765331</v>
      </c>
      <c r="S1657" t="str">
        <f t="shared" si="268"/>
        <v>Satisfactory</v>
      </c>
      <c r="T1657" t="str">
        <f t="shared" si="269"/>
        <v>PM2.5</v>
      </c>
      <c r="U1657">
        <v>24.243749999999999</v>
      </c>
      <c r="V1657">
        <v>87.8645833333333</v>
      </c>
    </row>
    <row r="1658" spans="1:22" x14ac:dyDescent="0.3">
      <c r="A1658" s="2" t="s">
        <v>15</v>
      </c>
      <c r="B1658">
        <v>560026</v>
      </c>
      <c r="C1658" s="4">
        <v>45209</v>
      </c>
      <c r="D1658">
        <v>41.6927083333333</v>
      </c>
      <c r="E1658">
        <v>76.306818181818102</v>
      </c>
      <c r="F1658">
        <v>8.6656250000000004</v>
      </c>
      <c r="G1658">
        <v>2.0968749999999998</v>
      </c>
      <c r="H1658">
        <v>5.3791666666666602</v>
      </c>
      <c r="I1658">
        <v>0.85749999999999904</v>
      </c>
      <c r="J1658">
        <v>11.546875</v>
      </c>
      <c r="K1658">
        <f t="shared" si="260"/>
        <v>69.487847222222172</v>
      </c>
      <c r="L1658">
        <f t="shared" si="261"/>
        <v>76.306818181818102</v>
      </c>
      <c r="M1658">
        <f t="shared" si="262"/>
        <v>10.83203125</v>
      </c>
      <c r="N1658">
        <f t="shared" si="263"/>
        <v>0.52421874999999996</v>
      </c>
      <c r="O1658">
        <f t="shared" si="264"/>
        <v>6.7239583333333259</v>
      </c>
      <c r="P1658">
        <f t="shared" si="265"/>
        <v>9.744318181818171</v>
      </c>
      <c r="Q1658">
        <f t="shared" si="266"/>
        <v>10.691550925925926</v>
      </c>
      <c r="R1658">
        <f t="shared" si="267"/>
        <v>76.306818181818102</v>
      </c>
      <c r="S1658" t="str">
        <f t="shared" si="268"/>
        <v>Satisfactory</v>
      </c>
      <c r="T1658" t="str">
        <f t="shared" si="269"/>
        <v>PM10</v>
      </c>
      <c r="U1658">
        <v>25.1614583333333</v>
      </c>
      <c r="V1658">
        <v>87.3645833333333</v>
      </c>
    </row>
    <row r="1659" spans="1:22" x14ac:dyDescent="0.3">
      <c r="A1659" s="2" t="s">
        <v>15</v>
      </c>
      <c r="B1659">
        <v>560026</v>
      </c>
      <c r="C1659" s="4">
        <v>45210</v>
      </c>
      <c r="D1659">
        <v>51.4270833333333</v>
      </c>
      <c r="E1659">
        <v>84.6041666666666</v>
      </c>
      <c r="F1659">
        <v>8.7947916666666597</v>
      </c>
      <c r="G1659">
        <v>2.0614583333333298</v>
      </c>
      <c r="H1659">
        <v>4.4038194444444398</v>
      </c>
      <c r="I1659">
        <v>1.23152777777777</v>
      </c>
      <c r="J1659">
        <v>11.576041666666599</v>
      </c>
      <c r="K1659">
        <f t="shared" si="260"/>
        <v>85.7118055555555</v>
      </c>
      <c r="L1659">
        <f t="shared" si="261"/>
        <v>84.6041666666666</v>
      </c>
      <c r="M1659">
        <f t="shared" si="262"/>
        <v>10.993489583333325</v>
      </c>
      <c r="N1659">
        <f t="shared" si="263"/>
        <v>0.51536458333333246</v>
      </c>
      <c r="O1659">
        <f t="shared" si="264"/>
        <v>5.50477430555555</v>
      </c>
      <c r="P1659">
        <f t="shared" si="265"/>
        <v>13.99463383838375</v>
      </c>
      <c r="Q1659">
        <f t="shared" si="266"/>
        <v>10.71855709876537</v>
      </c>
      <c r="R1659">
        <f t="shared" si="267"/>
        <v>85.7118055555555</v>
      </c>
      <c r="S1659" t="str">
        <f t="shared" si="268"/>
        <v>Satisfactory</v>
      </c>
      <c r="T1659" t="str">
        <f t="shared" si="269"/>
        <v>PM2.5</v>
      </c>
      <c r="U1659">
        <v>23.95</v>
      </c>
      <c r="V1659">
        <v>87.5520833333333</v>
      </c>
    </row>
    <row r="1660" spans="1:22" x14ac:dyDescent="0.3">
      <c r="A1660" s="2" t="s">
        <v>15</v>
      </c>
      <c r="B1660">
        <v>560026</v>
      </c>
      <c r="C1660" s="4">
        <v>45211</v>
      </c>
      <c r="D1660">
        <v>53.9722222222222</v>
      </c>
      <c r="E1660">
        <v>114.604166666666</v>
      </c>
      <c r="F1660">
        <v>8.4937500000000004</v>
      </c>
      <c r="G1660">
        <v>2.1072916666666601</v>
      </c>
      <c r="H1660">
        <v>4.4993055555555497</v>
      </c>
      <c r="I1660">
        <v>1.17493055555555</v>
      </c>
      <c r="J1660">
        <v>11.5885416666666</v>
      </c>
      <c r="K1660">
        <f t="shared" ref="K1660:K1720" si="270">IF(ISTEXT(D1660),0,IF(D1660&lt;=30,D1660*50/30,IF(AND(D1660&gt;30,D1660&lt;=60),50+(D1660-30)*50/30,IF(AND(D1660&gt;60,D1660&lt;=90),100+(D1660-60)*100/30,IF(AND(D1660&gt;90,D1660&lt;=120),200+(D1660-90)*(100/30),IF(AND(D1660&gt;120,D1660&lt;=250),300+(D1660-120)*(100/130),IF(D1660&gt;250,400+(D1660-250)*(100/130))))))))</f>
        <v>89.953703703703667</v>
      </c>
      <c r="L1660">
        <f t="shared" ref="L1660:L1720" si="271">IF(ISTEXT(E1660),0,IF(E1660&lt;=50,E1660,IF(AND(E1660&gt;50,E1660&lt;=100),E1660,IF(AND(E1660&gt;100,E1660&lt;=250),100+(E1660-100)*100/150,IF(AND(E1660&gt;250,E1660&lt;=350),200+(E1660-250),IF(AND(E1660&gt;350,E1660&lt;=430),300+(E1660-350)*(100/80),IF(E1660&gt;430,400+(E1660-430)*(100/80))))))))</f>
        <v>109.73611111111067</v>
      </c>
      <c r="M1660">
        <f t="shared" ref="M1660:M1720" si="272">IF(ISTEXT(F1660),0,IF(F1660&lt;=40,F1660*50/40,IF(AND(F1660&gt;40,F1660&lt;=80),50+(F1660-40)*50/40,IF(AND(F1660&gt;80,F1660&lt;=180),100+(F1660-80)*100/100,IF(AND(F1660&gt;180,F1660&lt;=280),200+(F1660-180)*(100/100),IF(AND(F1660&gt;280,F1660&lt;=400),300+(F1660-280)*(100/120),IF(F1660&gt;400,400+(F1660-400)*(100/120))))))))</f>
        <v>10.6171875</v>
      </c>
      <c r="N1660">
        <f t="shared" ref="N1660:N1720" si="273">IF(ISTEXT(G1660),0,IF(G1660&lt;=200,G1660*50/200,IF(AND(G1660&gt;200,G1660&lt;=400),50+(G1660-200)*50/200,IF(AND(G1660&gt;400,G1660&lt;=800),100+(G1660-400)*100/400,IF(AND(G1660&gt;800,G1660&lt;=1200),200+(G1660-800)*(100/400),IF(AND(G1660&gt;1200,G1660&lt;=1800),300+(G1660-1200)*(100/600),IF(G1660&gt;1800,400+(G1660-1800)*(100/600))))))))</f>
        <v>0.52682291666666503</v>
      </c>
      <c r="O1660">
        <f t="shared" ref="O1660:O1720" si="274">IF(ISTEXT(H1660),0,IF(H1660&lt;=40,H1660*50/40,IF(AND(H1660&gt;40,H1660&lt;=80),50+(H1660-40)*50/40,IF(AND(H1660&gt;80,H1660&lt;=380),100+(H1660-80)*100/300,IF(AND(H1660&gt;380,H1660&lt;=800),200+(H1660-380)*(100/420),IF(AND(H1660&gt;800,H1660&lt;=1600),300+(H1660-800)*(100/800),IF(H1660&gt;1600,400+(H1660-1600)*(100/800))))))))</f>
        <v>5.6241319444444375</v>
      </c>
      <c r="P1660">
        <f t="shared" ref="P1660:P1720" si="275">IF(I1660&lt;=4.4,(50-0)/(4.4-0)*(I1660-0)+0,
IF(I1660&lt;=9.4,(100-51)/(9.4-4.5)*(I1660-4.5)+51,
IF(I1660&lt;=12.4,(150-101)/(12.4-9.5)*(I1660-9.5)+101,
IF(I1660&lt;=15.4,(200-151)/(15.4-12.5)*(I1660-12.5)+151,
IF(I1660&lt;=30.4,(300-201)/(30.4-15.5)*(I1660-15.5)+201,
(500-301)/(50.4-30.5)*(I1660-30.5)+301)))))</f>
        <v>13.351483585858523</v>
      </c>
      <c r="Q1660">
        <f t="shared" ref="Q1660:Q1720" si="276">IF(J1660&lt;=54,(50-0)/(54-0)*(J1660-0)+0,
IF(J1660&lt;=70,(100-51)/(70-55)*(J1660-55)+51,
IF(J1660&lt;=85,(150-101)/(85-71)*(J1660-71)+101,
IF(J1660&lt;=105,(200-151)/(105-86)*(J1660-86)+151,
IF(J1660&lt;=200,(300-201)/(200-106)*(J1660-106)+201,
(500-301)/(300-201)*(J1660-201)+301)))))</f>
        <v>10.730131172839444</v>
      </c>
      <c r="R1660">
        <f t="shared" ref="R1660:R1720" si="277">MAX(K1660:Q1660)</f>
        <v>109.73611111111067</v>
      </c>
      <c r="S1660" t="str">
        <f t="shared" ref="S1660:S1720" si="278">IF(R1660&lt;=50,"Good",
IF(R1660&lt;=100,"Satisfactory",
IF(R1660&lt;=200,"Moderate",
IF(R1660&lt;=300,"Poor",
IF(R1660&lt;=400,"Very Poor",
"Severe")))))</f>
        <v>Moderate</v>
      </c>
      <c r="T1660" t="str">
        <f t="shared" ref="T1660:T1720" si="279">IF(MAX(K1660:Q1660)=K1660,"PM2.5",
IF(MAX(K1660:Q1660)=L1660,"PM10",
IF(MAX(K1660:Q1660)=M1660,"NO2",
IF(MAX(K1660:Q1660)=N1660,"NH3",
IF(MAX(K1660:Q1660)=O1660,"SO2",
IF(MAX(K1660:Q1660)=P1660,"CO",
IF(MAX(K1660:Q1660)=Q1660,"OZONE","")))))))</f>
        <v>PM10</v>
      </c>
      <c r="U1660">
        <v>25.626041666666602</v>
      </c>
      <c r="V1660">
        <v>87.1979166666666</v>
      </c>
    </row>
    <row r="1661" spans="1:22" x14ac:dyDescent="0.3">
      <c r="A1661" s="2" t="s">
        <v>15</v>
      </c>
      <c r="B1661">
        <v>560026</v>
      </c>
      <c r="C1661" s="4">
        <v>45212</v>
      </c>
      <c r="D1661">
        <v>70.634259259259196</v>
      </c>
      <c r="E1661">
        <v>125</v>
      </c>
      <c r="F1661">
        <v>8.73020833333333</v>
      </c>
      <c r="G1661">
        <v>2.1041666666666599</v>
      </c>
      <c r="H1661">
        <v>4.86388888888888</v>
      </c>
      <c r="I1661">
        <v>1.19027777777777</v>
      </c>
      <c r="J1661">
        <v>11.466666666666599</v>
      </c>
      <c r="K1661">
        <f t="shared" si="270"/>
        <v>135.44753086419732</v>
      </c>
      <c r="L1661">
        <f t="shared" si="271"/>
        <v>116.66666666666667</v>
      </c>
      <c r="M1661">
        <f t="shared" si="272"/>
        <v>10.912760416666663</v>
      </c>
      <c r="N1661">
        <f t="shared" si="273"/>
        <v>0.52604166666666496</v>
      </c>
      <c r="O1661">
        <f t="shared" si="274"/>
        <v>6.0798611111111001</v>
      </c>
      <c r="P1661">
        <f t="shared" si="275"/>
        <v>13.52588383838375</v>
      </c>
      <c r="Q1661">
        <f t="shared" si="276"/>
        <v>10.617283950617221</v>
      </c>
      <c r="R1661">
        <f t="shared" si="277"/>
        <v>135.44753086419732</v>
      </c>
      <c r="S1661" t="str">
        <f t="shared" si="278"/>
        <v>Moderate</v>
      </c>
      <c r="T1661" t="str">
        <f t="shared" si="279"/>
        <v>PM2.5</v>
      </c>
      <c r="U1661">
        <v>26.315625000000001</v>
      </c>
      <c r="V1661">
        <v>86.9270833333333</v>
      </c>
    </row>
    <row r="1662" spans="1:22" x14ac:dyDescent="0.3">
      <c r="A1662" s="2" t="s">
        <v>15</v>
      </c>
      <c r="B1662">
        <v>560026</v>
      </c>
      <c r="C1662" s="4">
        <v>45213</v>
      </c>
      <c r="D1662">
        <v>55.983465459999998</v>
      </c>
      <c r="E1662">
        <v>120</v>
      </c>
      <c r="F1662">
        <v>8.4104166666666593</v>
      </c>
      <c r="G1662">
        <v>2.09375</v>
      </c>
      <c r="H1662">
        <v>3.9243055555555499</v>
      </c>
      <c r="I1662">
        <v>1.1251041666666599</v>
      </c>
      <c r="J1662">
        <v>11.680208333333301</v>
      </c>
      <c r="K1662">
        <f t="shared" si="270"/>
        <v>93.30577576666667</v>
      </c>
      <c r="L1662">
        <f t="shared" si="271"/>
        <v>113.33333333333333</v>
      </c>
      <c r="M1662">
        <f t="shared" si="272"/>
        <v>10.513020833333325</v>
      </c>
      <c r="N1662">
        <f t="shared" si="273"/>
        <v>0.5234375</v>
      </c>
      <c r="O1662">
        <f t="shared" si="274"/>
        <v>4.9053819444444375</v>
      </c>
      <c r="P1662">
        <f t="shared" si="275"/>
        <v>12.785274621212045</v>
      </c>
      <c r="Q1662">
        <f t="shared" si="276"/>
        <v>10.815007716049353</v>
      </c>
      <c r="R1662">
        <f t="shared" si="277"/>
        <v>113.33333333333333</v>
      </c>
      <c r="S1662" t="str">
        <f t="shared" si="278"/>
        <v>Moderate</v>
      </c>
      <c r="T1662" t="str">
        <f t="shared" si="279"/>
        <v>PM10</v>
      </c>
      <c r="U1662">
        <v>26.559374999999999</v>
      </c>
      <c r="V1662">
        <v>86.59375</v>
      </c>
    </row>
    <row r="1663" spans="1:22" x14ac:dyDescent="0.3">
      <c r="A1663" s="2" t="s">
        <v>15</v>
      </c>
      <c r="B1663">
        <v>560026</v>
      </c>
      <c r="C1663" s="4">
        <v>45214</v>
      </c>
      <c r="D1663">
        <v>55.983465459999998</v>
      </c>
      <c r="E1663">
        <v>65.0520833333333</v>
      </c>
      <c r="F1663">
        <v>8.5760416666666597</v>
      </c>
      <c r="G1663">
        <v>2.109375</v>
      </c>
      <c r="H1663">
        <v>4.7687499999999998</v>
      </c>
      <c r="I1663">
        <v>0.558958333333333</v>
      </c>
      <c r="J1663">
        <v>11.456249999999899</v>
      </c>
      <c r="K1663">
        <f t="shared" si="270"/>
        <v>93.30577576666667</v>
      </c>
      <c r="L1663">
        <f t="shared" si="271"/>
        <v>65.0520833333333</v>
      </c>
      <c r="M1663">
        <f t="shared" si="272"/>
        <v>10.720052083333325</v>
      </c>
      <c r="N1663">
        <f t="shared" si="273"/>
        <v>0.52734375</v>
      </c>
      <c r="O1663">
        <f t="shared" si="274"/>
        <v>5.9609375</v>
      </c>
      <c r="P1663">
        <f t="shared" si="275"/>
        <v>6.3517992424242387</v>
      </c>
      <c r="Q1663">
        <f t="shared" si="276"/>
        <v>10.607638888888795</v>
      </c>
      <c r="R1663">
        <f t="shared" si="277"/>
        <v>93.30577576666667</v>
      </c>
      <c r="S1663" t="str">
        <f t="shared" si="278"/>
        <v>Satisfactory</v>
      </c>
      <c r="T1663" t="str">
        <f t="shared" si="279"/>
        <v>PM2.5</v>
      </c>
      <c r="U1663">
        <v>24.909375000000001</v>
      </c>
      <c r="V1663">
        <v>86.6145833333333</v>
      </c>
    </row>
    <row r="1664" spans="1:22" x14ac:dyDescent="0.3">
      <c r="A1664" s="2" t="s">
        <v>15</v>
      </c>
      <c r="B1664">
        <v>560026</v>
      </c>
      <c r="C1664" s="4">
        <v>45215</v>
      </c>
      <c r="D1664">
        <v>55.983465459999998</v>
      </c>
      <c r="E1664">
        <v>92.8645833333333</v>
      </c>
      <c r="F1664">
        <v>8.4083333333333297</v>
      </c>
      <c r="G1664">
        <v>2.1177083333333302</v>
      </c>
      <c r="H1664">
        <v>4.5024305555555504</v>
      </c>
      <c r="I1664">
        <v>0.79156249999999995</v>
      </c>
      <c r="J1664">
        <v>11.519791666666601</v>
      </c>
      <c r="K1664">
        <f t="shared" si="270"/>
        <v>93.30577576666667</v>
      </c>
      <c r="L1664">
        <f t="shared" si="271"/>
        <v>92.8645833333333</v>
      </c>
      <c r="M1664">
        <f t="shared" si="272"/>
        <v>10.510416666666661</v>
      </c>
      <c r="N1664">
        <f t="shared" si="273"/>
        <v>0.52942708333333255</v>
      </c>
      <c r="O1664">
        <f t="shared" si="274"/>
        <v>5.6280381944444375</v>
      </c>
      <c r="P1664">
        <f t="shared" si="275"/>
        <v>8.9950284090909083</v>
      </c>
      <c r="Q1664">
        <f t="shared" si="276"/>
        <v>10.666473765432038</v>
      </c>
      <c r="R1664">
        <f t="shared" si="277"/>
        <v>93.30577576666667</v>
      </c>
      <c r="S1664" t="str">
        <f t="shared" si="278"/>
        <v>Satisfactory</v>
      </c>
      <c r="T1664" t="str">
        <f t="shared" si="279"/>
        <v>PM2.5</v>
      </c>
      <c r="U1664">
        <v>26.140625</v>
      </c>
      <c r="V1664">
        <v>86</v>
      </c>
    </row>
    <row r="1665" spans="1:22" x14ac:dyDescent="0.3">
      <c r="A1665" s="2" t="s">
        <v>15</v>
      </c>
      <c r="B1665">
        <v>560026</v>
      </c>
      <c r="C1665" s="4">
        <v>45216</v>
      </c>
      <c r="D1665">
        <v>61.211538461538403</v>
      </c>
      <c r="E1665">
        <v>96.4583333333333</v>
      </c>
      <c r="F1665">
        <v>8.6572916666666604</v>
      </c>
      <c r="G1665">
        <v>2.0812499999999998</v>
      </c>
      <c r="H1665">
        <v>4.22881944444444</v>
      </c>
      <c r="I1665">
        <v>0.84406250000000005</v>
      </c>
      <c r="J1665">
        <v>11.4697916666666</v>
      </c>
      <c r="K1665">
        <f t="shared" si="270"/>
        <v>104.03846153846135</v>
      </c>
      <c r="L1665">
        <f t="shared" si="271"/>
        <v>96.4583333333333</v>
      </c>
      <c r="M1665">
        <f t="shared" si="272"/>
        <v>10.821614583333325</v>
      </c>
      <c r="N1665">
        <f t="shared" si="273"/>
        <v>0.52031249999999996</v>
      </c>
      <c r="O1665">
        <f t="shared" si="274"/>
        <v>5.28602430555555</v>
      </c>
      <c r="P1665">
        <f t="shared" si="275"/>
        <v>9.5916193181818183</v>
      </c>
      <c r="Q1665">
        <f t="shared" si="276"/>
        <v>10.62017746913574</v>
      </c>
      <c r="R1665">
        <f t="shared" si="277"/>
        <v>104.03846153846135</v>
      </c>
      <c r="S1665" t="str">
        <f t="shared" si="278"/>
        <v>Moderate</v>
      </c>
      <c r="T1665" t="str">
        <f t="shared" si="279"/>
        <v>PM2.5</v>
      </c>
      <c r="U1665">
        <v>26.2239583333333</v>
      </c>
      <c r="V1665">
        <v>85.875</v>
      </c>
    </row>
    <row r="1666" spans="1:22" x14ac:dyDescent="0.3">
      <c r="A1666" s="2" t="s">
        <v>15</v>
      </c>
      <c r="B1666">
        <v>560026</v>
      </c>
      <c r="C1666" s="4">
        <v>45217</v>
      </c>
      <c r="D1666">
        <v>61.6979166666666</v>
      </c>
      <c r="E1666">
        <v>124.354166666666</v>
      </c>
      <c r="F1666">
        <v>8.6218749999999993</v>
      </c>
      <c r="G1666">
        <v>2.0552083333333302</v>
      </c>
      <c r="H1666">
        <v>4.78993055555555</v>
      </c>
      <c r="I1666">
        <v>0.99177083333333305</v>
      </c>
      <c r="J1666">
        <v>11.43125</v>
      </c>
      <c r="K1666">
        <f t="shared" si="270"/>
        <v>105.659722222222</v>
      </c>
      <c r="L1666">
        <f t="shared" si="271"/>
        <v>116.23611111111067</v>
      </c>
      <c r="M1666">
        <f t="shared" si="272"/>
        <v>10.777343749999998</v>
      </c>
      <c r="N1666">
        <f t="shared" si="273"/>
        <v>0.51380208333333255</v>
      </c>
      <c r="O1666">
        <f t="shared" si="274"/>
        <v>5.9874131944444375</v>
      </c>
      <c r="P1666">
        <f t="shared" si="275"/>
        <v>11.270123106060602</v>
      </c>
      <c r="Q1666">
        <f t="shared" si="276"/>
        <v>10.58449074074074</v>
      </c>
      <c r="R1666">
        <f t="shared" si="277"/>
        <v>116.23611111111067</v>
      </c>
      <c r="S1666" t="str">
        <f t="shared" si="278"/>
        <v>Moderate</v>
      </c>
      <c r="T1666" t="str">
        <f t="shared" si="279"/>
        <v>PM10</v>
      </c>
      <c r="U1666">
        <v>25.946874999999999</v>
      </c>
      <c r="V1666">
        <v>85.8645833333333</v>
      </c>
    </row>
    <row r="1667" spans="1:22" x14ac:dyDescent="0.3">
      <c r="A1667" s="2" t="s">
        <v>15</v>
      </c>
      <c r="B1667">
        <v>560026</v>
      </c>
      <c r="C1667" s="4">
        <v>45218</v>
      </c>
      <c r="D1667">
        <v>75.125</v>
      </c>
      <c r="E1667">
        <v>143.854166666666</v>
      </c>
      <c r="F1667">
        <v>8.5093750000000004</v>
      </c>
      <c r="G1667">
        <v>2.03854166666666</v>
      </c>
      <c r="H1667">
        <v>4.7409722222222204</v>
      </c>
      <c r="I1667">
        <v>1.0867708333333299</v>
      </c>
      <c r="J1667">
        <v>11.331249999999899</v>
      </c>
      <c r="K1667">
        <f t="shared" si="270"/>
        <v>150.41666666666666</v>
      </c>
      <c r="L1667">
        <f t="shared" si="271"/>
        <v>129.23611111111066</v>
      </c>
      <c r="M1667">
        <f t="shared" si="272"/>
        <v>10.63671875</v>
      </c>
      <c r="N1667">
        <f t="shared" si="273"/>
        <v>0.50963541666666501</v>
      </c>
      <c r="O1667">
        <f t="shared" si="274"/>
        <v>5.9262152777777759</v>
      </c>
      <c r="P1667">
        <f t="shared" si="275"/>
        <v>12.349668560606021</v>
      </c>
      <c r="Q1667">
        <f t="shared" si="276"/>
        <v>10.491898148148055</v>
      </c>
      <c r="R1667">
        <f t="shared" si="277"/>
        <v>150.41666666666666</v>
      </c>
      <c r="S1667" t="str">
        <f t="shared" si="278"/>
        <v>Moderate</v>
      </c>
      <c r="T1667" t="str">
        <f t="shared" si="279"/>
        <v>PM2.5</v>
      </c>
      <c r="U1667">
        <v>26.027083333333302</v>
      </c>
      <c r="V1667">
        <v>86.3125</v>
      </c>
    </row>
    <row r="1668" spans="1:22" x14ac:dyDescent="0.3">
      <c r="A1668" s="2" t="s">
        <v>15</v>
      </c>
      <c r="B1668">
        <v>560026</v>
      </c>
      <c r="C1668" s="4">
        <v>45219</v>
      </c>
      <c r="D1668">
        <v>80.7916666666666</v>
      </c>
      <c r="E1668">
        <v>138.586805555555</v>
      </c>
      <c r="F1668">
        <v>8.6447916666666593</v>
      </c>
      <c r="G1668">
        <v>2.0687500000000001</v>
      </c>
      <c r="H1668">
        <v>4.53125</v>
      </c>
      <c r="I1668">
        <v>1.1253124999999999</v>
      </c>
      <c r="J1668">
        <v>11.508333333333301</v>
      </c>
      <c r="K1668">
        <f t="shared" si="270"/>
        <v>169.30555555555534</v>
      </c>
      <c r="L1668">
        <f t="shared" si="271"/>
        <v>125.72453703703667</v>
      </c>
      <c r="M1668">
        <f t="shared" si="272"/>
        <v>10.805989583333325</v>
      </c>
      <c r="N1668">
        <f t="shared" si="273"/>
        <v>0.51718750000000002</v>
      </c>
      <c r="O1668">
        <f t="shared" si="274"/>
        <v>5.6640625</v>
      </c>
      <c r="P1668">
        <f t="shared" si="275"/>
        <v>12.787642045454545</v>
      </c>
      <c r="Q1668">
        <f t="shared" si="276"/>
        <v>10.655864197530834</v>
      </c>
      <c r="R1668">
        <f t="shared" si="277"/>
        <v>169.30555555555534</v>
      </c>
      <c r="S1668" t="str">
        <f t="shared" si="278"/>
        <v>Moderate</v>
      </c>
      <c r="T1668" t="str">
        <f t="shared" si="279"/>
        <v>PM2.5</v>
      </c>
      <c r="U1668">
        <v>26.155555555555502</v>
      </c>
      <c r="V1668">
        <v>87.1666666666666</v>
      </c>
    </row>
    <row r="1669" spans="1:22" x14ac:dyDescent="0.3">
      <c r="A1669" s="2" t="s">
        <v>15</v>
      </c>
      <c r="B1669">
        <v>560026</v>
      </c>
      <c r="C1669" s="4">
        <v>45220</v>
      </c>
      <c r="D1669">
        <v>78.3298611111111</v>
      </c>
      <c r="E1669">
        <v>127.895833333333</v>
      </c>
      <c r="F1669">
        <v>8.5020833333333297</v>
      </c>
      <c r="G1669">
        <v>2.1020833333333302</v>
      </c>
      <c r="H1669">
        <v>4.6121527777777702</v>
      </c>
      <c r="I1669">
        <v>1.2097916666666599</v>
      </c>
      <c r="J1669">
        <v>11.470833333333299</v>
      </c>
      <c r="K1669">
        <f t="shared" si="270"/>
        <v>161.09953703703701</v>
      </c>
      <c r="L1669">
        <f t="shared" si="271"/>
        <v>118.597222222222</v>
      </c>
      <c r="M1669">
        <f t="shared" si="272"/>
        <v>10.627604166666661</v>
      </c>
      <c r="N1669">
        <f t="shared" si="273"/>
        <v>0.52552083333333255</v>
      </c>
      <c r="O1669">
        <f t="shared" si="274"/>
        <v>5.7651909722222126</v>
      </c>
      <c r="P1669">
        <f t="shared" si="275"/>
        <v>13.7476325757575</v>
      </c>
      <c r="Q1669">
        <f t="shared" si="276"/>
        <v>10.62114197530861</v>
      </c>
      <c r="R1669">
        <f t="shared" si="277"/>
        <v>161.09953703703701</v>
      </c>
      <c r="S1669" t="str">
        <f t="shared" si="278"/>
        <v>Moderate</v>
      </c>
      <c r="T1669" t="str">
        <f t="shared" si="279"/>
        <v>PM2.5</v>
      </c>
      <c r="U1669">
        <v>26.136111111111099</v>
      </c>
      <c r="V1669">
        <v>87.8541666666666</v>
      </c>
    </row>
    <row r="1670" spans="1:22" x14ac:dyDescent="0.3">
      <c r="A1670" s="2" t="s">
        <v>15</v>
      </c>
      <c r="B1670">
        <v>560026</v>
      </c>
      <c r="C1670" s="4">
        <v>45221</v>
      </c>
      <c r="D1670">
        <v>69.8541666666666</v>
      </c>
      <c r="E1670">
        <v>125.652777777777</v>
      </c>
      <c r="F1670">
        <v>8.8781249999999901</v>
      </c>
      <c r="G1670">
        <v>2.0093749999999999</v>
      </c>
      <c r="H1670">
        <v>5.0204861111111097</v>
      </c>
      <c r="I1670">
        <v>1.0055208333333301</v>
      </c>
      <c r="J1670">
        <v>11.472916666666601</v>
      </c>
      <c r="K1670">
        <f t="shared" si="270"/>
        <v>132.847222222222</v>
      </c>
      <c r="L1670">
        <f t="shared" si="271"/>
        <v>117.10185185185134</v>
      </c>
      <c r="M1670">
        <f t="shared" si="272"/>
        <v>11.097656249999988</v>
      </c>
      <c r="N1670">
        <f t="shared" si="273"/>
        <v>0.50234374999999998</v>
      </c>
      <c r="O1670">
        <f t="shared" si="274"/>
        <v>6.2756076388888875</v>
      </c>
      <c r="P1670">
        <f t="shared" si="275"/>
        <v>11.426373106060568</v>
      </c>
      <c r="Q1670">
        <f t="shared" si="276"/>
        <v>10.623070987654261</v>
      </c>
      <c r="R1670">
        <f t="shared" si="277"/>
        <v>132.847222222222</v>
      </c>
      <c r="S1670" t="str">
        <f t="shared" si="278"/>
        <v>Moderate</v>
      </c>
      <c r="T1670" t="str">
        <f t="shared" si="279"/>
        <v>PM2.5</v>
      </c>
      <c r="U1670">
        <v>26.9322916666666</v>
      </c>
      <c r="V1670">
        <v>87.7291666666666</v>
      </c>
    </row>
    <row r="1671" spans="1:22" x14ac:dyDescent="0.3">
      <c r="A1671" s="2" t="s">
        <v>15</v>
      </c>
      <c r="B1671">
        <v>560026</v>
      </c>
      <c r="C1671" s="4">
        <v>45222</v>
      </c>
      <c r="D1671">
        <v>74.030303030303003</v>
      </c>
      <c r="E1671">
        <v>138.23106060606</v>
      </c>
      <c r="F1671">
        <v>8.57045454545454</v>
      </c>
      <c r="G1671">
        <v>2.0772727272727201</v>
      </c>
      <c r="H1671">
        <v>5.2143939393939398</v>
      </c>
      <c r="I1671">
        <v>1.7290909090908999</v>
      </c>
      <c r="J1671">
        <v>12.779924242424199</v>
      </c>
      <c r="K1671">
        <f t="shared" si="270"/>
        <v>146.76767676767668</v>
      </c>
      <c r="L1671">
        <f t="shared" si="271"/>
        <v>125.48737373737333</v>
      </c>
      <c r="M1671">
        <f t="shared" si="272"/>
        <v>10.713068181818176</v>
      </c>
      <c r="N1671">
        <f t="shared" si="273"/>
        <v>0.51931818181818001</v>
      </c>
      <c r="O1671">
        <f t="shared" si="274"/>
        <v>6.5179924242424248</v>
      </c>
      <c r="P1671">
        <f t="shared" si="275"/>
        <v>19.648760330578408</v>
      </c>
      <c r="Q1671">
        <f t="shared" si="276"/>
        <v>11.833263187429814</v>
      </c>
      <c r="R1671">
        <f t="shared" si="277"/>
        <v>146.76767676767668</v>
      </c>
      <c r="S1671" t="str">
        <f t="shared" si="278"/>
        <v>Moderate</v>
      </c>
      <c r="T1671" t="str">
        <f t="shared" si="279"/>
        <v>PM2.5</v>
      </c>
      <c r="U1671">
        <v>26.015909090908998</v>
      </c>
      <c r="V1671">
        <v>88</v>
      </c>
    </row>
    <row r="1672" spans="1:22" x14ac:dyDescent="0.3">
      <c r="A1672" s="2" t="s">
        <v>15</v>
      </c>
      <c r="B1672">
        <v>560026</v>
      </c>
      <c r="C1672" s="4">
        <v>45223</v>
      </c>
      <c r="D1672">
        <v>70.424242424242394</v>
      </c>
      <c r="E1672">
        <v>112.56159420289799</v>
      </c>
      <c r="F1672">
        <v>8.6354166666666607</v>
      </c>
      <c r="G1672">
        <v>2.0479166666666599</v>
      </c>
      <c r="H1672">
        <v>4.9430555555555502</v>
      </c>
      <c r="I1672">
        <v>0.61055555555555496</v>
      </c>
      <c r="J1672">
        <v>11.5572916666666</v>
      </c>
      <c r="K1672">
        <f t="shared" si="270"/>
        <v>134.74747474747466</v>
      </c>
      <c r="L1672">
        <f t="shared" si="271"/>
        <v>108.37439613526533</v>
      </c>
      <c r="M1672">
        <f t="shared" si="272"/>
        <v>10.794270833333325</v>
      </c>
      <c r="N1672">
        <f t="shared" si="273"/>
        <v>0.51197916666666499</v>
      </c>
      <c r="O1672">
        <f t="shared" si="274"/>
        <v>6.1788194444444375</v>
      </c>
      <c r="P1672">
        <f t="shared" si="275"/>
        <v>6.938131313131306</v>
      </c>
      <c r="Q1672">
        <f t="shared" si="276"/>
        <v>10.701195987654259</v>
      </c>
      <c r="R1672">
        <f t="shared" si="277"/>
        <v>134.74747474747466</v>
      </c>
      <c r="S1672" t="str">
        <f t="shared" si="278"/>
        <v>Moderate</v>
      </c>
      <c r="T1672" t="str">
        <f t="shared" si="279"/>
        <v>PM2.5</v>
      </c>
      <c r="U1672">
        <v>26.6201388888888</v>
      </c>
      <c r="V1672">
        <v>87.8645833333333</v>
      </c>
    </row>
    <row r="1673" spans="1:22" x14ac:dyDescent="0.3">
      <c r="A1673" s="2" t="s">
        <v>15</v>
      </c>
      <c r="B1673">
        <v>560026</v>
      </c>
      <c r="C1673" s="4">
        <v>45224</v>
      </c>
      <c r="D1673">
        <v>68.8368055555555</v>
      </c>
      <c r="E1673">
        <v>120.479166666666</v>
      </c>
      <c r="F1673">
        <v>8.30416666666666</v>
      </c>
      <c r="G1673">
        <v>2.1124999999999998</v>
      </c>
      <c r="H1673">
        <v>5.14930555555555</v>
      </c>
      <c r="I1673">
        <v>0.99270833333333297</v>
      </c>
      <c r="J1673">
        <v>11.525</v>
      </c>
      <c r="K1673">
        <f t="shared" si="270"/>
        <v>129.45601851851833</v>
      </c>
      <c r="L1673">
        <f t="shared" si="271"/>
        <v>113.65277777777733</v>
      </c>
      <c r="M1673">
        <f t="shared" si="272"/>
        <v>10.380208333333325</v>
      </c>
      <c r="N1673">
        <f t="shared" si="273"/>
        <v>0.52812499999999996</v>
      </c>
      <c r="O1673">
        <f t="shared" si="274"/>
        <v>6.4366319444444375</v>
      </c>
      <c r="P1673">
        <f t="shared" si="275"/>
        <v>11.28077651515151</v>
      </c>
      <c r="Q1673">
        <f t="shared" si="276"/>
        <v>10.671296296296296</v>
      </c>
      <c r="R1673">
        <f t="shared" si="277"/>
        <v>129.45601851851833</v>
      </c>
      <c r="S1673" t="str">
        <f t="shared" si="278"/>
        <v>Moderate</v>
      </c>
      <c r="T1673" t="str">
        <f t="shared" si="279"/>
        <v>PM2.5</v>
      </c>
      <c r="U1673">
        <v>26.622222222222199</v>
      </c>
      <c r="V1673">
        <v>87.78125</v>
      </c>
    </row>
    <row r="1674" spans="1:22" x14ac:dyDescent="0.3">
      <c r="A1674" s="2" t="s">
        <v>15</v>
      </c>
      <c r="B1674">
        <v>560026</v>
      </c>
      <c r="C1674" s="4">
        <v>45225</v>
      </c>
      <c r="D1674">
        <v>74.5694444444444</v>
      </c>
      <c r="E1674">
        <v>124.284722222222</v>
      </c>
      <c r="F1674">
        <v>8.57395833333333</v>
      </c>
      <c r="G1674">
        <v>2.0843750000000001</v>
      </c>
      <c r="H1674">
        <v>5.01006944444444</v>
      </c>
      <c r="I1674">
        <v>1.0689583333333299</v>
      </c>
      <c r="J1674">
        <v>11.517708333333299</v>
      </c>
      <c r="K1674">
        <f t="shared" si="270"/>
        <v>148.56481481481467</v>
      </c>
      <c r="L1674">
        <f t="shared" si="271"/>
        <v>116.18981481481467</v>
      </c>
      <c r="M1674">
        <f t="shared" si="272"/>
        <v>10.717447916666663</v>
      </c>
      <c r="N1674">
        <f t="shared" si="273"/>
        <v>0.52109375000000002</v>
      </c>
      <c r="O1674">
        <f t="shared" si="274"/>
        <v>6.26258680555555</v>
      </c>
      <c r="P1674">
        <f t="shared" si="275"/>
        <v>12.147253787878748</v>
      </c>
      <c r="Q1674">
        <f t="shared" si="276"/>
        <v>10.664544753086389</v>
      </c>
      <c r="R1674">
        <f t="shared" si="277"/>
        <v>148.56481481481467</v>
      </c>
      <c r="S1674" t="str">
        <f t="shared" si="278"/>
        <v>Moderate</v>
      </c>
      <c r="T1674" t="str">
        <f t="shared" si="279"/>
        <v>PM2.5</v>
      </c>
      <c r="U1674">
        <v>26.189583333333299</v>
      </c>
      <c r="V1674">
        <v>87.875</v>
      </c>
    </row>
    <row r="1675" spans="1:22" x14ac:dyDescent="0.3">
      <c r="A1675" s="2" t="s">
        <v>15</v>
      </c>
      <c r="B1675">
        <v>560026</v>
      </c>
      <c r="C1675" s="4">
        <v>45226</v>
      </c>
      <c r="D1675">
        <v>63.8888888888888</v>
      </c>
      <c r="E1675">
        <v>119.868055555555</v>
      </c>
      <c r="F1675">
        <v>8.5864583333333293</v>
      </c>
      <c r="G1675">
        <v>2.09375</v>
      </c>
      <c r="H1675">
        <v>4.4496527777777697</v>
      </c>
      <c r="I1675">
        <v>0.93125000000000002</v>
      </c>
      <c r="J1675">
        <v>11.497916666666599</v>
      </c>
      <c r="K1675">
        <f t="shared" si="270"/>
        <v>112.96296296296266</v>
      </c>
      <c r="L1675">
        <f t="shared" si="271"/>
        <v>113.24537037037</v>
      </c>
      <c r="M1675">
        <f t="shared" si="272"/>
        <v>10.733072916666661</v>
      </c>
      <c r="N1675">
        <f t="shared" si="273"/>
        <v>0.5234375</v>
      </c>
      <c r="O1675">
        <f t="shared" si="274"/>
        <v>5.5620659722222126</v>
      </c>
      <c r="P1675">
        <f t="shared" si="275"/>
        <v>10.582386363636363</v>
      </c>
      <c r="Q1675">
        <f t="shared" si="276"/>
        <v>10.646219135802406</v>
      </c>
      <c r="R1675">
        <f t="shared" si="277"/>
        <v>113.24537037037</v>
      </c>
      <c r="S1675" t="str">
        <f t="shared" si="278"/>
        <v>Moderate</v>
      </c>
      <c r="T1675" t="str">
        <f t="shared" si="279"/>
        <v>PM10</v>
      </c>
      <c r="U1675">
        <v>25.748958333333299</v>
      </c>
      <c r="V1675">
        <v>87.9583333333333</v>
      </c>
    </row>
    <row r="1676" spans="1:22" x14ac:dyDescent="0.3">
      <c r="A1676" s="2" t="s">
        <v>15</v>
      </c>
      <c r="B1676">
        <v>560026</v>
      </c>
      <c r="C1676" s="4">
        <v>45227</v>
      </c>
      <c r="D1676">
        <v>44.1145833333333</v>
      </c>
      <c r="E1676">
        <v>79.4027777777777</v>
      </c>
      <c r="F1676">
        <v>8.4124999999999996</v>
      </c>
      <c r="G1676">
        <v>2.16770833333333</v>
      </c>
      <c r="H1676">
        <v>4.7138888888888797</v>
      </c>
      <c r="I1676">
        <v>0.81437499999999996</v>
      </c>
      <c r="J1676">
        <v>11.4854166666666</v>
      </c>
      <c r="K1676">
        <f t="shared" si="270"/>
        <v>73.5243055555555</v>
      </c>
      <c r="L1676">
        <f t="shared" si="271"/>
        <v>79.4027777777777</v>
      </c>
      <c r="M1676">
        <f t="shared" si="272"/>
        <v>10.515625</v>
      </c>
      <c r="N1676">
        <f t="shared" si="273"/>
        <v>0.5419270833333325</v>
      </c>
      <c r="O1676">
        <f t="shared" si="274"/>
        <v>5.8923611111110992</v>
      </c>
      <c r="P1676">
        <f t="shared" si="275"/>
        <v>9.2542613636363633</v>
      </c>
      <c r="Q1676">
        <f t="shared" si="276"/>
        <v>10.634645061728333</v>
      </c>
      <c r="R1676">
        <f t="shared" si="277"/>
        <v>79.4027777777777</v>
      </c>
      <c r="S1676" t="str">
        <f t="shared" si="278"/>
        <v>Satisfactory</v>
      </c>
      <c r="T1676" t="str">
        <f t="shared" si="279"/>
        <v>PM10</v>
      </c>
      <c r="U1676">
        <v>25.8888888888888</v>
      </c>
      <c r="V1676">
        <v>87.9166666666666</v>
      </c>
    </row>
    <row r="1677" spans="1:22" x14ac:dyDescent="0.3">
      <c r="A1677" s="2" t="s">
        <v>15</v>
      </c>
      <c r="B1677">
        <v>560026</v>
      </c>
      <c r="C1677" s="4">
        <v>45228</v>
      </c>
      <c r="D1677">
        <v>47.0659722222222</v>
      </c>
      <c r="E1677">
        <v>68.9930555555555</v>
      </c>
      <c r="F1677">
        <v>8.6583333333333297</v>
      </c>
      <c r="G1677">
        <v>2.02708333333333</v>
      </c>
      <c r="H1677">
        <v>4.8868055555555499</v>
      </c>
      <c r="I1677">
        <v>0.636354166666666</v>
      </c>
      <c r="J1677">
        <v>11.332291666666601</v>
      </c>
      <c r="K1677">
        <f t="shared" si="270"/>
        <v>78.443287037036995</v>
      </c>
      <c r="L1677">
        <f t="shared" si="271"/>
        <v>68.9930555555555</v>
      </c>
      <c r="M1677">
        <f t="shared" si="272"/>
        <v>10.822916666666661</v>
      </c>
      <c r="N1677">
        <f t="shared" si="273"/>
        <v>0.5067708333333325</v>
      </c>
      <c r="O1677">
        <f t="shared" si="274"/>
        <v>6.1085069444444375</v>
      </c>
      <c r="P1677">
        <f t="shared" si="275"/>
        <v>7.2312973484848406</v>
      </c>
      <c r="Q1677">
        <f t="shared" si="276"/>
        <v>10.492862654320927</v>
      </c>
      <c r="R1677">
        <f t="shared" si="277"/>
        <v>78.443287037036995</v>
      </c>
      <c r="S1677" t="str">
        <f t="shared" si="278"/>
        <v>Satisfactory</v>
      </c>
      <c r="T1677" t="str">
        <f t="shared" si="279"/>
        <v>PM2.5</v>
      </c>
      <c r="U1677">
        <v>25.746180555555501</v>
      </c>
      <c r="V1677">
        <v>88.0416666666666</v>
      </c>
    </row>
    <row r="1678" spans="1:22" x14ac:dyDescent="0.3">
      <c r="A1678" s="2" t="s">
        <v>15</v>
      </c>
      <c r="B1678">
        <v>560026</v>
      </c>
      <c r="C1678" s="4">
        <v>45229</v>
      </c>
      <c r="D1678">
        <v>40.9791666666666</v>
      </c>
      <c r="E1678">
        <v>66.2326388888888</v>
      </c>
      <c r="F1678">
        <v>8.4572916666666593</v>
      </c>
      <c r="G1678">
        <v>2.1114583333333301</v>
      </c>
      <c r="H1678">
        <v>5.1611111111111097</v>
      </c>
      <c r="I1678">
        <v>0.77260416666666598</v>
      </c>
      <c r="J1678">
        <v>11.326041666666599</v>
      </c>
      <c r="K1678">
        <f t="shared" si="270"/>
        <v>68.298611111111001</v>
      </c>
      <c r="L1678">
        <f t="shared" si="271"/>
        <v>66.2326388888888</v>
      </c>
      <c r="M1678">
        <f t="shared" si="272"/>
        <v>10.571614583333325</v>
      </c>
      <c r="N1678">
        <f t="shared" si="273"/>
        <v>0.52786458333333253</v>
      </c>
      <c r="O1678">
        <f t="shared" si="274"/>
        <v>6.4513888888888875</v>
      </c>
      <c r="P1678">
        <f t="shared" si="275"/>
        <v>8.7795928030302957</v>
      </c>
      <c r="Q1678">
        <f t="shared" si="276"/>
        <v>10.487075617283889</v>
      </c>
      <c r="R1678">
        <f t="shared" si="277"/>
        <v>68.298611111111001</v>
      </c>
      <c r="S1678" t="str">
        <f t="shared" si="278"/>
        <v>Satisfactory</v>
      </c>
      <c r="T1678" t="str">
        <f t="shared" si="279"/>
        <v>PM2.5</v>
      </c>
      <c r="U1678">
        <v>24.393055555555499</v>
      </c>
      <c r="V1678">
        <v>88.2708333333333</v>
      </c>
    </row>
    <row r="1679" spans="1:22" x14ac:dyDescent="0.3">
      <c r="A1679" s="2" t="s">
        <v>15</v>
      </c>
      <c r="B1679">
        <v>560026</v>
      </c>
      <c r="C1679" s="4">
        <v>45230</v>
      </c>
      <c r="D1679">
        <v>71.4027777777777</v>
      </c>
      <c r="E1679">
        <v>119.517361111111</v>
      </c>
      <c r="F1679">
        <v>8.4451388888888896</v>
      </c>
      <c r="G1679">
        <v>2.15069444444444</v>
      </c>
      <c r="H1679">
        <v>5.2951388888888804</v>
      </c>
      <c r="I1679">
        <v>1.0446527777777701</v>
      </c>
      <c r="J1679">
        <v>11.4777777777777</v>
      </c>
      <c r="K1679">
        <f t="shared" si="270"/>
        <v>138.00925925925901</v>
      </c>
      <c r="L1679">
        <f t="shared" si="271"/>
        <v>113.01157407407401</v>
      </c>
      <c r="M1679">
        <f t="shared" si="272"/>
        <v>10.556423611111111</v>
      </c>
      <c r="N1679">
        <f t="shared" si="273"/>
        <v>0.53767361111111001</v>
      </c>
      <c r="O1679">
        <f t="shared" si="274"/>
        <v>6.6189236111111001</v>
      </c>
      <c r="P1679">
        <f t="shared" si="275"/>
        <v>11.871054292929205</v>
      </c>
      <c r="Q1679">
        <f t="shared" si="276"/>
        <v>10.627572016460833</v>
      </c>
      <c r="R1679">
        <f t="shared" si="277"/>
        <v>138.00925925925901</v>
      </c>
      <c r="S1679" t="str">
        <f t="shared" si="278"/>
        <v>Moderate</v>
      </c>
      <c r="T1679" t="str">
        <f t="shared" si="279"/>
        <v>PM2.5</v>
      </c>
      <c r="U1679">
        <v>24.6756944444444</v>
      </c>
      <c r="V1679">
        <v>88.2291666666666</v>
      </c>
    </row>
    <row r="1680" spans="1:22" x14ac:dyDescent="0.3">
      <c r="A1680" s="2" t="s">
        <v>15</v>
      </c>
      <c r="B1680">
        <v>560026</v>
      </c>
      <c r="C1680" s="4">
        <v>45231</v>
      </c>
      <c r="D1680">
        <v>57.875</v>
      </c>
      <c r="E1680">
        <v>104.722222222222</v>
      </c>
      <c r="F1680">
        <v>8.2708333333333304</v>
      </c>
      <c r="G1680">
        <v>2.1437499999999998</v>
      </c>
      <c r="H1680">
        <v>4.9614583333333302</v>
      </c>
      <c r="I1680">
        <v>1.00861111111111</v>
      </c>
      <c r="J1680">
        <v>11.4166666666666</v>
      </c>
      <c r="K1680">
        <f t="shared" si="270"/>
        <v>96.458333333333343</v>
      </c>
      <c r="L1680">
        <f t="shared" si="271"/>
        <v>103.148148148148</v>
      </c>
      <c r="M1680">
        <f t="shared" si="272"/>
        <v>10.338541666666663</v>
      </c>
      <c r="N1680">
        <f t="shared" si="273"/>
        <v>0.53593749999999996</v>
      </c>
      <c r="O1680">
        <f t="shared" si="274"/>
        <v>6.2018229166666625</v>
      </c>
      <c r="P1680">
        <f t="shared" si="275"/>
        <v>11.461489898989885</v>
      </c>
      <c r="Q1680">
        <f t="shared" si="276"/>
        <v>10.570987654320927</v>
      </c>
      <c r="R1680">
        <f t="shared" si="277"/>
        <v>103.148148148148</v>
      </c>
      <c r="S1680" t="str">
        <f t="shared" si="278"/>
        <v>Moderate</v>
      </c>
      <c r="T1680" t="str">
        <f t="shared" si="279"/>
        <v>PM10</v>
      </c>
      <c r="U1680">
        <v>25.365277777777699</v>
      </c>
      <c r="V1680">
        <v>88.09375</v>
      </c>
    </row>
    <row r="1681" spans="1:22" x14ac:dyDescent="0.3">
      <c r="A1681" s="2" t="s">
        <v>15</v>
      </c>
      <c r="B1681">
        <v>560026</v>
      </c>
      <c r="C1681" s="4">
        <v>45232</v>
      </c>
      <c r="D1681">
        <v>43.3784722222222</v>
      </c>
      <c r="E1681">
        <v>85.5520833333333</v>
      </c>
      <c r="F1681">
        <v>8.3635416666666593</v>
      </c>
      <c r="G1681">
        <v>2.1239583333333298</v>
      </c>
      <c r="H1681">
        <v>5.0704861111111104</v>
      </c>
      <c r="I1681">
        <v>1.0211458333333301</v>
      </c>
      <c r="J1681">
        <v>11.3375</v>
      </c>
      <c r="K1681">
        <f t="shared" si="270"/>
        <v>72.297453703703667</v>
      </c>
      <c r="L1681">
        <f t="shared" si="271"/>
        <v>85.5520833333333</v>
      </c>
      <c r="M1681">
        <f t="shared" si="272"/>
        <v>10.454427083333325</v>
      </c>
      <c r="N1681">
        <f t="shared" si="273"/>
        <v>0.53098958333333246</v>
      </c>
      <c r="O1681">
        <f t="shared" si="274"/>
        <v>6.3381076388888875</v>
      </c>
      <c r="P1681">
        <f t="shared" si="275"/>
        <v>11.603929924242387</v>
      </c>
      <c r="Q1681">
        <f t="shared" si="276"/>
        <v>10.497685185185185</v>
      </c>
      <c r="R1681">
        <f t="shared" si="277"/>
        <v>85.5520833333333</v>
      </c>
      <c r="S1681" t="str">
        <f t="shared" si="278"/>
        <v>Satisfactory</v>
      </c>
      <c r="T1681" t="str">
        <f t="shared" si="279"/>
        <v>PM10</v>
      </c>
      <c r="U1681">
        <v>25.4774305555555</v>
      </c>
      <c r="V1681">
        <v>88.0520833333333</v>
      </c>
    </row>
    <row r="1682" spans="1:22" x14ac:dyDescent="0.3">
      <c r="A1682" s="2" t="s">
        <v>15</v>
      </c>
      <c r="B1682">
        <v>560026</v>
      </c>
      <c r="C1682" s="4">
        <v>45233</v>
      </c>
      <c r="D1682">
        <v>28.9305555555555</v>
      </c>
      <c r="E1682">
        <v>60.0833333333333</v>
      </c>
      <c r="F1682">
        <v>8.6489583333333293</v>
      </c>
      <c r="G1682">
        <v>2.078125</v>
      </c>
      <c r="H1682">
        <v>4.7201388888888802</v>
      </c>
      <c r="I1682">
        <v>0.90635416666666602</v>
      </c>
      <c r="J1682">
        <v>11.44375</v>
      </c>
      <c r="K1682">
        <f t="shared" si="270"/>
        <v>48.217592592592503</v>
      </c>
      <c r="L1682">
        <f t="shared" si="271"/>
        <v>60.0833333333333</v>
      </c>
      <c r="M1682">
        <f t="shared" si="272"/>
        <v>10.811197916666661</v>
      </c>
      <c r="N1682">
        <f t="shared" si="273"/>
        <v>0.51953125</v>
      </c>
      <c r="O1682">
        <f t="shared" si="274"/>
        <v>5.9001736111111001</v>
      </c>
      <c r="P1682">
        <f t="shared" si="275"/>
        <v>10.299479166666659</v>
      </c>
      <c r="Q1682">
        <f t="shared" si="276"/>
        <v>10.596064814814815</v>
      </c>
      <c r="R1682">
        <f t="shared" si="277"/>
        <v>60.0833333333333</v>
      </c>
      <c r="S1682" t="str">
        <f t="shared" si="278"/>
        <v>Satisfactory</v>
      </c>
      <c r="T1682" t="str">
        <f t="shared" si="279"/>
        <v>PM10</v>
      </c>
      <c r="U1682">
        <v>25.895486111111101</v>
      </c>
      <c r="V1682">
        <v>88.0520833333333</v>
      </c>
    </row>
    <row r="1683" spans="1:22" x14ac:dyDescent="0.3">
      <c r="A1683" s="2" t="s">
        <v>15</v>
      </c>
      <c r="B1683">
        <v>560026</v>
      </c>
      <c r="C1683" s="4">
        <v>45234</v>
      </c>
      <c r="D1683">
        <v>34.778985507246297</v>
      </c>
      <c r="E1683">
        <v>56.760869565217298</v>
      </c>
      <c r="F1683">
        <v>8.5687499999999996</v>
      </c>
      <c r="G1683">
        <v>2.0375000000000001</v>
      </c>
      <c r="H1683">
        <v>5.3003472222222197</v>
      </c>
      <c r="I1683">
        <v>0.93812499999999999</v>
      </c>
      <c r="J1683">
        <v>11.424999999999899</v>
      </c>
      <c r="K1683">
        <f t="shared" si="270"/>
        <v>57.964975845410493</v>
      </c>
      <c r="L1683">
        <f t="shared" si="271"/>
        <v>56.760869565217298</v>
      </c>
      <c r="M1683">
        <f t="shared" si="272"/>
        <v>10.7109375</v>
      </c>
      <c r="N1683">
        <f t="shared" si="273"/>
        <v>0.50937500000000002</v>
      </c>
      <c r="O1683">
        <f t="shared" si="274"/>
        <v>6.6254340277777741</v>
      </c>
      <c r="P1683">
        <f t="shared" si="275"/>
        <v>10.660511363636363</v>
      </c>
      <c r="Q1683">
        <f t="shared" si="276"/>
        <v>10.57870370370361</v>
      </c>
      <c r="R1683">
        <f t="shared" si="277"/>
        <v>57.964975845410493</v>
      </c>
      <c r="S1683" t="str">
        <f t="shared" si="278"/>
        <v>Satisfactory</v>
      </c>
      <c r="T1683" t="str">
        <f t="shared" si="279"/>
        <v>PM2.5</v>
      </c>
      <c r="U1683">
        <v>24.75</v>
      </c>
      <c r="V1683">
        <v>88.1666666666666</v>
      </c>
    </row>
    <row r="1684" spans="1:22" x14ac:dyDescent="0.3">
      <c r="A1684" s="2" t="s">
        <v>15</v>
      </c>
      <c r="B1684">
        <v>560026</v>
      </c>
      <c r="C1684" s="4">
        <v>45235</v>
      </c>
      <c r="D1684">
        <v>21.5277777777777</v>
      </c>
      <c r="E1684">
        <v>40.3402777777777</v>
      </c>
      <c r="F1684">
        <v>8.4468750000000004</v>
      </c>
      <c r="G1684">
        <v>2.0604166666666601</v>
      </c>
      <c r="H1684">
        <v>4.7062499999999998</v>
      </c>
      <c r="I1684">
        <v>0.57843750000000005</v>
      </c>
      <c r="J1684">
        <v>11.393749999999899</v>
      </c>
      <c r="K1684">
        <f t="shared" si="270"/>
        <v>35.879629629629498</v>
      </c>
      <c r="L1684">
        <f t="shared" si="271"/>
        <v>40.3402777777777</v>
      </c>
      <c r="M1684">
        <f t="shared" si="272"/>
        <v>10.55859375</v>
      </c>
      <c r="N1684">
        <f t="shared" si="273"/>
        <v>0.51510416666666503</v>
      </c>
      <c r="O1684">
        <f t="shared" si="274"/>
        <v>5.8828125</v>
      </c>
      <c r="P1684">
        <f t="shared" si="275"/>
        <v>6.5731534090909092</v>
      </c>
      <c r="Q1684">
        <f t="shared" si="276"/>
        <v>10.549768518518425</v>
      </c>
      <c r="R1684">
        <f t="shared" si="277"/>
        <v>40.3402777777777</v>
      </c>
      <c r="S1684" t="str">
        <f t="shared" si="278"/>
        <v>Good</v>
      </c>
      <c r="T1684" t="str">
        <f t="shared" si="279"/>
        <v>PM10</v>
      </c>
      <c r="U1684">
        <v>25.2951388888888</v>
      </c>
      <c r="V1684">
        <v>87.8645833333333</v>
      </c>
    </row>
    <row r="1685" spans="1:22" x14ac:dyDescent="0.3">
      <c r="A1685" s="2" t="s">
        <v>15</v>
      </c>
      <c r="B1685">
        <v>560026</v>
      </c>
      <c r="C1685" s="4">
        <v>45236</v>
      </c>
      <c r="D1685">
        <v>33.523809523809497</v>
      </c>
      <c r="E1685">
        <v>64.492063492063494</v>
      </c>
      <c r="F1685">
        <v>8.2156249999999993</v>
      </c>
      <c r="G1685">
        <v>2.1354166666666599</v>
      </c>
      <c r="H1685">
        <v>5.58819444444444</v>
      </c>
      <c r="I1685">
        <v>1.0111458333333301</v>
      </c>
      <c r="J1685">
        <v>11.3760416666666</v>
      </c>
      <c r="K1685">
        <f t="shared" si="270"/>
        <v>55.873015873015831</v>
      </c>
      <c r="L1685">
        <f t="shared" si="271"/>
        <v>64.492063492063494</v>
      </c>
      <c r="M1685">
        <f t="shared" si="272"/>
        <v>10.269531249999998</v>
      </c>
      <c r="N1685">
        <f t="shared" si="273"/>
        <v>0.53385416666666496</v>
      </c>
      <c r="O1685">
        <f t="shared" si="274"/>
        <v>6.98524305555555</v>
      </c>
      <c r="P1685">
        <f t="shared" si="275"/>
        <v>11.490293560606023</v>
      </c>
      <c r="Q1685">
        <f t="shared" si="276"/>
        <v>10.533371913580185</v>
      </c>
      <c r="R1685">
        <f t="shared" si="277"/>
        <v>64.492063492063494</v>
      </c>
      <c r="S1685" t="str">
        <f t="shared" si="278"/>
        <v>Satisfactory</v>
      </c>
      <c r="T1685" t="str">
        <f t="shared" si="279"/>
        <v>PM10</v>
      </c>
      <c r="U1685">
        <v>24.6180555555555</v>
      </c>
      <c r="V1685">
        <v>87.8125</v>
      </c>
    </row>
    <row r="1686" spans="1:22" x14ac:dyDescent="0.3">
      <c r="A1686" s="2" t="s">
        <v>15</v>
      </c>
      <c r="B1686">
        <v>560026</v>
      </c>
      <c r="C1686" s="4">
        <v>45237</v>
      </c>
      <c r="D1686">
        <v>37.9583333333333</v>
      </c>
      <c r="E1686">
        <v>68.359649122806999</v>
      </c>
      <c r="F1686">
        <v>8.4302083333333293</v>
      </c>
      <c r="G1686">
        <v>2.0958333333333301</v>
      </c>
      <c r="H1686">
        <v>5.3166666666666602</v>
      </c>
      <c r="I1686">
        <v>1.3784375</v>
      </c>
      <c r="J1686">
        <v>12.654861111111099</v>
      </c>
      <c r="K1686">
        <f t="shared" si="270"/>
        <v>63.263888888888836</v>
      </c>
      <c r="L1686">
        <f t="shared" si="271"/>
        <v>68.359649122806999</v>
      </c>
      <c r="M1686">
        <f t="shared" si="272"/>
        <v>10.537760416666661</v>
      </c>
      <c r="N1686">
        <f t="shared" si="273"/>
        <v>0.52395833333333253</v>
      </c>
      <c r="O1686">
        <f t="shared" si="274"/>
        <v>6.6458333333333259</v>
      </c>
      <c r="P1686">
        <f t="shared" si="275"/>
        <v>15.6640625</v>
      </c>
      <c r="Q1686">
        <f t="shared" si="276"/>
        <v>11.717463991769536</v>
      </c>
      <c r="R1686">
        <f t="shared" si="277"/>
        <v>68.359649122806999</v>
      </c>
      <c r="S1686" t="str">
        <f t="shared" si="278"/>
        <v>Satisfactory</v>
      </c>
      <c r="T1686" t="str">
        <f t="shared" si="279"/>
        <v>PM10</v>
      </c>
      <c r="U1686">
        <v>22.796527777777701</v>
      </c>
      <c r="V1686">
        <v>88.0520833333333</v>
      </c>
    </row>
    <row r="1687" spans="1:22" x14ac:dyDescent="0.3">
      <c r="A1687" s="2" t="s">
        <v>15</v>
      </c>
      <c r="B1687">
        <v>560026</v>
      </c>
      <c r="C1687" s="4">
        <v>45238</v>
      </c>
      <c r="D1687">
        <v>29.0173611111111</v>
      </c>
      <c r="E1687">
        <v>61.0381944444444</v>
      </c>
      <c r="F1687">
        <v>8.5687499999999996</v>
      </c>
      <c r="G1687">
        <v>2.1656249999999999</v>
      </c>
      <c r="H1687">
        <v>4.8743055555555497</v>
      </c>
      <c r="I1687">
        <v>0.85604166666666603</v>
      </c>
      <c r="J1687">
        <v>11.2447916666666</v>
      </c>
      <c r="K1687">
        <f t="shared" si="270"/>
        <v>48.362268518518498</v>
      </c>
      <c r="L1687">
        <f t="shared" si="271"/>
        <v>61.0381944444444</v>
      </c>
      <c r="M1687">
        <f t="shared" si="272"/>
        <v>10.7109375</v>
      </c>
      <c r="N1687">
        <f t="shared" si="273"/>
        <v>0.54140624999999998</v>
      </c>
      <c r="O1687">
        <f t="shared" si="274"/>
        <v>6.0928819444444375</v>
      </c>
      <c r="P1687">
        <f t="shared" si="275"/>
        <v>9.7277462121212039</v>
      </c>
      <c r="Q1687">
        <f t="shared" si="276"/>
        <v>10.411844135802408</v>
      </c>
      <c r="R1687">
        <f t="shared" si="277"/>
        <v>61.0381944444444</v>
      </c>
      <c r="S1687" t="str">
        <f t="shared" si="278"/>
        <v>Satisfactory</v>
      </c>
      <c r="T1687" t="str">
        <f t="shared" si="279"/>
        <v>PM10</v>
      </c>
      <c r="U1687">
        <v>24.718402777777701</v>
      </c>
      <c r="V1687">
        <v>87.9270833333333</v>
      </c>
    </row>
    <row r="1688" spans="1:22" x14ac:dyDescent="0.3">
      <c r="A1688" s="2" t="s">
        <v>15</v>
      </c>
      <c r="B1688">
        <v>560026</v>
      </c>
      <c r="C1688" s="4">
        <v>45239</v>
      </c>
      <c r="D1688">
        <v>44.6631944444444</v>
      </c>
      <c r="E1688">
        <v>85.7847222222222</v>
      </c>
      <c r="F1688">
        <v>8.4593749999999996</v>
      </c>
      <c r="G1688">
        <v>2.0864583333333302</v>
      </c>
      <c r="H1688">
        <v>4.7815972222222198</v>
      </c>
      <c r="I1688">
        <v>1.0035416666666599</v>
      </c>
      <c r="J1688">
        <v>11.45</v>
      </c>
      <c r="K1688">
        <f t="shared" si="270"/>
        <v>74.438657407407334</v>
      </c>
      <c r="L1688">
        <f t="shared" si="271"/>
        <v>85.7847222222222</v>
      </c>
      <c r="M1688">
        <f t="shared" si="272"/>
        <v>10.57421875</v>
      </c>
      <c r="N1688">
        <f t="shared" si="273"/>
        <v>0.52161458333333255</v>
      </c>
      <c r="O1688">
        <f t="shared" si="274"/>
        <v>5.976996527777775</v>
      </c>
      <c r="P1688">
        <f t="shared" si="275"/>
        <v>11.403882575757498</v>
      </c>
      <c r="Q1688">
        <f t="shared" si="276"/>
        <v>10.601851851851851</v>
      </c>
      <c r="R1688">
        <f t="shared" si="277"/>
        <v>85.7847222222222</v>
      </c>
      <c r="S1688" t="str">
        <f t="shared" si="278"/>
        <v>Satisfactory</v>
      </c>
      <c r="T1688" t="str">
        <f t="shared" si="279"/>
        <v>PM10</v>
      </c>
      <c r="U1688">
        <v>24.327777777777701</v>
      </c>
      <c r="V1688">
        <v>88.3020833333333</v>
      </c>
    </row>
    <row r="1689" spans="1:22" x14ac:dyDescent="0.3">
      <c r="A1689" s="2" t="s">
        <v>15</v>
      </c>
      <c r="B1689">
        <v>560026</v>
      </c>
      <c r="C1689" s="4">
        <v>45240</v>
      </c>
      <c r="D1689">
        <v>53.2465277777777</v>
      </c>
      <c r="E1689">
        <v>100.388888888888</v>
      </c>
      <c r="F1689">
        <v>8.4343749999999993</v>
      </c>
      <c r="G1689">
        <v>2.1104166666666599</v>
      </c>
      <c r="H1689">
        <v>4.9486111111111102</v>
      </c>
      <c r="I1689">
        <v>0.99916666666666598</v>
      </c>
      <c r="J1689">
        <v>11.4760416666666</v>
      </c>
      <c r="K1689">
        <f t="shared" si="270"/>
        <v>88.744212962962834</v>
      </c>
      <c r="L1689">
        <f t="shared" si="271"/>
        <v>100.25925925925867</v>
      </c>
      <c r="M1689">
        <f t="shared" si="272"/>
        <v>10.542968749999998</v>
      </c>
      <c r="N1689">
        <f t="shared" si="273"/>
        <v>0.52760416666666499</v>
      </c>
      <c r="O1689">
        <f t="shared" si="274"/>
        <v>6.1857638888888875</v>
      </c>
      <c r="P1689">
        <f t="shared" si="275"/>
        <v>11.354166666666659</v>
      </c>
      <c r="Q1689">
        <f t="shared" si="276"/>
        <v>10.625964506172778</v>
      </c>
      <c r="R1689">
        <f t="shared" si="277"/>
        <v>100.25925925925867</v>
      </c>
      <c r="S1689" t="str">
        <f t="shared" si="278"/>
        <v>Moderate</v>
      </c>
      <c r="T1689" t="str">
        <f t="shared" si="279"/>
        <v>PM10</v>
      </c>
      <c r="U1689">
        <v>24.712847222222202</v>
      </c>
      <c r="V1689">
        <v>88.1979166666666</v>
      </c>
    </row>
    <row r="1690" spans="1:22" x14ac:dyDescent="0.3">
      <c r="A1690" s="2" t="s">
        <v>15</v>
      </c>
      <c r="B1690">
        <v>560026</v>
      </c>
      <c r="C1690" s="4">
        <v>45241</v>
      </c>
      <c r="D1690">
        <v>61.1354166666666</v>
      </c>
      <c r="E1690">
        <v>114.767361111111</v>
      </c>
      <c r="F1690">
        <v>8.35520833333333</v>
      </c>
      <c r="G1690">
        <v>2.0874999999999999</v>
      </c>
      <c r="H1690">
        <v>4.8763888888888802</v>
      </c>
      <c r="I1690">
        <v>1.03833333333333</v>
      </c>
      <c r="J1690">
        <v>11.513541666666599</v>
      </c>
      <c r="K1690">
        <f t="shared" si="270"/>
        <v>103.784722222222</v>
      </c>
      <c r="L1690">
        <f t="shared" si="271"/>
        <v>109.84490740740733</v>
      </c>
      <c r="M1690">
        <f t="shared" si="272"/>
        <v>10.444010416666663</v>
      </c>
      <c r="N1690">
        <f t="shared" si="273"/>
        <v>0.52187499999999998</v>
      </c>
      <c r="O1690">
        <f t="shared" si="274"/>
        <v>6.0954861111111001</v>
      </c>
      <c r="P1690">
        <f t="shared" si="275"/>
        <v>11.799242424242387</v>
      </c>
      <c r="Q1690">
        <f t="shared" si="276"/>
        <v>10.660686728395</v>
      </c>
      <c r="R1690">
        <f t="shared" si="277"/>
        <v>109.84490740740733</v>
      </c>
      <c r="S1690" t="str">
        <f t="shared" si="278"/>
        <v>Moderate</v>
      </c>
      <c r="T1690" t="str">
        <f t="shared" si="279"/>
        <v>PM10</v>
      </c>
      <c r="U1690">
        <v>25.010069444444401</v>
      </c>
      <c r="V1690">
        <v>88.09375</v>
      </c>
    </row>
    <row r="1691" spans="1:22" x14ac:dyDescent="0.3">
      <c r="A1691" s="2" t="s">
        <v>15</v>
      </c>
      <c r="B1691">
        <v>560026</v>
      </c>
      <c r="C1691" s="4">
        <v>45246</v>
      </c>
      <c r="D1691">
        <v>76.2395833333333</v>
      </c>
      <c r="E1691">
        <v>128.503472222222</v>
      </c>
      <c r="F1691">
        <v>8.5406250000000004</v>
      </c>
      <c r="G1691">
        <v>2.15</v>
      </c>
      <c r="H1691">
        <v>5.1628472222222204</v>
      </c>
      <c r="I1691">
        <v>1.2198958333333301</v>
      </c>
      <c r="J1691">
        <v>11.160416666666601</v>
      </c>
      <c r="K1691">
        <f t="shared" si="270"/>
        <v>154.13194444444434</v>
      </c>
      <c r="L1691">
        <f t="shared" si="271"/>
        <v>119.00231481481467</v>
      </c>
      <c r="M1691">
        <f t="shared" si="272"/>
        <v>10.67578125</v>
      </c>
      <c r="N1691">
        <f t="shared" si="273"/>
        <v>0.53749999999999998</v>
      </c>
      <c r="O1691">
        <f t="shared" si="274"/>
        <v>6.4535590277777759</v>
      </c>
      <c r="P1691">
        <f t="shared" si="275"/>
        <v>13.862452651515113</v>
      </c>
      <c r="Q1691">
        <f t="shared" si="276"/>
        <v>10.333719135802408</v>
      </c>
      <c r="R1691">
        <f t="shared" si="277"/>
        <v>154.13194444444434</v>
      </c>
      <c r="S1691" t="str">
        <f t="shared" si="278"/>
        <v>Moderate</v>
      </c>
      <c r="T1691" t="str">
        <f t="shared" si="279"/>
        <v>PM2.5</v>
      </c>
      <c r="U1691">
        <v>25.453472222222199</v>
      </c>
      <c r="V1691">
        <v>88.3125</v>
      </c>
    </row>
    <row r="1692" spans="1:22" x14ac:dyDescent="0.3">
      <c r="A1692" s="2" t="s">
        <v>15</v>
      </c>
      <c r="B1692">
        <v>560026</v>
      </c>
      <c r="C1692" s="4">
        <v>45247</v>
      </c>
      <c r="D1692">
        <v>69.0381944444444</v>
      </c>
      <c r="E1692">
        <v>117.548611111111</v>
      </c>
      <c r="F1692">
        <v>8.5208333333333304</v>
      </c>
      <c r="G1692">
        <v>2.0520833333333299</v>
      </c>
      <c r="H1692">
        <v>4.6892361111111098</v>
      </c>
      <c r="I1692">
        <v>1.0106249999999899</v>
      </c>
      <c r="J1692">
        <v>11.3333333333333</v>
      </c>
      <c r="K1692">
        <f t="shared" si="270"/>
        <v>130.12731481481467</v>
      </c>
      <c r="L1692">
        <f t="shared" si="271"/>
        <v>111.69907407407401</v>
      </c>
      <c r="M1692">
        <f t="shared" si="272"/>
        <v>10.651041666666663</v>
      </c>
      <c r="N1692">
        <f t="shared" si="273"/>
        <v>0.51302083333333248</v>
      </c>
      <c r="O1692">
        <f t="shared" si="274"/>
        <v>5.8615451388888875</v>
      </c>
      <c r="P1692">
        <f t="shared" si="275"/>
        <v>11.484374999999885</v>
      </c>
      <c r="Q1692">
        <f t="shared" si="276"/>
        <v>10.493827160493797</v>
      </c>
      <c r="R1692">
        <f t="shared" si="277"/>
        <v>130.12731481481467</v>
      </c>
      <c r="S1692" t="str">
        <f t="shared" si="278"/>
        <v>Moderate</v>
      </c>
      <c r="T1692" t="str">
        <f t="shared" si="279"/>
        <v>PM2.5</v>
      </c>
      <c r="U1692">
        <v>25.578819444444399</v>
      </c>
      <c r="V1692">
        <v>88.2083333333333</v>
      </c>
    </row>
    <row r="1693" spans="1:22" x14ac:dyDescent="0.3">
      <c r="A1693" s="2" t="s">
        <v>15</v>
      </c>
      <c r="B1693">
        <v>560026</v>
      </c>
      <c r="C1693" s="4">
        <v>45248</v>
      </c>
      <c r="D1693">
        <v>44.5625</v>
      </c>
      <c r="E1693">
        <v>87.2291666666666</v>
      </c>
      <c r="F1693">
        <v>8.5802083333333297</v>
      </c>
      <c r="G1693">
        <v>2.0760416666666601</v>
      </c>
      <c r="H1693">
        <v>4.3250000000000002</v>
      </c>
      <c r="I1693">
        <v>1.0743055555555501</v>
      </c>
      <c r="J1693">
        <v>10.9375</v>
      </c>
      <c r="K1693">
        <f t="shared" si="270"/>
        <v>74.270833333333329</v>
      </c>
      <c r="L1693">
        <f t="shared" si="271"/>
        <v>87.2291666666666</v>
      </c>
      <c r="M1693">
        <f t="shared" si="272"/>
        <v>10.725260416666661</v>
      </c>
      <c r="N1693">
        <f t="shared" si="273"/>
        <v>0.51901041666666503</v>
      </c>
      <c r="O1693">
        <f t="shared" si="274"/>
        <v>5.40625</v>
      </c>
      <c r="P1693">
        <f t="shared" si="275"/>
        <v>12.208017676767614</v>
      </c>
      <c r="Q1693">
        <f t="shared" si="276"/>
        <v>10.127314814814815</v>
      </c>
      <c r="R1693">
        <f t="shared" si="277"/>
        <v>87.2291666666666</v>
      </c>
      <c r="S1693" t="str">
        <f t="shared" si="278"/>
        <v>Satisfactory</v>
      </c>
      <c r="T1693" t="str">
        <f t="shared" si="279"/>
        <v>PM10</v>
      </c>
      <c r="U1693">
        <v>25.639236111111099</v>
      </c>
      <c r="V1693">
        <v>88.3020833333333</v>
      </c>
    </row>
    <row r="1694" spans="1:22" x14ac:dyDescent="0.3">
      <c r="A1694" s="2" t="s">
        <v>15</v>
      </c>
      <c r="B1694">
        <v>560026</v>
      </c>
      <c r="C1694" s="4">
        <v>45249</v>
      </c>
      <c r="D1694">
        <v>43.956521739130402</v>
      </c>
      <c r="E1694">
        <v>63.293650793650798</v>
      </c>
      <c r="F1694">
        <v>8.6614583333333304</v>
      </c>
      <c r="G1694">
        <v>2.0989583333333299</v>
      </c>
      <c r="H1694">
        <v>5.1944444444444402</v>
      </c>
      <c r="I1694">
        <v>0.6484375</v>
      </c>
      <c r="J1694">
        <v>11.070833333333301</v>
      </c>
      <c r="K1694">
        <f t="shared" si="270"/>
        <v>73.260869565217334</v>
      </c>
      <c r="L1694">
        <f t="shared" si="271"/>
        <v>63.293650793650798</v>
      </c>
      <c r="M1694">
        <f t="shared" si="272"/>
        <v>10.826822916666663</v>
      </c>
      <c r="N1694">
        <f t="shared" si="273"/>
        <v>0.52473958333333248</v>
      </c>
      <c r="O1694">
        <f t="shared" si="274"/>
        <v>6.49305555555555</v>
      </c>
      <c r="P1694">
        <f t="shared" si="275"/>
        <v>7.3686079545454541</v>
      </c>
      <c r="Q1694">
        <f t="shared" si="276"/>
        <v>10.250771604938242</v>
      </c>
      <c r="R1694">
        <f t="shared" si="277"/>
        <v>73.260869565217334</v>
      </c>
      <c r="S1694" t="str">
        <f t="shared" si="278"/>
        <v>Satisfactory</v>
      </c>
      <c r="T1694" t="str">
        <f t="shared" si="279"/>
        <v>PM2.5</v>
      </c>
      <c r="U1694">
        <v>24.856597222222199</v>
      </c>
      <c r="V1694">
        <v>88.4895833333333</v>
      </c>
    </row>
    <row r="1695" spans="1:22" x14ac:dyDescent="0.3">
      <c r="A1695" s="2" t="s">
        <v>15</v>
      </c>
      <c r="B1695">
        <v>560026</v>
      </c>
      <c r="C1695" s="4">
        <v>45250</v>
      </c>
      <c r="D1695">
        <v>47.6875</v>
      </c>
      <c r="E1695">
        <v>90.2083333333333</v>
      </c>
      <c r="F1695">
        <v>8.4968749999999993</v>
      </c>
      <c r="G1695">
        <v>2.0822916666666602</v>
      </c>
      <c r="H1695">
        <v>4.6697916666666597</v>
      </c>
      <c r="I1695">
        <v>1.0778125000000001</v>
      </c>
      <c r="J1695">
        <v>11.171875</v>
      </c>
      <c r="K1695">
        <f t="shared" si="270"/>
        <v>79.479166666666671</v>
      </c>
      <c r="L1695">
        <f t="shared" si="271"/>
        <v>90.2083333333333</v>
      </c>
      <c r="M1695">
        <f t="shared" si="272"/>
        <v>10.621093749999998</v>
      </c>
      <c r="N1695">
        <f t="shared" si="273"/>
        <v>0.52057291666666505</v>
      </c>
      <c r="O1695">
        <f t="shared" si="274"/>
        <v>5.8372395833333242</v>
      </c>
      <c r="P1695">
        <f t="shared" si="275"/>
        <v>12.247869318181818</v>
      </c>
      <c r="Q1695">
        <f t="shared" si="276"/>
        <v>10.344328703703704</v>
      </c>
      <c r="R1695">
        <f t="shared" si="277"/>
        <v>90.2083333333333</v>
      </c>
      <c r="S1695" t="str">
        <f t="shared" si="278"/>
        <v>Satisfactory</v>
      </c>
      <c r="T1695" t="str">
        <f t="shared" si="279"/>
        <v>PM10</v>
      </c>
      <c r="U1695">
        <v>24.4774305555555</v>
      </c>
      <c r="V1695">
        <v>88.625</v>
      </c>
    </row>
    <row r="1696" spans="1:22" x14ac:dyDescent="0.3">
      <c r="A1696" s="2" t="s">
        <v>15</v>
      </c>
      <c r="B1696">
        <v>560026</v>
      </c>
      <c r="C1696" s="4">
        <v>45251</v>
      </c>
      <c r="D1696">
        <v>40.7916666666666</v>
      </c>
      <c r="E1696">
        <v>87.7465277777777</v>
      </c>
      <c r="F1696">
        <v>8.6020833333333293</v>
      </c>
      <c r="G1696">
        <v>2.109375</v>
      </c>
      <c r="H1696">
        <v>5.28576388888888</v>
      </c>
      <c r="I1696">
        <v>1.1675</v>
      </c>
      <c r="J1696">
        <v>11.174999999999899</v>
      </c>
      <c r="K1696">
        <f t="shared" si="270"/>
        <v>67.986111111111001</v>
      </c>
      <c r="L1696">
        <f t="shared" si="271"/>
        <v>87.7465277777777</v>
      </c>
      <c r="M1696">
        <f t="shared" si="272"/>
        <v>10.752604166666661</v>
      </c>
      <c r="N1696">
        <f t="shared" si="273"/>
        <v>0.52734375</v>
      </c>
      <c r="O1696">
        <f t="shared" si="274"/>
        <v>6.6072048611111001</v>
      </c>
      <c r="P1696">
        <f t="shared" si="275"/>
        <v>13.267045454545453</v>
      </c>
      <c r="Q1696">
        <f t="shared" si="276"/>
        <v>10.347222222222129</v>
      </c>
      <c r="R1696">
        <f t="shared" si="277"/>
        <v>87.7465277777777</v>
      </c>
      <c r="S1696" t="str">
        <f t="shared" si="278"/>
        <v>Satisfactory</v>
      </c>
      <c r="T1696" t="str">
        <f t="shared" si="279"/>
        <v>PM10</v>
      </c>
      <c r="U1696">
        <v>24.192013888888798</v>
      </c>
      <c r="V1696">
        <v>88.5833333333333</v>
      </c>
    </row>
    <row r="1697" spans="1:22" x14ac:dyDescent="0.3">
      <c r="A1697" s="2" t="s">
        <v>15</v>
      </c>
      <c r="B1697">
        <v>560026</v>
      </c>
      <c r="C1697" s="4">
        <v>45252</v>
      </c>
      <c r="D1697">
        <v>32.3333333333333</v>
      </c>
      <c r="E1697">
        <v>75.5381944444444</v>
      </c>
      <c r="F1697">
        <v>8.55833333333333</v>
      </c>
      <c r="G1697">
        <v>2.1291666666666602</v>
      </c>
      <c r="H1697">
        <v>4.7631944444444398</v>
      </c>
      <c r="I1697">
        <v>1.1896875</v>
      </c>
      <c r="J1697">
        <v>9.6437499999999901</v>
      </c>
      <c r="K1697">
        <f t="shared" si="270"/>
        <v>53.888888888888836</v>
      </c>
      <c r="L1697">
        <f t="shared" si="271"/>
        <v>75.5381944444444</v>
      </c>
      <c r="M1697">
        <f t="shared" si="272"/>
        <v>10.697916666666663</v>
      </c>
      <c r="N1697">
        <f t="shared" si="273"/>
        <v>0.53229166666666505</v>
      </c>
      <c r="O1697">
        <f t="shared" si="274"/>
        <v>5.95399305555555</v>
      </c>
      <c r="P1697">
        <f t="shared" si="275"/>
        <v>13.519176136363637</v>
      </c>
      <c r="Q1697">
        <f t="shared" si="276"/>
        <v>8.9293981481481381</v>
      </c>
      <c r="R1697">
        <f t="shared" si="277"/>
        <v>75.5381944444444</v>
      </c>
      <c r="S1697" t="str">
        <f t="shared" si="278"/>
        <v>Satisfactory</v>
      </c>
      <c r="T1697" t="str">
        <f t="shared" si="279"/>
        <v>PM10</v>
      </c>
      <c r="U1697">
        <v>24.625694444444399</v>
      </c>
      <c r="V1697">
        <v>88.5104166666666</v>
      </c>
    </row>
    <row r="1698" spans="1:22" x14ac:dyDescent="0.3">
      <c r="A1698" s="2" t="s">
        <v>15</v>
      </c>
      <c r="B1698">
        <v>560026</v>
      </c>
      <c r="C1698" s="4">
        <v>45253</v>
      </c>
      <c r="D1698">
        <v>24.5416666666666</v>
      </c>
      <c r="E1698">
        <v>59.272727272727202</v>
      </c>
      <c r="F1698">
        <v>8.53125</v>
      </c>
      <c r="G1698">
        <v>2.09375</v>
      </c>
      <c r="H1698">
        <v>5.0687499999999996</v>
      </c>
      <c r="I1698">
        <v>0.76041666666666596</v>
      </c>
      <c r="J1698">
        <v>10.84375</v>
      </c>
      <c r="K1698">
        <f t="shared" si="270"/>
        <v>40.902777777777672</v>
      </c>
      <c r="L1698">
        <f t="shared" si="271"/>
        <v>59.272727272727202</v>
      </c>
      <c r="M1698">
        <f t="shared" si="272"/>
        <v>10.6640625</v>
      </c>
      <c r="N1698">
        <f t="shared" si="273"/>
        <v>0.5234375</v>
      </c>
      <c r="O1698">
        <f t="shared" si="274"/>
        <v>6.3359374999999991</v>
      </c>
      <c r="P1698">
        <f t="shared" si="275"/>
        <v>8.6410984848484773</v>
      </c>
      <c r="Q1698">
        <f t="shared" si="276"/>
        <v>10.04050925925926</v>
      </c>
      <c r="R1698">
        <f t="shared" si="277"/>
        <v>59.272727272727202</v>
      </c>
      <c r="S1698" t="str">
        <f t="shared" si="278"/>
        <v>Satisfactory</v>
      </c>
      <c r="T1698" t="str">
        <f t="shared" si="279"/>
        <v>PM10</v>
      </c>
      <c r="U1698">
        <v>24.051515151515101</v>
      </c>
      <c r="V1698">
        <v>88.5520833333333</v>
      </c>
    </row>
    <row r="1699" spans="1:22" x14ac:dyDescent="0.3">
      <c r="A1699" s="2" t="s">
        <v>15</v>
      </c>
      <c r="B1699">
        <v>560026</v>
      </c>
      <c r="C1699" s="4">
        <v>45254</v>
      </c>
      <c r="D1699">
        <v>27.90625</v>
      </c>
      <c r="E1699">
        <v>51.3854166666666</v>
      </c>
      <c r="F1699">
        <v>8.5250000000000004</v>
      </c>
      <c r="G1699">
        <v>2.10104166666666</v>
      </c>
      <c r="H1699">
        <v>4.6923611111111097</v>
      </c>
      <c r="I1699">
        <v>0.68541666666666601</v>
      </c>
      <c r="J1699">
        <v>11.111458333333299</v>
      </c>
      <c r="K1699">
        <f t="shared" si="270"/>
        <v>46.510416666666664</v>
      </c>
      <c r="L1699">
        <f t="shared" si="271"/>
        <v>51.3854166666666</v>
      </c>
      <c r="M1699">
        <f t="shared" si="272"/>
        <v>10.65625</v>
      </c>
      <c r="N1699">
        <f t="shared" si="273"/>
        <v>0.52526041666666501</v>
      </c>
      <c r="O1699">
        <f t="shared" si="274"/>
        <v>5.8654513888888875</v>
      </c>
      <c r="P1699">
        <f t="shared" si="275"/>
        <v>7.7888257575757498</v>
      </c>
      <c r="Q1699">
        <f t="shared" si="276"/>
        <v>10.288387345678981</v>
      </c>
      <c r="R1699">
        <f t="shared" si="277"/>
        <v>51.3854166666666</v>
      </c>
      <c r="S1699" t="str">
        <f t="shared" si="278"/>
        <v>Satisfactory</v>
      </c>
      <c r="T1699" t="str">
        <f t="shared" si="279"/>
        <v>PM10</v>
      </c>
      <c r="U1699">
        <v>24.172916666666602</v>
      </c>
      <c r="V1699">
        <v>88.6875</v>
      </c>
    </row>
    <row r="1700" spans="1:22" x14ac:dyDescent="0.3">
      <c r="A1700" s="2" t="s">
        <v>15</v>
      </c>
      <c r="B1700">
        <v>560026</v>
      </c>
      <c r="C1700" s="4">
        <v>45255</v>
      </c>
      <c r="D1700">
        <v>32.125</v>
      </c>
      <c r="E1700">
        <v>64.25</v>
      </c>
      <c r="F1700">
        <v>8.46041666666666</v>
      </c>
      <c r="G1700">
        <v>2.1489583333333302</v>
      </c>
      <c r="H1700">
        <v>4.8263888888888804</v>
      </c>
      <c r="I1700">
        <v>1.0745833333333299</v>
      </c>
      <c r="J1700">
        <v>11.342708333333301</v>
      </c>
      <c r="K1700">
        <f t="shared" si="270"/>
        <v>53.541666666666664</v>
      </c>
      <c r="L1700">
        <f t="shared" si="271"/>
        <v>64.25</v>
      </c>
      <c r="M1700">
        <f t="shared" si="272"/>
        <v>10.575520833333325</v>
      </c>
      <c r="N1700">
        <f t="shared" si="273"/>
        <v>0.53723958333333255</v>
      </c>
      <c r="O1700">
        <f t="shared" si="274"/>
        <v>6.0329861111111009</v>
      </c>
      <c r="P1700">
        <f t="shared" si="275"/>
        <v>12.211174242424203</v>
      </c>
      <c r="Q1700">
        <f t="shared" si="276"/>
        <v>10.502507716049353</v>
      </c>
      <c r="R1700">
        <f t="shared" si="277"/>
        <v>64.25</v>
      </c>
      <c r="S1700" t="str">
        <f t="shared" si="278"/>
        <v>Satisfactory</v>
      </c>
      <c r="T1700" t="str">
        <f t="shared" si="279"/>
        <v>PM10</v>
      </c>
      <c r="U1700">
        <v>23.2260416666666</v>
      </c>
      <c r="V1700">
        <v>88.9166666666666</v>
      </c>
    </row>
    <row r="1701" spans="1:22" x14ac:dyDescent="0.3">
      <c r="A1701" s="2" t="s">
        <v>15</v>
      </c>
      <c r="B1701">
        <v>560026</v>
      </c>
      <c r="C1701" s="4">
        <v>45256</v>
      </c>
      <c r="D1701">
        <v>42.34375</v>
      </c>
      <c r="E1701">
        <v>72.65625</v>
      </c>
      <c r="F1701">
        <v>8.5177083333333297</v>
      </c>
      <c r="G1701">
        <v>2.1583333333333301</v>
      </c>
      <c r="H1701">
        <v>4.7909722222222202</v>
      </c>
      <c r="I1701">
        <v>0.73177083333333304</v>
      </c>
      <c r="J1701">
        <v>10.607291666666599</v>
      </c>
      <c r="K1701">
        <f t="shared" si="270"/>
        <v>70.572916666666671</v>
      </c>
      <c r="L1701">
        <f t="shared" si="271"/>
        <v>72.65625</v>
      </c>
      <c r="M1701">
        <f t="shared" si="272"/>
        <v>10.647135416666661</v>
      </c>
      <c r="N1701">
        <f t="shared" si="273"/>
        <v>0.53958333333333253</v>
      </c>
      <c r="O1701">
        <f t="shared" si="274"/>
        <v>5.988715277777775</v>
      </c>
      <c r="P1701">
        <f t="shared" si="275"/>
        <v>8.3155776515151487</v>
      </c>
      <c r="Q1701">
        <f t="shared" si="276"/>
        <v>9.8215663580246293</v>
      </c>
      <c r="R1701">
        <f t="shared" si="277"/>
        <v>72.65625</v>
      </c>
      <c r="S1701" t="str">
        <f t="shared" si="278"/>
        <v>Satisfactory</v>
      </c>
      <c r="T1701" t="str">
        <f t="shared" si="279"/>
        <v>PM10</v>
      </c>
      <c r="U1701">
        <v>23.8645833333333</v>
      </c>
      <c r="V1701">
        <v>88.8333333333333</v>
      </c>
    </row>
    <row r="1702" spans="1:22" x14ac:dyDescent="0.3">
      <c r="A1702" s="2" t="s">
        <v>15</v>
      </c>
      <c r="B1702">
        <v>560026</v>
      </c>
      <c r="C1702" s="4">
        <v>45257</v>
      </c>
      <c r="D1702">
        <v>23.9375</v>
      </c>
      <c r="E1702">
        <v>48.4166666666666</v>
      </c>
      <c r="F1702">
        <v>8.6739583333333297</v>
      </c>
      <c r="G1702">
        <v>2.0760416666666601</v>
      </c>
      <c r="H1702">
        <v>5.3076388888888797</v>
      </c>
      <c r="I1702">
        <v>0.78437499999999905</v>
      </c>
      <c r="J1702">
        <v>10.59375</v>
      </c>
      <c r="K1702">
        <f t="shared" si="270"/>
        <v>39.895833333333336</v>
      </c>
      <c r="L1702">
        <f t="shared" si="271"/>
        <v>48.4166666666666</v>
      </c>
      <c r="M1702">
        <f t="shared" si="272"/>
        <v>10.842447916666661</v>
      </c>
      <c r="N1702">
        <f t="shared" si="273"/>
        <v>0.51901041666666503</v>
      </c>
      <c r="O1702">
        <f t="shared" si="274"/>
        <v>6.6345486111111001</v>
      </c>
      <c r="P1702">
        <f t="shared" si="275"/>
        <v>8.9133522727272609</v>
      </c>
      <c r="Q1702">
        <f t="shared" si="276"/>
        <v>9.8090277777777786</v>
      </c>
      <c r="R1702">
        <f t="shared" si="277"/>
        <v>48.4166666666666</v>
      </c>
      <c r="S1702" t="str">
        <f t="shared" si="278"/>
        <v>Good</v>
      </c>
      <c r="T1702" t="str">
        <f t="shared" si="279"/>
        <v>PM10</v>
      </c>
      <c r="U1702">
        <v>24.246874999999999</v>
      </c>
      <c r="V1702">
        <v>88.7291666666666</v>
      </c>
    </row>
    <row r="1703" spans="1:22" x14ac:dyDescent="0.3">
      <c r="A1703" s="2" t="s">
        <v>15</v>
      </c>
      <c r="B1703">
        <v>560026</v>
      </c>
      <c r="C1703" s="4">
        <v>45258</v>
      </c>
      <c r="D1703">
        <v>29.9930555555555</v>
      </c>
      <c r="E1703">
        <v>64.8645833333333</v>
      </c>
      <c r="F1703">
        <v>8.3687500000000004</v>
      </c>
      <c r="G1703">
        <v>2.0687500000000001</v>
      </c>
      <c r="H1703">
        <v>4.6253472222222198</v>
      </c>
      <c r="I1703">
        <v>0.91749999999999998</v>
      </c>
      <c r="J1703">
        <v>10.535416666666601</v>
      </c>
      <c r="K1703">
        <f t="shared" si="270"/>
        <v>49.988425925925839</v>
      </c>
      <c r="L1703">
        <f t="shared" si="271"/>
        <v>64.8645833333333</v>
      </c>
      <c r="M1703">
        <f t="shared" si="272"/>
        <v>10.4609375</v>
      </c>
      <c r="N1703">
        <f t="shared" si="273"/>
        <v>0.51718750000000002</v>
      </c>
      <c r="O1703">
        <f t="shared" si="274"/>
        <v>5.781684027777775</v>
      </c>
      <c r="P1703">
        <f t="shared" si="275"/>
        <v>10.426136363636363</v>
      </c>
      <c r="Q1703">
        <f t="shared" si="276"/>
        <v>9.7550154320987037</v>
      </c>
      <c r="R1703">
        <f t="shared" si="277"/>
        <v>64.8645833333333</v>
      </c>
      <c r="S1703" t="str">
        <f t="shared" si="278"/>
        <v>Satisfactory</v>
      </c>
      <c r="T1703" t="str">
        <f t="shared" si="279"/>
        <v>PM10</v>
      </c>
      <c r="U1703">
        <v>24.440625000000001</v>
      </c>
      <c r="V1703">
        <v>88.7083333333333</v>
      </c>
    </row>
    <row r="1704" spans="1:22" x14ac:dyDescent="0.3">
      <c r="A1704" s="2" t="s">
        <v>15</v>
      </c>
      <c r="B1704">
        <v>560026</v>
      </c>
      <c r="C1704" s="4">
        <v>45259</v>
      </c>
      <c r="D1704">
        <v>22.3958333333333</v>
      </c>
      <c r="E1704">
        <v>50.7291666666666</v>
      </c>
      <c r="F1704">
        <v>8.71458333333333</v>
      </c>
      <c r="G1704">
        <v>2.0187499999999998</v>
      </c>
      <c r="H1704">
        <v>4.4520833333333298</v>
      </c>
      <c r="I1704">
        <v>0.79954861111111097</v>
      </c>
      <c r="J1704">
        <v>10.909374999999899</v>
      </c>
      <c r="K1704">
        <f t="shared" si="270"/>
        <v>37.326388888888829</v>
      </c>
      <c r="L1704">
        <f t="shared" si="271"/>
        <v>50.7291666666666</v>
      </c>
      <c r="M1704">
        <f t="shared" si="272"/>
        <v>10.893229166666663</v>
      </c>
      <c r="N1704">
        <f t="shared" si="273"/>
        <v>0.50468749999999996</v>
      </c>
      <c r="O1704">
        <f t="shared" si="274"/>
        <v>5.5651041666666625</v>
      </c>
      <c r="P1704">
        <f t="shared" si="275"/>
        <v>9.0857796717171695</v>
      </c>
      <c r="Q1704">
        <f t="shared" si="276"/>
        <v>10.101273148148055</v>
      </c>
      <c r="R1704">
        <f t="shared" si="277"/>
        <v>50.7291666666666</v>
      </c>
      <c r="S1704" t="str">
        <f t="shared" si="278"/>
        <v>Satisfactory</v>
      </c>
      <c r="T1704" t="str">
        <f t="shared" si="279"/>
        <v>PM10</v>
      </c>
      <c r="U1704">
        <v>24.454166666666602</v>
      </c>
      <c r="V1704">
        <v>88.5520833333333</v>
      </c>
    </row>
    <row r="1705" spans="1:22" x14ac:dyDescent="0.3">
      <c r="A1705" s="2" t="s">
        <v>15</v>
      </c>
      <c r="B1705">
        <v>560026</v>
      </c>
      <c r="C1705" s="4">
        <v>45260</v>
      </c>
      <c r="D1705">
        <v>20.9673913043478</v>
      </c>
      <c r="E1705">
        <v>47.394927536231798</v>
      </c>
      <c r="F1705">
        <v>8.4472222222222193</v>
      </c>
      <c r="G1705">
        <v>2.0968749999999998</v>
      </c>
      <c r="H1705">
        <v>4.8534722222222202</v>
      </c>
      <c r="I1705">
        <v>0.78826388888888799</v>
      </c>
      <c r="J1705">
        <v>11.2295138888888</v>
      </c>
      <c r="K1705">
        <f t="shared" si="270"/>
        <v>34.945652173912997</v>
      </c>
      <c r="L1705">
        <f t="shared" si="271"/>
        <v>47.394927536231798</v>
      </c>
      <c r="M1705">
        <f t="shared" si="272"/>
        <v>10.559027777777775</v>
      </c>
      <c r="N1705">
        <f t="shared" si="273"/>
        <v>0.52421874999999996</v>
      </c>
      <c r="O1705">
        <f t="shared" si="274"/>
        <v>6.066840277777775</v>
      </c>
      <c r="P1705">
        <f t="shared" si="275"/>
        <v>8.9575441919191814</v>
      </c>
      <c r="Q1705">
        <f t="shared" si="276"/>
        <v>10.397698045267408</v>
      </c>
      <c r="R1705">
        <f t="shared" si="277"/>
        <v>47.394927536231798</v>
      </c>
      <c r="S1705" t="str">
        <f t="shared" si="278"/>
        <v>Good</v>
      </c>
      <c r="T1705" t="str">
        <f t="shared" si="279"/>
        <v>PM10</v>
      </c>
      <c r="U1705">
        <v>23.7934027777777</v>
      </c>
      <c r="V1705">
        <v>88.78125</v>
      </c>
    </row>
    <row r="1706" spans="1:22" x14ac:dyDescent="0.3">
      <c r="A1706" s="2" t="s">
        <v>15</v>
      </c>
      <c r="B1706">
        <v>560026</v>
      </c>
      <c r="C1706" s="4">
        <v>45261</v>
      </c>
      <c r="D1706">
        <v>27.7291666666666</v>
      </c>
      <c r="E1706">
        <v>72.09375</v>
      </c>
      <c r="F1706">
        <v>8.8364583333333293</v>
      </c>
      <c r="G1706">
        <v>2.0520833333333299</v>
      </c>
      <c r="H1706">
        <v>5.36666666666666</v>
      </c>
      <c r="I1706">
        <v>1.0572916666666601</v>
      </c>
      <c r="J1706">
        <v>11.164583333333301</v>
      </c>
      <c r="K1706">
        <f t="shared" si="270"/>
        <v>46.215277777777672</v>
      </c>
      <c r="L1706">
        <f t="shared" si="271"/>
        <v>72.09375</v>
      </c>
      <c r="M1706">
        <f t="shared" si="272"/>
        <v>11.045572916666661</v>
      </c>
      <c r="N1706">
        <f t="shared" si="273"/>
        <v>0.51302083333333248</v>
      </c>
      <c r="O1706">
        <f t="shared" si="274"/>
        <v>6.7083333333333259</v>
      </c>
      <c r="P1706">
        <f t="shared" si="275"/>
        <v>12.014678030302955</v>
      </c>
      <c r="Q1706">
        <f t="shared" si="276"/>
        <v>10.337577160493797</v>
      </c>
      <c r="R1706">
        <f t="shared" si="277"/>
        <v>72.09375</v>
      </c>
      <c r="S1706" t="str">
        <f t="shared" si="278"/>
        <v>Satisfactory</v>
      </c>
      <c r="T1706" t="str">
        <f t="shared" si="279"/>
        <v>PM10</v>
      </c>
      <c r="U1706">
        <v>23.818749999999898</v>
      </c>
      <c r="V1706">
        <v>88.96875</v>
      </c>
    </row>
    <row r="1707" spans="1:22" x14ac:dyDescent="0.3">
      <c r="A1707" s="2" t="s">
        <v>15</v>
      </c>
      <c r="B1707">
        <v>560026</v>
      </c>
      <c r="C1707" s="4">
        <v>45262</v>
      </c>
      <c r="D1707">
        <v>43.15625</v>
      </c>
      <c r="E1707">
        <v>96.3854166666666</v>
      </c>
      <c r="F1707">
        <v>8.5770833333333307</v>
      </c>
      <c r="G1707">
        <v>2.07395833333333</v>
      </c>
      <c r="H1707">
        <v>4.69479166666666</v>
      </c>
      <c r="I1707">
        <v>1.1717708333333301</v>
      </c>
      <c r="J1707">
        <v>11.048958333333299</v>
      </c>
      <c r="K1707">
        <f t="shared" si="270"/>
        <v>71.927083333333329</v>
      </c>
      <c r="L1707">
        <f t="shared" si="271"/>
        <v>96.3854166666666</v>
      </c>
      <c r="M1707">
        <f t="shared" si="272"/>
        <v>10.721354166666663</v>
      </c>
      <c r="N1707">
        <f t="shared" si="273"/>
        <v>0.5184895833333325</v>
      </c>
      <c r="O1707">
        <f t="shared" si="274"/>
        <v>5.868489583333325</v>
      </c>
      <c r="P1707">
        <f t="shared" si="275"/>
        <v>13.315577651515115</v>
      </c>
      <c r="Q1707">
        <f t="shared" si="276"/>
        <v>10.23051697530861</v>
      </c>
      <c r="R1707">
        <f t="shared" si="277"/>
        <v>96.3854166666666</v>
      </c>
      <c r="S1707" t="str">
        <f t="shared" si="278"/>
        <v>Satisfactory</v>
      </c>
      <c r="T1707" t="str">
        <f t="shared" si="279"/>
        <v>PM10</v>
      </c>
      <c r="U1707">
        <v>23.830208333333299</v>
      </c>
      <c r="V1707">
        <v>88.8229166666666</v>
      </c>
    </row>
    <row r="1708" spans="1:22" x14ac:dyDescent="0.3">
      <c r="A1708" s="2" t="s">
        <v>15</v>
      </c>
      <c r="B1708">
        <v>560026</v>
      </c>
      <c r="C1708" s="4">
        <v>45263</v>
      </c>
      <c r="D1708">
        <v>26.7604166666666</v>
      </c>
      <c r="E1708">
        <v>62.15625</v>
      </c>
      <c r="F1708">
        <v>8.6239583333333307</v>
      </c>
      <c r="G1708">
        <v>2.1114583333333301</v>
      </c>
      <c r="H1708">
        <v>4.9041666666666597</v>
      </c>
      <c r="I1708">
        <v>0.96885416666666602</v>
      </c>
      <c r="J1708">
        <v>11.2145833333333</v>
      </c>
      <c r="K1708">
        <f t="shared" si="270"/>
        <v>44.600694444444336</v>
      </c>
      <c r="L1708">
        <f t="shared" si="271"/>
        <v>62.15625</v>
      </c>
      <c r="M1708">
        <f t="shared" si="272"/>
        <v>10.779947916666663</v>
      </c>
      <c r="N1708">
        <f t="shared" si="273"/>
        <v>0.52786458333333253</v>
      </c>
      <c r="O1708">
        <f t="shared" si="274"/>
        <v>6.1302083333333242</v>
      </c>
      <c r="P1708">
        <f t="shared" si="275"/>
        <v>11.009706439393932</v>
      </c>
      <c r="Q1708">
        <f t="shared" si="276"/>
        <v>10.383873456790093</v>
      </c>
      <c r="R1708">
        <f t="shared" si="277"/>
        <v>62.15625</v>
      </c>
      <c r="S1708" t="str">
        <f t="shared" si="278"/>
        <v>Satisfactory</v>
      </c>
      <c r="T1708" t="str">
        <f t="shared" si="279"/>
        <v>PM10</v>
      </c>
      <c r="U1708">
        <v>23.013541666666601</v>
      </c>
      <c r="V1708">
        <v>89.0729166666666</v>
      </c>
    </row>
    <row r="1709" spans="1:22" x14ac:dyDescent="0.3">
      <c r="A1709" s="2" t="s">
        <v>15</v>
      </c>
      <c r="B1709">
        <v>560026</v>
      </c>
      <c r="C1709" s="4">
        <v>45264</v>
      </c>
      <c r="D1709">
        <v>33.375</v>
      </c>
      <c r="E1709">
        <v>74.7083333333333</v>
      </c>
      <c r="F1709">
        <v>8.60520833333333</v>
      </c>
      <c r="G1709">
        <v>2.10520833333333</v>
      </c>
      <c r="H1709">
        <v>4.8704861111111102</v>
      </c>
      <c r="I1709">
        <v>0.96583333333333299</v>
      </c>
      <c r="J1709">
        <v>11.2604166666666</v>
      </c>
      <c r="K1709">
        <f t="shared" si="270"/>
        <v>55.625</v>
      </c>
      <c r="L1709">
        <f t="shared" si="271"/>
        <v>74.7083333333333</v>
      </c>
      <c r="M1709">
        <f t="shared" si="272"/>
        <v>10.756510416666663</v>
      </c>
      <c r="N1709">
        <f t="shared" si="273"/>
        <v>0.5263020833333325</v>
      </c>
      <c r="O1709">
        <f t="shared" si="274"/>
        <v>6.0881076388888875</v>
      </c>
      <c r="P1709">
        <f t="shared" si="275"/>
        <v>10.975378787878784</v>
      </c>
      <c r="Q1709">
        <f t="shared" si="276"/>
        <v>10.426311728395</v>
      </c>
      <c r="R1709">
        <f t="shared" si="277"/>
        <v>74.7083333333333</v>
      </c>
      <c r="S1709" t="str">
        <f t="shared" si="278"/>
        <v>Satisfactory</v>
      </c>
      <c r="T1709" t="str">
        <f t="shared" si="279"/>
        <v>PM10</v>
      </c>
      <c r="U1709">
        <v>22.6510416666666</v>
      </c>
      <c r="V1709">
        <v>89.2395833333333</v>
      </c>
    </row>
    <row r="1710" spans="1:22" x14ac:dyDescent="0.3">
      <c r="A1710" s="2" t="s">
        <v>15</v>
      </c>
      <c r="B1710">
        <v>560026</v>
      </c>
      <c r="C1710" s="4">
        <v>45265</v>
      </c>
      <c r="D1710">
        <v>36.125</v>
      </c>
      <c r="E1710">
        <v>74.2604166666666</v>
      </c>
      <c r="F1710">
        <v>8.5499999999999901</v>
      </c>
      <c r="G1710">
        <v>2.07499999999999</v>
      </c>
      <c r="H1710">
        <v>4.5666666666666602</v>
      </c>
      <c r="I1710">
        <v>1.1168055555555501</v>
      </c>
      <c r="J1710">
        <v>10.8229166666666</v>
      </c>
      <c r="K1710">
        <f t="shared" si="270"/>
        <v>60.208333333333336</v>
      </c>
      <c r="L1710">
        <f t="shared" si="271"/>
        <v>74.2604166666666</v>
      </c>
      <c r="M1710">
        <f t="shared" si="272"/>
        <v>10.687499999999988</v>
      </c>
      <c r="N1710">
        <f t="shared" si="273"/>
        <v>0.51874999999999749</v>
      </c>
      <c r="O1710">
        <f t="shared" si="274"/>
        <v>5.708333333333325</v>
      </c>
      <c r="P1710">
        <f t="shared" si="275"/>
        <v>12.690972222222159</v>
      </c>
      <c r="Q1710">
        <f t="shared" si="276"/>
        <v>10.021219135802408</v>
      </c>
      <c r="R1710">
        <f t="shared" si="277"/>
        <v>74.2604166666666</v>
      </c>
      <c r="S1710" t="str">
        <f t="shared" si="278"/>
        <v>Satisfactory</v>
      </c>
      <c r="T1710" t="str">
        <f t="shared" si="279"/>
        <v>PM10</v>
      </c>
      <c r="U1710">
        <v>23.136458333333302</v>
      </c>
      <c r="V1710">
        <v>89.1145833333333</v>
      </c>
    </row>
    <row r="1711" spans="1:22" x14ac:dyDescent="0.3">
      <c r="A1711" s="2" t="s">
        <v>15</v>
      </c>
      <c r="B1711">
        <v>560026</v>
      </c>
      <c r="C1711" s="4">
        <v>45266</v>
      </c>
      <c r="D1711">
        <v>74.53125</v>
      </c>
      <c r="E1711">
        <v>137.1875</v>
      </c>
      <c r="F1711">
        <v>8.5041666666666593</v>
      </c>
      <c r="G1711">
        <v>2.0677083333333299</v>
      </c>
      <c r="H1711">
        <v>4.4243055555555504</v>
      </c>
      <c r="I1711">
        <v>1.8859722222222199</v>
      </c>
      <c r="J1711">
        <v>10.293749999999999</v>
      </c>
      <c r="K1711">
        <f t="shared" si="270"/>
        <v>148.4375</v>
      </c>
      <c r="L1711">
        <f t="shared" si="271"/>
        <v>124.79166666666667</v>
      </c>
      <c r="M1711">
        <f t="shared" si="272"/>
        <v>10.630208333333325</v>
      </c>
      <c r="N1711">
        <f t="shared" si="273"/>
        <v>0.51692708333333248</v>
      </c>
      <c r="O1711">
        <f t="shared" si="274"/>
        <v>5.5303819444444375</v>
      </c>
      <c r="P1711">
        <f t="shared" si="275"/>
        <v>21.431502525252498</v>
      </c>
      <c r="Q1711">
        <f t="shared" si="276"/>
        <v>9.53125</v>
      </c>
      <c r="R1711">
        <f t="shared" si="277"/>
        <v>148.4375</v>
      </c>
      <c r="S1711" t="str">
        <f t="shared" si="278"/>
        <v>Moderate</v>
      </c>
      <c r="T1711" t="str">
        <f t="shared" si="279"/>
        <v>PM2.5</v>
      </c>
      <c r="U1711">
        <v>25.448958333333302</v>
      </c>
      <c r="V1711">
        <v>88.46875</v>
      </c>
    </row>
    <row r="1712" spans="1:22" x14ac:dyDescent="0.3">
      <c r="A1712" s="2" t="s">
        <v>15</v>
      </c>
      <c r="B1712">
        <v>560026</v>
      </c>
      <c r="C1712" s="4">
        <v>45267</v>
      </c>
      <c r="D1712">
        <v>54.5208333333333</v>
      </c>
      <c r="E1712">
        <v>83.0520833333333</v>
      </c>
      <c r="F1712">
        <v>8.2947916666666597</v>
      </c>
      <c r="G1712">
        <v>2.0927083333333298</v>
      </c>
      <c r="H1712">
        <v>4.5486111111111098</v>
      </c>
      <c r="I1712">
        <v>0.76569444444444401</v>
      </c>
      <c r="J1712">
        <v>10.670833333333301</v>
      </c>
      <c r="K1712">
        <f t="shared" si="270"/>
        <v>90.8680555555555</v>
      </c>
      <c r="L1712">
        <f t="shared" si="271"/>
        <v>83.0520833333333</v>
      </c>
      <c r="M1712">
        <f t="shared" si="272"/>
        <v>10.368489583333325</v>
      </c>
      <c r="N1712">
        <f t="shared" si="273"/>
        <v>0.52317708333333246</v>
      </c>
      <c r="O1712">
        <f t="shared" si="274"/>
        <v>5.6857638888888875</v>
      </c>
      <c r="P1712">
        <f t="shared" si="275"/>
        <v>8.7010732323232265</v>
      </c>
      <c r="Q1712">
        <f t="shared" si="276"/>
        <v>9.8804012345678718</v>
      </c>
      <c r="R1712">
        <f t="shared" si="277"/>
        <v>90.8680555555555</v>
      </c>
      <c r="S1712" t="str">
        <f t="shared" si="278"/>
        <v>Satisfactory</v>
      </c>
      <c r="T1712" t="str">
        <f t="shared" si="279"/>
        <v>PM2.5</v>
      </c>
      <c r="U1712">
        <v>25.584374999999898</v>
      </c>
      <c r="V1712">
        <v>88.3958333333333</v>
      </c>
    </row>
    <row r="1713" spans="1:22" x14ac:dyDescent="0.3">
      <c r="A1713" s="2" t="s">
        <v>15</v>
      </c>
      <c r="B1713">
        <v>560026</v>
      </c>
      <c r="C1713" s="4">
        <v>45268</v>
      </c>
      <c r="D1713">
        <v>56.7708333333333</v>
      </c>
      <c r="E1713">
        <v>91.7083333333333</v>
      </c>
      <c r="F1713">
        <v>8.5927083333333307</v>
      </c>
      <c r="G1713">
        <v>2.0968749999999998</v>
      </c>
      <c r="H1713">
        <v>4.8125</v>
      </c>
      <c r="I1713">
        <v>0.8778125</v>
      </c>
      <c r="J1713">
        <v>10.7</v>
      </c>
      <c r="K1713">
        <f t="shared" si="270"/>
        <v>94.6180555555555</v>
      </c>
      <c r="L1713">
        <f t="shared" si="271"/>
        <v>91.7083333333333</v>
      </c>
      <c r="M1713">
        <f t="shared" si="272"/>
        <v>10.740885416666663</v>
      </c>
      <c r="N1713">
        <f t="shared" si="273"/>
        <v>0.52421874999999996</v>
      </c>
      <c r="O1713">
        <f t="shared" si="274"/>
        <v>6.015625</v>
      </c>
      <c r="P1713">
        <f t="shared" si="275"/>
        <v>9.975142045454545</v>
      </c>
      <c r="Q1713">
        <f t="shared" si="276"/>
        <v>9.9074074074074066</v>
      </c>
      <c r="R1713">
        <f t="shared" si="277"/>
        <v>94.6180555555555</v>
      </c>
      <c r="S1713" t="str">
        <f t="shared" si="278"/>
        <v>Satisfactory</v>
      </c>
      <c r="T1713" t="str">
        <f t="shared" si="279"/>
        <v>PM2.5</v>
      </c>
      <c r="U1713">
        <v>24.925000000000001</v>
      </c>
      <c r="V1713">
        <v>88.5208333333333</v>
      </c>
    </row>
    <row r="1714" spans="1:22" x14ac:dyDescent="0.3">
      <c r="A1714" s="2" t="s">
        <v>15</v>
      </c>
      <c r="B1714">
        <v>560026</v>
      </c>
      <c r="C1714" s="4">
        <v>45269</v>
      </c>
      <c r="D1714">
        <v>45.75</v>
      </c>
      <c r="E1714">
        <v>86.78125</v>
      </c>
      <c r="F1714">
        <v>8.52708333333333</v>
      </c>
      <c r="G1714">
        <v>2.078125</v>
      </c>
      <c r="H1714">
        <v>4.97743055555555</v>
      </c>
      <c r="I1714">
        <v>0.99850694444444399</v>
      </c>
      <c r="J1714">
        <v>11.169791666666599</v>
      </c>
      <c r="K1714">
        <f t="shared" si="270"/>
        <v>76.25</v>
      </c>
      <c r="L1714">
        <f t="shared" si="271"/>
        <v>86.78125</v>
      </c>
      <c r="M1714">
        <f t="shared" si="272"/>
        <v>10.658854166666663</v>
      </c>
      <c r="N1714">
        <f t="shared" si="273"/>
        <v>0.51953125</v>
      </c>
      <c r="O1714">
        <f t="shared" si="274"/>
        <v>6.2217881944444375</v>
      </c>
      <c r="P1714">
        <f t="shared" si="275"/>
        <v>11.346669823232318</v>
      </c>
      <c r="Q1714">
        <f t="shared" si="276"/>
        <v>10.342399691357963</v>
      </c>
      <c r="R1714">
        <f t="shared" si="277"/>
        <v>86.78125</v>
      </c>
      <c r="S1714" t="str">
        <f t="shared" si="278"/>
        <v>Satisfactory</v>
      </c>
      <c r="T1714" t="str">
        <f t="shared" si="279"/>
        <v>PM10</v>
      </c>
      <c r="U1714">
        <v>24.830208333333299</v>
      </c>
      <c r="V1714">
        <v>88.5416666666666</v>
      </c>
    </row>
    <row r="1715" spans="1:22" x14ac:dyDescent="0.3">
      <c r="A1715" s="2" t="s">
        <v>15</v>
      </c>
      <c r="B1715">
        <v>560026</v>
      </c>
      <c r="C1715" s="4">
        <v>45270</v>
      </c>
      <c r="D1715">
        <v>54.891304347826001</v>
      </c>
      <c r="E1715">
        <v>80.826086956521706</v>
      </c>
      <c r="F1715">
        <v>8.61666666666666</v>
      </c>
      <c r="G1715">
        <v>2.0791666666666599</v>
      </c>
      <c r="H1715">
        <v>4.3774305555555504</v>
      </c>
      <c r="I1715">
        <v>0.75236111111111104</v>
      </c>
      <c r="J1715">
        <v>11.159374999999899</v>
      </c>
      <c r="K1715">
        <f t="shared" si="270"/>
        <v>91.48550724637667</v>
      </c>
      <c r="L1715">
        <f t="shared" si="271"/>
        <v>80.826086956521706</v>
      </c>
      <c r="M1715">
        <f t="shared" si="272"/>
        <v>10.770833333333325</v>
      </c>
      <c r="N1715">
        <f t="shared" si="273"/>
        <v>0.51979166666666499</v>
      </c>
      <c r="O1715">
        <f t="shared" si="274"/>
        <v>5.4717881944444375</v>
      </c>
      <c r="P1715">
        <f t="shared" si="275"/>
        <v>8.5495580808080796</v>
      </c>
      <c r="Q1715">
        <f t="shared" si="276"/>
        <v>10.332754629629537</v>
      </c>
      <c r="R1715">
        <f t="shared" si="277"/>
        <v>91.48550724637667</v>
      </c>
      <c r="S1715" t="str">
        <f t="shared" si="278"/>
        <v>Satisfactory</v>
      </c>
      <c r="T1715" t="str">
        <f t="shared" si="279"/>
        <v>PM2.5</v>
      </c>
      <c r="U1715">
        <v>24.551041666666599</v>
      </c>
      <c r="V1715">
        <v>88.7291666666666</v>
      </c>
    </row>
    <row r="1716" spans="1:22" x14ac:dyDescent="0.3">
      <c r="A1716" s="2" t="s">
        <v>15</v>
      </c>
      <c r="B1716">
        <v>560026</v>
      </c>
      <c r="C1716" s="4">
        <v>45271</v>
      </c>
      <c r="D1716">
        <v>51.0208333333333</v>
      </c>
      <c r="E1716">
        <v>94.2604166666666</v>
      </c>
      <c r="F1716">
        <v>8.5281249999999993</v>
      </c>
      <c r="G1716">
        <v>2.08958333333333</v>
      </c>
      <c r="H1716">
        <v>4.8930555555555504</v>
      </c>
      <c r="I1716">
        <v>1.0058680555555499</v>
      </c>
      <c r="J1716">
        <v>10.984375</v>
      </c>
      <c r="K1716">
        <f t="shared" si="270"/>
        <v>85.034722222222172</v>
      </c>
      <c r="L1716">
        <f t="shared" si="271"/>
        <v>94.2604166666666</v>
      </c>
      <c r="M1716">
        <f t="shared" si="272"/>
        <v>10.660156249999998</v>
      </c>
      <c r="N1716">
        <f t="shared" si="273"/>
        <v>0.5223958333333325</v>
      </c>
      <c r="O1716">
        <f t="shared" si="274"/>
        <v>6.1163194444444375</v>
      </c>
      <c r="P1716">
        <f t="shared" si="275"/>
        <v>11.430318813131249</v>
      </c>
      <c r="Q1716">
        <f t="shared" si="276"/>
        <v>10.170717592592593</v>
      </c>
      <c r="R1716">
        <f t="shared" si="277"/>
        <v>94.2604166666666</v>
      </c>
      <c r="S1716" t="str">
        <f t="shared" si="278"/>
        <v>Satisfactory</v>
      </c>
      <c r="T1716" t="str">
        <f t="shared" si="279"/>
        <v>PM10</v>
      </c>
      <c r="U1716">
        <v>24.7104166666666</v>
      </c>
      <c r="V1716">
        <v>88.71875</v>
      </c>
    </row>
    <row r="1717" spans="1:22" x14ac:dyDescent="0.3">
      <c r="A1717" s="2" t="s">
        <v>15</v>
      </c>
      <c r="B1717">
        <v>560026</v>
      </c>
      <c r="C1717" s="4">
        <v>45272</v>
      </c>
      <c r="D1717">
        <v>66.84375</v>
      </c>
      <c r="E1717">
        <v>119.114583333333</v>
      </c>
      <c r="F1717">
        <v>8.5437499999999993</v>
      </c>
      <c r="G1717">
        <v>2.1541666666666601</v>
      </c>
      <c r="H1717">
        <v>4.8163194444444404</v>
      </c>
      <c r="I1717">
        <v>1.09361111111111</v>
      </c>
      <c r="J1717">
        <v>10.8958333333333</v>
      </c>
      <c r="K1717">
        <f t="shared" si="270"/>
        <v>122.8125</v>
      </c>
      <c r="L1717">
        <f t="shared" si="271"/>
        <v>112.74305555555533</v>
      </c>
      <c r="M1717">
        <f t="shared" si="272"/>
        <v>10.679687499999998</v>
      </c>
      <c r="N1717">
        <f t="shared" si="273"/>
        <v>0.53854166666666503</v>
      </c>
      <c r="O1717">
        <f t="shared" si="274"/>
        <v>6.0203993055555509</v>
      </c>
      <c r="P1717">
        <f t="shared" si="275"/>
        <v>12.427398989898977</v>
      </c>
      <c r="Q1717">
        <f t="shared" si="276"/>
        <v>10.088734567901204</v>
      </c>
      <c r="R1717">
        <f t="shared" si="277"/>
        <v>122.8125</v>
      </c>
      <c r="S1717" t="str">
        <f t="shared" si="278"/>
        <v>Moderate</v>
      </c>
      <c r="T1717" t="str">
        <f t="shared" si="279"/>
        <v>PM2.5</v>
      </c>
      <c r="U1717">
        <v>23.846875000000001</v>
      </c>
      <c r="V1717">
        <v>89.0208333333333</v>
      </c>
    </row>
    <row r="1718" spans="1:22" x14ac:dyDescent="0.3">
      <c r="A1718" s="2" t="s">
        <v>15</v>
      </c>
      <c r="B1718">
        <v>560026</v>
      </c>
      <c r="C1718" s="4">
        <v>45273</v>
      </c>
      <c r="D1718">
        <v>66.9444444444444</v>
      </c>
      <c r="E1718">
        <v>117.677083333333</v>
      </c>
      <c r="F1718">
        <v>8.8312499999999901</v>
      </c>
      <c r="G1718">
        <v>2.0249999999999999</v>
      </c>
      <c r="H1718">
        <v>5.7749999999999897</v>
      </c>
      <c r="I1718">
        <v>1.0948958333333301</v>
      </c>
      <c r="J1718">
        <v>10.959375</v>
      </c>
      <c r="K1718">
        <f t="shared" si="270"/>
        <v>123.148148148148</v>
      </c>
      <c r="L1718">
        <f t="shared" si="271"/>
        <v>111.784722222222</v>
      </c>
      <c r="M1718">
        <f t="shared" si="272"/>
        <v>11.039062499999988</v>
      </c>
      <c r="N1718">
        <f t="shared" si="273"/>
        <v>0.50624999999999998</v>
      </c>
      <c r="O1718">
        <f t="shared" si="274"/>
        <v>7.2187499999999876</v>
      </c>
      <c r="P1718">
        <f t="shared" si="275"/>
        <v>12.441998106060568</v>
      </c>
      <c r="Q1718">
        <f t="shared" si="276"/>
        <v>10.147569444444445</v>
      </c>
      <c r="R1718">
        <f t="shared" si="277"/>
        <v>123.148148148148</v>
      </c>
      <c r="S1718" t="str">
        <f t="shared" si="278"/>
        <v>Moderate</v>
      </c>
      <c r="T1718" t="str">
        <f t="shared" si="279"/>
        <v>PM2.5</v>
      </c>
      <c r="U1718">
        <v>23.138541666666601</v>
      </c>
      <c r="V1718">
        <v>89</v>
      </c>
    </row>
    <row r="1719" spans="1:22" x14ac:dyDescent="0.3">
      <c r="A1719" s="2" t="s">
        <v>15</v>
      </c>
      <c r="B1719">
        <v>560026</v>
      </c>
      <c r="C1719" s="4">
        <v>45274</v>
      </c>
      <c r="D1719">
        <v>65.6145833333333</v>
      </c>
      <c r="E1719">
        <v>102.125</v>
      </c>
      <c r="F1719">
        <v>8.53125</v>
      </c>
      <c r="G1719">
        <v>2.109375</v>
      </c>
      <c r="H1719">
        <v>5.1381944444444398</v>
      </c>
      <c r="I1719">
        <v>0.87895833333333295</v>
      </c>
      <c r="J1719">
        <v>10.8510416666666</v>
      </c>
      <c r="K1719">
        <f t="shared" si="270"/>
        <v>118.71527777777767</v>
      </c>
      <c r="L1719">
        <f t="shared" si="271"/>
        <v>101.41666666666667</v>
      </c>
      <c r="M1719">
        <f t="shared" si="272"/>
        <v>10.6640625</v>
      </c>
      <c r="N1719">
        <f t="shared" si="273"/>
        <v>0.52734375</v>
      </c>
      <c r="O1719">
        <f t="shared" si="274"/>
        <v>6.42274305555555</v>
      </c>
      <c r="P1719">
        <f t="shared" si="275"/>
        <v>9.9881628787878736</v>
      </c>
      <c r="Q1719">
        <f t="shared" si="276"/>
        <v>10.047260802469074</v>
      </c>
      <c r="R1719">
        <f t="shared" si="277"/>
        <v>118.71527777777767</v>
      </c>
      <c r="S1719" t="str">
        <f t="shared" si="278"/>
        <v>Moderate</v>
      </c>
      <c r="T1719" t="str">
        <f t="shared" si="279"/>
        <v>PM2.5</v>
      </c>
      <c r="U1719">
        <v>22.613541666666599</v>
      </c>
      <c r="V1719">
        <v>89.0416666666666</v>
      </c>
    </row>
    <row r="1720" spans="1:22" x14ac:dyDescent="0.3">
      <c r="A1720" s="2" t="s">
        <v>15</v>
      </c>
      <c r="B1720">
        <v>560026</v>
      </c>
      <c r="C1720" s="4">
        <v>45275</v>
      </c>
      <c r="D1720">
        <v>63.3125</v>
      </c>
      <c r="E1720">
        <v>130.385416666666</v>
      </c>
      <c r="F1720">
        <v>8.5135416666666597</v>
      </c>
      <c r="G1720">
        <v>2.0656249999999998</v>
      </c>
      <c r="H1720">
        <v>5.7086805555555502</v>
      </c>
      <c r="I1720">
        <v>1.00291666666666</v>
      </c>
      <c r="J1720">
        <v>10.945833333333301</v>
      </c>
      <c r="K1720">
        <f t="shared" si="270"/>
        <v>111.04166666666667</v>
      </c>
      <c r="L1720">
        <f t="shared" si="271"/>
        <v>120.256944444444</v>
      </c>
      <c r="M1720">
        <f t="shared" si="272"/>
        <v>10.641927083333325</v>
      </c>
      <c r="N1720">
        <f t="shared" si="273"/>
        <v>0.51640624999999996</v>
      </c>
      <c r="O1720">
        <f t="shared" si="274"/>
        <v>7.1358506944444375</v>
      </c>
      <c r="P1720">
        <f t="shared" si="275"/>
        <v>11.396780303030226</v>
      </c>
      <c r="Q1720">
        <f t="shared" si="276"/>
        <v>10.135030864197502</v>
      </c>
      <c r="R1720">
        <f t="shared" si="277"/>
        <v>120.256944444444</v>
      </c>
      <c r="S1720" t="str">
        <f t="shared" si="278"/>
        <v>Moderate</v>
      </c>
      <c r="T1720" t="str">
        <f t="shared" si="279"/>
        <v>PM10</v>
      </c>
      <c r="U1720">
        <v>22.3979166666666</v>
      </c>
      <c r="V1720">
        <v>89.0520833333333</v>
      </c>
    </row>
    <row r="1721" spans="1:22" x14ac:dyDescent="0.3">
      <c r="A1721" s="2" t="s">
        <v>15</v>
      </c>
      <c r="B1721">
        <v>560026</v>
      </c>
      <c r="C1721" s="4">
        <v>45276</v>
      </c>
      <c r="D1721">
        <v>36.6458333333333</v>
      </c>
      <c r="E1721">
        <v>71.3229166666666</v>
      </c>
      <c r="F1721">
        <v>8.60104166666666</v>
      </c>
      <c r="G1721">
        <v>2.1395833333333298</v>
      </c>
      <c r="H1721">
        <v>5.2993055555555504</v>
      </c>
      <c r="I1721">
        <v>1.12864583333333</v>
      </c>
      <c r="J1721">
        <v>11.060416666666599</v>
      </c>
      <c r="K1721">
        <f t="shared" ref="K1721:K1734" si="280">IF(ISTEXT(D1721),0,IF(D1721&lt;=30,D1721*50/30,IF(AND(D1721&gt;30,D1721&lt;=60),50+(D1721-30)*50/30,IF(AND(D1721&gt;60,D1721&lt;=90),100+(D1721-60)*100/30,IF(AND(D1721&gt;90,D1721&lt;=120),200+(D1721-90)*(100/30),IF(AND(D1721&gt;120,D1721&lt;=250),300+(D1721-120)*(100/130),IF(D1721&gt;250,400+(D1721-250)*(100/130))))))))</f>
        <v>61.076388888888836</v>
      </c>
      <c r="L1721">
        <f t="shared" ref="L1721:L1734" si="281">IF(ISTEXT(E1721),0,IF(E1721&lt;=50,E1721,IF(AND(E1721&gt;50,E1721&lt;=100),E1721,IF(AND(E1721&gt;100,E1721&lt;=250),100+(E1721-100)*100/150,IF(AND(E1721&gt;250,E1721&lt;=350),200+(E1721-250),IF(AND(E1721&gt;350,E1721&lt;=430),300+(E1721-350)*(100/80),IF(E1721&gt;430,400+(E1721-430)*(100/80))))))))</f>
        <v>71.3229166666666</v>
      </c>
      <c r="M1721">
        <f t="shared" ref="M1721:M1734" si="282">IF(ISTEXT(F1721),0,IF(F1721&lt;=40,F1721*50/40,IF(AND(F1721&gt;40,F1721&lt;=80),50+(F1721-40)*50/40,IF(AND(F1721&gt;80,F1721&lt;=180),100+(F1721-80)*100/100,IF(AND(F1721&gt;180,F1721&lt;=280),200+(F1721-180)*(100/100),IF(AND(F1721&gt;280,F1721&lt;=400),300+(F1721-280)*(100/120),IF(F1721&gt;400,400+(F1721-400)*(100/120))))))))</f>
        <v>10.751302083333325</v>
      </c>
      <c r="N1721">
        <f t="shared" ref="N1721:N1734" si="283">IF(ISTEXT(G1721),0,IF(G1721&lt;=200,G1721*50/200,IF(AND(G1721&gt;200,G1721&lt;=400),50+(G1721-200)*50/200,IF(AND(G1721&gt;400,G1721&lt;=800),100+(G1721-400)*100/400,IF(AND(G1721&gt;800,G1721&lt;=1200),200+(G1721-800)*(100/400),IF(AND(G1721&gt;1200,G1721&lt;=1800),300+(G1721-1200)*(100/600),IF(G1721&gt;1800,400+(G1721-1800)*(100/600))))))))</f>
        <v>0.53489583333333246</v>
      </c>
      <c r="O1721">
        <f t="shared" ref="O1721:O1734" si="284">IF(ISTEXT(H1721),0,IF(H1721&lt;=40,H1721*50/40,IF(AND(H1721&gt;40,H1721&lt;=80),50+(H1721-40)*50/40,IF(AND(H1721&gt;80,H1721&lt;=380),100+(H1721-80)*100/300,IF(AND(H1721&gt;380,H1721&lt;=800),200+(H1721-380)*(100/420),IF(AND(H1721&gt;800,H1721&lt;=1600),300+(H1721-800)*(100/800),IF(H1721&gt;1600,400+(H1721-1600)*(100/800))))))))</f>
        <v>6.6241319444444384</v>
      </c>
      <c r="P1721">
        <f t="shared" ref="P1721:P1734" si="285">IF(I1721&lt;=4.4,(50-0)/(4.4-0)*(I1721-0)+0,
IF(I1721&lt;=9.4,(100-51)/(9.4-4.5)*(I1721-4.5)+51,
IF(I1721&lt;=12.4,(150-101)/(12.4-9.5)*(I1721-9.5)+101,
IF(I1721&lt;=15.4,(200-151)/(15.4-12.5)*(I1721-12.5)+151,
IF(I1721&lt;=30.4,(300-201)/(30.4-15.5)*(I1721-15.5)+201,
(500-301)/(50.4-30.5)*(I1721-30.5)+301)))))</f>
        <v>12.825520833333295</v>
      </c>
      <c r="Q1721">
        <f t="shared" ref="Q1721:Q1734" si="286">IF(J1721&lt;=54,(50-0)/(54-0)*(J1721-0)+0,
IF(J1721&lt;=70,(100-51)/(70-55)*(J1721-55)+51,
IF(J1721&lt;=85,(150-101)/(85-71)*(J1721-71)+101,
IF(J1721&lt;=105,(200-151)/(105-86)*(J1721-86)+151,
IF(J1721&lt;=200,(300-201)/(200-106)*(J1721-106)+201,
(500-301)/(300-201)*(J1721-201)+301)))))</f>
        <v>10.241126543209814</v>
      </c>
      <c r="R1721">
        <f t="shared" ref="R1721:R1734" si="287">MAX(K1721:Q1721)</f>
        <v>71.3229166666666</v>
      </c>
      <c r="S1721" t="str">
        <f t="shared" ref="S1721:S1734" si="288">IF(R1721&lt;=50,"Good",
IF(R1721&lt;=100,"Satisfactory",
IF(R1721&lt;=200,"Moderate",
IF(R1721&lt;=300,"Poor",
IF(R1721&lt;=400,"Very Poor",
"Severe")))))</f>
        <v>Satisfactory</v>
      </c>
      <c r="T1721" t="str">
        <f t="shared" ref="T1721:T1734" si="289">IF(MAX(K1721:Q1721)=K1721,"PM2.5",
IF(MAX(K1721:Q1721)=L1721,"PM10",
IF(MAX(K1721:Q1721)=M1721,"NO2",
IF(MAX(K1721:Q1721)=N1721,"NH3",
IF(MAX(K1721:Q1721)=O1721,"SO2",
IF(MAX(K1721:Q1721)=P1721,"CO",
IF(MAX(K1721:Q1721)=Q1721,"OZONE","")))))))</f>
        <v>PM10</v>
      </c>
      <c r="U1721">
        <v>23.508333333333301</v>
      </c>
      <c r="V1721">
        <v>88.9270833333333</v>
      </c>
    </row>
    <row r="1722" spans="1:22" x14ac:dyDescent="0.3">
      <c r="A1722" s="2" t="s">
        <v>15</v>
      </c>
      <c r="B1722">
        <v>560026</v>
      </c>
      <c r="C1722" s="4">
        <v>45277</v>
      </c>
      <c r="D1722">
        <v>40.1458333333333</v>
      </c>
      <c r="E1722">
        <v>82.0729166666666</v>
      </c>
      <c r="F1722">
        <v>8.6374999999999993</v>
      </c>
      <c r="G1722">
        <v>2.1177083333333302</v>
      </c>
      <c r="H1722">
        <v>5.0288194444444398</v>
      </c>
      <c r="I1722">
        <v>1.0693402777777701</v>
      </c>
      <c r="J1722">
        <v>11.140625</v>
      </c>
      <c r="K1722">
        <f t="shared" si="280"/>
        <v>66.909722222222172</v>
      </c>
      <c r="L1722">
        <f t="shared" si="281"/>
        <v>82.0729166666666</v>
      </c>
      <c r="M1722">
        <f t="shared" si="282"/>
        <v>10.796874999999998</v>
      </c>
      <c r="N1722">
        <f t="shared" si="283"/>
        <v>0.52942708333333255</v>
      </c>
      <c r="O1722">
        <f t="shared" si="284"/>
        <v>6.28602430555555</v>
      </c>
      <c r="P1722">
        <f t="shared" si="285"/>
        <v>12.151594065656477</v>
      </c>
      <c r="Q1722">
        <f t="shared" si="286"/>
        <v>10.315393518518519</v>
      </c>
      <c r="R1722">
        <f t="shared" si="287"/>
        <v>82.0729166666666</v>
      </c>
      <c r="S1722" t="str">
        <f t="shared" si="288"/>
        <v>Satisfactory</v>
      </c>
      <c r="T1722" t="str">
        <f t="shared" si="289"/>
        <v>PM10</v>
      </c>
      <c r="U1722">
        <v>22.811458333333299</v>
      </c>
      <c r="V1722">
        <v>89.1145833333333</v>
      </c>
    </row>
    <row r="1723" spans="1:22" x14ac:dyDescent="0.3">
      <c r="A1723" s="2" t="s">
        <v>15</v>
      </c>
      <c r="B1723">
        <v>560026</v>
      </c>
      <c r="C1723" s="4">
        <v>45278</v>
      </c>
      <c r="D1723">
        <v>51.5416666666666</v>
      </c>
      <c r="E1723">
        <v>103.375</v>
      </c>
      <c r="F1723">
        <v>8.2750000000000004</v>
      </c>
      <c r="G1723">
        <v>2.1437499999999998</v>
      </c>
      <c r="H1723">
        <v>4.7565972222222204</v>
      </c>
      <c r="I1723">
        <v>1.11222222222222</v>
      </c>
      <c r="J1723">
        <v>11.2729166666666</v>
      </c>
      <c r="K1723">
        <f t="shared" si="280"/>
        <v>85.902777777777672</v>
      </c>
      <c r="L1723">
        <f t="shared" si="281"/>
        <v>102.25</v>
      </c>
      <c r="M1723">
        <f t="shared" si="282"/>
        <v>10.34375</v>
      </c>
      <c r="N1723">
        <f t="shared" si="283"/>
        <v>0.53593749999999996</v>
      </c>
      <c r="O1723">
        <f t="shared" si="284"/>
        <v>5.9457465277777759</v>
      </c>
      <c r="P1723">
        <f t="shared" si="285"/>
        <v>12.638888888888863</v>
      </c>
      <c r="Q1723">
        <f t="shared" si="286"/>
        <v>10.437885802469074</v>
      </c>
      <c r="R1723">
        <f t="shared" si="287"/>
        <v>102.25</v>
      </c>
      <c r="S1723" t="str">
        <f t="shared" si="288"/>
        <v>Moderate</v>
      </c>
      <c r="T1723" t="str">
        <f t="shared" si="289"/>
        <v>PM10</v>
      </c>
      <c r="U1723">
        <v>21.995833333333302</v>
      </c>
      <c r="V1723">
        <v>89.3645833333333</v>
      </c>
    </row>
    <row r="1724" spans="1:22" x14ac:dyDescent="0.3">
      <c r="A1724" s="2" t="s">
        <v>15</v>
      </c>
      <c r="B1724">
        <v>560026</v>
      </c>
      <c r="C1724" s="4">
        <v>45280</v>
      </c>
      <c r="D1724">
        <v>71.0104166666666</v>
      </c>
      <c r="E1724">
        <v>126.8125</v>
      </c>
      <c r="F1724">
        <v>8.6531249999999993</v>
      </c>
      <c r="G1724">
        <v>2.16354166666666</v>
      </c>
      <c r="H1724">
        <v>4.6173611111111104</v>
      </c>
      <c r="I1724">
        <v>1.2498958333333301</v>
      </c>
      <c r="J1724">
        <v>10.8541666666666</v>
      </c>
      <c r="K1724">
        <f t="shared" si="280"/>
        <v>136.70138888888869</v>
      </c>
      <c r="L1724">
        <f t="shared" si="281"/>
        <v>117.875</v>
      </c>
      <c r="M1724">
        <f t="shared" si="282"/>
        <v>10.816406249999998</v>
      </c>
      <c r="N1724">
        <f t="shared" si="283"/>
        <v>0.54088541666666501</v>
      </c>
      <c r="O1724">
        <f t="shared" si="284"/>
        <v>5.7717013888888875</v>
      </c>
      <c r="P1724">
        <f t="shared" si="285"/>
        <v>14.203361742424205</v>
      </c>
      <c r="Q1724">
        <f t="shared" si="286"/>
        <v>10.050154320987593</v>
      </c>
      <c r="R1724">
        <f t="shared" si="287"/>
        <v>136.70138888888869</v>
      </c>
      <c r="S1724" t="str">
        <f t="shared" si="288"/>
        <v>Moderate</v>
      </c>
      <c r="T1724" t="str">
        <f t="shared" si="289"/>
        <v>PM2.5</v>
      </c>
      <c r="U1724">
        <v>22.65625</v>
      </c>
      <c r="V1724">
        <v>89.1041666666666</v>
      </c>
    </row>
    <row r="1725" spans="1:22" x14ac:dyDescent="0.3">
      <c r="A1725" s="2" t="s">
        <v>15</v>
      </c>
      <c r="B1725">
        <v>560026</v>
      </c>
      <c r="C1725" s="4">
        <v>45281</v>
      </c>
      <c r="D1725">
        <v>61.1041666666666</v>
      </c>
      <c r="E1725">
        <v>106.239583333333</v>
      </c>
      <c r="F1725">
        <v>8.4906249999999996</v>
      </c>
      <c r="G1725">
        <v>2.1187499999999999</v>
      </c>
      <c r="H1725">
        <v>4.6513888888888797</v>
      </c>
      <c r="I1725">
        <v>1.0553819444444399</v>
      </c>
      <c r="J1725">
        <v>10.8333333333333</v>
      </c>
      <c r="K1725">
        <f t="shared" si="280"/>
        <v>103.68055555555533</v>
      </c>
      <c r="L1725">
        <f t="shared" si="281"/>
        <v>104.159722222222</v>
      </c>
      <c r="M1725">
        <f t="shared" si="282"/>
        <v>10.61328125</v>
      </c>
      <c r="N1725">
        <f t="shared" si="283"/>
        <v>0.52968749999999998</v>
      </c>
      <c r="O1725">
        <f t="shared" si="284"/>
        <v>5.8142361111110992</v>
      </c>
      <c r="P1725">
        <f t="shared" si="285"/>
        <v>11.992976641414089</v>
      </c>
      <c r="Q1725">
        <f t="shared" si="286"/>
        <v>10.030864197530834</v>
      </c>
      <c r="R1725">
        <f t="shared" si="287"/>
        <v>104.159722222222</v>
      </c>
      <c r="S1725" t="str">
        <f t="shared" si="288"/>
        <v>Moderate</v>
      </c>
      <c r="T1725" t="str">
        <f t="shared" si="289"/>
        <v>PM10</v>
      </c>
      <c r="U1725">
        <v>22.938541666666602</v>
      </c>
      <c r="V1725">
        <v>89.0729166666666</v>
      </c>
    </row>
    <row r="1726" spans="1:22" x14ac:dyDescent="0.3">
      <c r="A1726" s="2" t="s">
        <v>15</v>
      </c>
      <c r="B1726">
        <v>560026</v>
      </c>
      <c r="C1726" s="4">
        <v>45282</v>
      </c>
      <c r="D1726">
        <v>80.6041666666666</v>
      </c>
      <c r="E1726">
        <v>129.3125</v>
      </c>
      <c r="F1726">
        <v>8.6239583333333307</v>
      </c>
      <c r="G1726">
        <v>2.125</v>
      </c>
      <c r="H1726">
        <v>4.8843749999999897</v>
      </c>
      <c r="I1726">
        <v>1.24628472222222</v>
      </c>
      <c r="J1726">
        <v>10.940624999999899</v>
      </c>
      <c r="K1726">
        <f t="shared" si="280"/>
        <v>168.68055555555534</v>
      </c>
      <c r="L1726">
        <f t="shared" si="281"/>
        <v>119.54166666666667</v>
      </c>
      <c r="M1726">
        <f t="shared" si="282"/>
        <v>10.779947916666663</v>
      </c>
      <c r="N1726">
        <f t="shared" si="283"/>
        <v>0.53125</v>
      </c>
      <c r="O1726">
        <f t="shared" si="284"/>
        <v>6.1054687499999876</v>
      </c>
      <c r="P1726">
        <f t="shared" si="285"/>
        <v>14.162326388888863</v>
      </c>
      <c r="Q1726">
        <f t="shared" si="286"/>
        <v>10.13020833333324</v>
      </c>
      <c r="R1726">
        <f t="shared" si="287"/>
        <v>168.68055555555534</v>
      </c>
      <c r="S1726" t="str">
        <f t="shared" si="288"/>
        <v>Moderate</v>
      </c>
      <c r="T1726" t="str">
        <f t="shared" si="289"/>
        <v>PM2.5</v>
      </c>
      <c r="U1726">
        <v>24.409375000000001</v>
      </c>
      <c r="V1726">
        <v>88.78125</v>
      </c>
    </row>
    <row r="1727" spans="1:22" x14ac:dyDescent="0.3">
      <c r="A1727" s="2" t="s">
        <v>15</v>
      </c>
      <c r="B1727">
        <v>560026</v>
      </c>
      <c r="C1727" s="4">
        <v>45284</v>
      </c>
      <c r="D1727">
        <v>67.0833333333333</v>
      </c>
      <c r="E1727">
        <v>116.65625</v>
      </c>
      <c r="F1727">
        <v>8.52708333333333</v>
      </c>
      <c r="G1727">
        <v>2.09062499999999</v>
      </c>
      <c r="H1727">
        <v>4.6760416666666602</v>
      </c>
      <c r="I1727">
        <v>0.97152777777777699</v>
      </c>
      <c r="J1727">
        <v>11.043749999999999</v>
      </c>
      <c r="K1727">
        <f t="shared" si="280"/>
        <v>123.611111111111</v>
      </c>
      <c r="L1727">
        <f t="shared" si="281"/>
        <v>111.10416666666667</v>
      </c>
      <c r="M1727">
        <f t="shared" si="282"/>
        <v>10.658854166666663</v>
      </c>
      <c r="N1727">
        <f t="shared" si="283"/>
        <v>0.52265624999999749</v>
      </c>
      <c r="O1727">
        <f t="shared" si="284"/>
        <v>5.845052083333325</v>
      </c>
      <c r="P1727">
        <f t="shared" si="285"/>
        <v>11.040088383838375</v>
      </c>
      <c r="Q1727">
        <f t="shared" si="286"/>
        <v>10.225694444444445</v>
      </c>
      <c r="R1727">
        <f t="shared" si="287"/>
        <v>123.611111111111</v>
      </c>
      <c r="S1727" t="str">
        <f t="shared" si="288"/>
        <v>Moderate</v>
      </c>
      <c r="T1727" t="str">
        <f t="shared" si="289"/>
        <v>PM2.5</v>
      </c>
      <c r="U1727">
        <v>23.254166666666599</v>
      </c>
      <c r="V1727">
        <v>88.8645833333333</v>
      </c>
    </row>
    <row r="1728" spans="1:22" x14ac:dyDescent="0.3">
      <c r="A1728" s="2" t="s">
        <v>15</v>
      </c>
      <c r="B1728">
        <v>560026</v>
      </c>
      <c r="C1728" s="4">
        <v>45285</v>
      </c>
      <c r="D1728">
        <v>40.6875</v>
      </c>
      <c r="E1728">
        <v>77.90625</v>
      </c>
      <c r="F1728">
        <v>8.51145833333333</v>
      </c>
      <c r="G1728">
        <v>2.0947916666666599</v>
      </c>
      <c r="H1728">
        <v>5.2451388888888797</v>
      </c>
      <c r="I1728">
        <v>0.857222222222222</v>
      </c>
      <c r="J1728">
        <v>11.1208333333333</v>
      </c>
      <c r="K1728">
        <f t="shared" si="280"/>
        <v>67.8125</v>
      </c>
      <c r="L1728">
        <f t="shared" si="281"/>
        <v>77.90625</v>
      </c>
      <c r="M1728">
        <f t="shared" si="282"/>
        <v>10.639322916666663</v>
      </c>
      <c r="N1728">
        <f t="shared" si="283"/>
        <v>0.52369791666666499</v>
      </c>
      <c r="O1728">
        <f t="shared" si="284"/>
        <v>6.5564236111111001</v>
      </c>
      <c r="P1728">
        <f t="shared" si="285"/>
        <v>9.7411616161616141</v>
      </c>
      <c r="Q1728">
        <f t="shared" si="286"/>
        <v>10.297067901234536</v>
      </c>
      <c r="R1728">
        <f t="shared" si="287"/>
        <v>77.90625</v>
      </c>
      <c r="S1728" t="str">
        <f t="shared" si="288"/>
        <v>Satisfactory</v>
      </c>
      <c r="T1728" t="str">
        <f t="shared" si="289"/>
        <v>PM10</v>
      </c>
      <c r="U1728">
        <v>23.125</v>
      </c>
      <c r="V1728">
        <v>89.09375</v>
      </c>
    </row>
    <row r="1729" spans="1:22" x14ac:dyDescent="0.3">
      <c r="A1729" s="2" t="s">
        <v>15</v>
      </c>
      <c r="B1729">
        <v>560026</v>
      </c>
      <c r="C1729" s="4">
        <v>45286</v>
      </c>
      <c r="D1729">
        <v>59.090909090909001</v>
      </c>
      <c r="E1729">
        <v>92.602272727272705</v>
      </c>
      <c r="F1729">
        <v>8.6229166666666597</v>
      </c>
      <c r="G1729">
        <v>2.0729166666666599</v>
      </c>
      <c r="H1729">
        <v>4.7944444444444398</v>
      </c>
      <c r="I1729">
        <v>0.85906249999999995</v>
      </c>
      <c r="J1729">
        <v>11.1510416666666</v>
      </c>
      <c r="K1729">
        <f t="shared" si="280"/>
        <v>98.484848484848328</v>
      </c>
      <c r="L1729">
        <f t="shared" si="281"/>
        <v>92.602272727272705</v>
      </c>
      <c r="M1729">
        <f t="shared" si="282"/>
        <v>10.778645833333325</v>
      </c>
      <c r="N1729">
        <f t="shared" si="283"/>
        <v>0.51822916666666496</v>
      </c>
      <c r="O1729">
        <f t="shared" si="284"/>
        <v>5.99305555555555</v>
      </c>
      <c r="P1729">
        <f t="shared" si="285"/>
        <v>9.7620738636363633</v>
      </c>
      <c r="Q1729">
        <f t="shared" si="286"/>
        <v>10.325038580246853</v>
      </c>
      <c r="R1729">
        <f t="shared" si="287"/>
        <v>98.484848484848328</v>
      </c>
      <c r="S1729" t="str">
        <f t="shared" si="288"/>
        <v>Satisfactory</v>
      </c>
      <c r="T1729" t="str">
        <f t="shared" si="289"/>
        <v>PM2.5</v>
      </c>
      <c r="U1729">
        <v>23.3666666666666</v>
      </c>
      <c r="V1729">
        <v>88.8854166666666</v>
      </c>
    </row>
    <row r="1730" spans="1:22" x14ac:dyDescent="0.3">
      <c r="A1730" s="2" t="s">
        <v>15</v>
      </c>
      <c r="B1730">
        <v>560026</v>
      </c>
      <c r="C1730" s="4">
        <v>45287</v>
      </c>
      <c r="D1730">
        <v>42.7604166666666</v>
      </c>
      <c r="E1730">
        <v>90.4930555555555</v>
      </c>
      <c r="F1730">
        <v>8.4749999999999996</v>
      </c>
      <c r="G1730">
        <v>2.1197916666666599</v>
      </c>
      <c r="H1730">
        <v>4.2291666666666599</v>
      </c>
      <c r="I1730">
        <v>0.93121527777777702</v>
      </c>
      <c r="J1730">
        <v>11.160416666666601</v>
      </c>
      <c r="K1730">
        <f t="shared" si="280"/>
        <v>71.267361111111001</v>
      </c>
      <c r="L1730">
        <f t="shared" si="281"/>
        <v>90.4930555555555</v>
      </c>
      <c r="M1730">
        <f t="shared" si="282"/>
        <v>10.59375</v>
      </c>
      <c r="N1730">
        <f t="shared" si="283"/>
        <v>0.52994791666666496</v>
      </c>
      <c r="O1730">
        <f t="shared" si="284"/>
        <v>5.286458333333325</v>
      </c>
      <c r="P1730">
        <f t="shared" si="285"/>
        <v>10.581991792929283</v>
      </c>
      <c r="Q1730">
        <f t="shared" si="286"/>
        <v>10.333719135802408</v>
      </c>
      <c r="R1730">
        <f t="shared" si="287"/>
        <v>90.4930555555555</v>
      </c>
      <c r="S1730" t="str">
        <f t="shared" si="288"/>
        <v>Satisfactory</v>
      </c>
      <c r="T1730" t="str">
        <f t="shared" si="289"/>
        <v>PM10</v>
      </c>
      <c r="U1730">
        <v>22.938888888888801</v>
      </c>
      <c r="V1730">
        <v>88.9166666666666</v>
      </c>
    </row>
    <row r="1731" spans="1:22" x14ac:dyDescent="0.3">
      <c r="A1731" s="2" t="s">
        <v>15</v>
      </c>
      <c r="B1731">
        <v>560026</v>
      </c>
      <c r="C1731" s="4">
        <v>45288</v>
      </c>
      <c r="D1731">
        <v>44.4791666666666</v>
      </c>
      <c r="E1731">
        <v>87.125</v>
      </c>
      <c r="F1731">
        <v>8.7072916666666593</v>
      </c>
      <c r="G1731">
        <v>2.1031249999999999</v>
      </c>
      <c r="H1731">
        <v>4.6854166666666597</v>
      </c>
      <c r="I1731">
        <v>0.82795138888888797</v>
      </c>
      <c r="J1731">
        <v>11.148958333333301</v>
      </c>
      <c r="K1731">
        <f t="shared" si="280"/>
        <v>74.131944444444343</v>
      </c>
      <c r="L1731">
        <f t="shared" si="281"/>
        <v>87.125</v>
      </c>
      <c r="M1731">
        <f t="shared" si="282"/>
        <v>10.884114583333325</v>
      </c>
      <c r="N1731">
        <f t="shared" si="283"/>
        <v>0.52578124999999998</v>
      </c>
      <c r="O1731">
        <f t="shared" si="284"/>
        <v>5.8567708333333242</v>
      </c>
      <c r="P1731">
        <f t="shared" si="285"/>
        <v>9.4085385101009997</v>
      </c>
      <c r="Q1731">
        <f t="shared" si="286"/>
        <v>10.323109567901204</v>
      </c>
      <c r="R1731">
        <f t="shared" si="287"/>
        <v>87.125</v>
      </c>
      <c r="S1731" t="str">
        <f t="shared" si="288"/>
        <v>Satisfactory</v>
      </c>
      <c r="T1731" t="str">
        <f t="shared" si="289"/>
        <v>PM10</v>
      </c>
      <c r="U1731">
        <v>23.233333333333299</v>
      </c>
      <c r="V1731">
        <v>88.9375</v>
      </c>
    </row>
    <row r="1732" spans="1:22" x14ac:dyDescent="0.3">
      <c r="A1732" s="2" t="s">
        <v>15</v>
      </c>
      <c r="B1732">
        <v>560026</v>
      </c>
      <c r="C1732" s="4">
        <v>45289</v>
      </c>
      <c r="D1732">
        <v>45.5</v>
      </c>
      <c r="E1732">
        <v>81.6909722222222</v>
      </c>
      <c r="F1732">
        <v>8.4770833333333293</v>
      </c>
      <c r="G1732">
        <v>2.0874999999999999</v>
      </c>
      <c r="H1732">
        <v>4.5208333333333304</v>
      </c>
      <c r="I1732">
        <v>0.86427083333333299</v>
      </c>
      <c r="J1732">
        <v>11.091666666666599</v>
      </c>
      <c r="K1732">
        <f t="shared" si="280"/>
        <v>75.833333333333329</v>
      </c>
      <c r="L1732">
        <f t="shared" si="281"/>
        <v>81.6909722222222</v>
      </c>
      <c r="M1732">
        <f t="shared" si="282"/>
        <v>10.596354166666661</v>
      </c>
      <c r="N1732">
        <f t="shared" si="283"/>
        <v>0.52187499999999998</v>
      </c>
      <c r="O1732">
        <f t="shared" si="284"/>
        <v>5.6510416666666625</v>
      </c>
      <c r="P1732">
        <f t="shared" si="285"/>
        <v>9.8212594696969653</v>
      </c>
      <c r="Q1732">
        <f t="shared" si="286"/>
        <v>10.270061728395</v>
      </c>
      <c r="R1732">
        <f t="shared" si="287"/>
        <v>81.6909722222222</v>
      </c>
      <c r="S1732" t="str">
        <f t="shared" si="288"/>
        <v>Satisfactory</v>
      </c>
      <c r="T1732" t="str">
        <f t="shared" si="289"/>
        <v>PM10</v>
      </c>
      <c r="U1732">
        <v>22.7170138888888</v>
      </c>
      <c r="V1732">
        <v>89.1770833333333</v>
      </c>
    </row>
    <row r="1733" spans="1:22" x14ac:dyDescent="0.3">
      <c r="A1733" s="2" t="s">
        <v>15</v>
      </c>
      <c r="B1733">
        <v>560026</v>
      </c>
      <c r="C1733" s="4">
        <v>45290</v>
      </c>
      <c r="D1733">
        <v>36.0729166666666</v>
      </c>
      <c r="E1733">
        <v>67.3888888888888</v>
      </c>
      <c r="F1733">
        <v>8.5760416666666597</v>
      </c>
      <c r="G1733">
        <v>2.1083333333333298</v>
      </c>
      <c r="H1733">
        <v>4.98888888888888</v>
      </c>
      <c r="I1733">
        <v>0.73885416666666603</v>
      </c>
      <c r="J1733">
        <v>11.143749999999899</v>
      </c>
      <c r="K1733">
        <f t="shared" si="280"/>
        <v>60.121527777777665</v>
      </c>
      <c r="L1733">
        <f t="shared" si="281"/>
        <v>67.3888888888888</v>
      </c>
      <c r="M1733">
        <f t="shared" si="282"/>
        <v>10.720052083333325</v>
      </c>
      <c r="N1733">
        <f t="shared" si="283"/>
        <v>0.52708333333333246</v>
      </c>
      <c r="O1733">
        <f t="shared" si="284"/>
        <v>6.2361111111111001</v>
      </c>
      <c r="P1733">
        <f t="shared" si="285"/>
        <v>8.396070075757569</v>
      </c>
      <c r="Q1733">
        <f t="shared" si="286"/>
        <v>10.318287037036944</v>
      </c>
      <c r="R1733">
        <f t="shared" si="287"/>
        <v>67.3888888888888</v>
      </c>
      <c r="S1733" t="str">
        <f t="shared" si="288"/>
        <v>Satisfactory</v>
      </c>
      <c r="T1733" t="str">
        <f t="shared" si="289"/>
        <v>PM10</v>
      </c>
      <c r="U1733">
        <v>23.580208333333299</v>
      </c>
      <c r="V1733">
        <v>88.78125</v>
      </c>
    </row>
    <row r="1734" spans="1:22" x14ac:dyDescent="0.3">
      <c r="A1734" s="2" t="s">
        <v>15</v>
      </c>
      <c r="B1734">
        <v>560026</v>
      </c>
      <c r="C1734" s="4">
        <v>45291</v>
      </c>
      <c r="D1734">
        <v>46.5625</v>
      </c>
      <c r="E1734">
        <v>74.6770833333333</v>
      </c>
      <c r="F1734">
        <v>8.52291666666666</v>
      </c>
      <c r="G1734">
        <v>2.06701388888888</v>
      </c>
      <c r="H1734">
        <v>5.13506944444444</v>
      </c>
      <c r="I1734">
        <v>0.66173611111111097</v>
      </c>
      <c r="J1734">
        <v>11.154861111111099</v>
      </c>
      <c r="K1734">
        <f t="shared" si="280"/>
        <v>77.604166666666671</v>
      </c>
      <c r="L1734">
        <f t="shared" si="281"/>
        <v>74.6770833333333</v>
      </c>
      <c r="M1734">
        <f t="shared" si="282"/>
        <v>10.653645833333325</v>
      </c>
      <c r="N1734">
        <f t="shared" si="283"/>
        <v>0.51675347222222001</v>
      </c>
      <c r="O1734">
        <f t="shared" si="284"/>
        <v>6.41883680555555</v>
      </c>
      <c r="P1734">
        <f t="shared" si="285"/>
        <v>7.5197285353535337</v>
      </c>
      <c r="Q1734">
        <f t="shared" si="286"/>
        <v>10.328575102880647</v>
      </c>
      <c r="R1734">
        <f t="shared" si="287"/>
        <v>77.604166666666671</v>
      </c>
      <c r="S1734" t="str">
        <f t="shared" si="288"/>
        <v>Satisfactory</v>
      </c>
      <c r="T1734" t="str">
        <f t="shared" si="289"/>
        <v>PM2.5</v>
      </c>
      <c r="U1734">
        <v>22.595833333333299</v>
      </c>
      <c r="V1734">
        <v>89.03125</v>
      </c>
    </row>
    <row r="1735" spans="1:22" x14ac:dyDescent="0.3">
      <c r="A1735" s="2" t="s">
        <v>15</v>
      </c>
      <c r="B1735">
        <v>560026</v>
      </c>
      <c r="C1735" s="4">
        <v>45292</v>
      </c>
      <c r="D1735">
        <v>58.8</v>
      </c>
      <c r="E1735">
        <v>93.5</v>
      </c>
      <c r="F1735">
        <v>8.64</v>
      </c>
      <c r="G1735">
        <v>2.12</v>
      </c>
      <c r="H1735">
        <v>4.5999999999999996</v>
      </c>
      <c r="I1735">
        <v>0.81</v>
      </c>
      <c r="J1735">
        <v>11.16</v>
      </c>
      <c r="K1735">
        <f>IF(ISTEXT(D1735),0,IF(D1735&lt;=30,D1735*50/30,IF(AND(D1735&gt;30,D1735&lt;=60),50+(D1735-30)*50/30,IF(AND(D1735&gt;60,D1735&lt;=90),100+(D1735-60)*100/30,IF(AND(D1735&gt;90,D1735&lt;=120),200+(D1735-90)*(100/30),IF(AND(D1735&gt;120,D1735&lt;=250),300+(D1735-120)*(100/130),IF(D1735&gt;250,400+(D1735-250)*(100/130))))))))</f>
        <v>98</v>
      </c>
      <c r="L1735">
        <f>IF(ISTEXT(E1735),0,IF(E1735&lt;=50,E1735,IF(AND(E1735&gt;50,E1735&lt;=100),E1735,IF(AND(E1735&gt;100,E1735&lt;=250),100+(E1735-100)*100/150,IF(AND(E1735&gt;250,E1735&lt;=350),200+(E1735-250),IF(AND(E1735&gt;350,E1735&lt;=430),300+(E1735-350)*(100/80),IF(E1735&gt;430,400+(E1735-430)*(100/80))))))))</f>
        <v>93.5</v>
      </c>
      <c r="M1735">
        <f>IF(ISTEXT(F1735),0,IF(F1735&lt;=40,F1735*50/40,IF(AND(F1735&gt;40,F1735&lt;=80),50+(F1735-40)*50/40,IF(AND(F1735&gt;80,F1735&lt;=180),100+(F1735-80)*100/100,IF(AND(F1735&gt;180,F1735&lt;=280),200+(F1735-180)*(100/100),IF(AND(F1735&gt;280,F1735&lt;=400),300+(F1735-280)*(100/120),IF(F1735&gt;400,400+(F1735-400)*(100/120))))))))</f>
        <v>10.8</v>
      </c>
      <c r="N1735">
        <f>IF(ISTEXT(G1735),0,IF(G1735&lt;=200,G1735*50/200,IF(AND(G1735&gt;200,G1735&lt;=400),50+(G1735-200)*50/200,IF(AND(G1735&gt;400,G1735&lt;=800),100+(G1735-400)*100/400,IF(AND(G1735&gt;800,G1735&lt;=1200),200+(G1735-800)*(100/400),IF(AND(G1735&gt;1200,G1735&lt;=1800),300+(G1735-1200)*(100/600),IF(G1735&gt;1800,400+(G1735-1800)*(100/600))))))))</f>
        <v>0.53</v>
      </c>
      <c r="O1735">
        <f>IF(ISTEXT(H1735),0,IF(H1735&lt;=40,H1735*50/40,IF(AND(H1735&gt;40,H1735&lt;=80),50+(H1735-40)*50/40,IF(AND(H1735&gt;80,H1735&lt;=380),100+(H1735-80)*100/300,IF(AND(H1735&gt;380,H1735&lt;=800),200+(H1735-380)*(100/420),IF(AND(H1735&gt;800,H1735&lt;=1600),300+(H1735-800)*(100/800),IF(H1735&gt;1600,400+(H1735-1600)*(100/800))))))))</f>
        <v>5.7499999999999991</v>
      </c>
      <c r="P1735">
        <f>IF(I1735&lt;=4.4,(50-0)/(4.4-0)*(I1735-0)+0,
IF(I1735&lt;=9.4,(100-51)/(9.4-4.5)*(I1735-4.5)+51,
IF(I1735&lt;=12.4,(150-101)/(12.4-9.5)*(I1735-9.5)+101,
IF(I1735&lt;=15.4,(200-151)/(15.4-12.5)*(I1735-12.5)+151,
IF(I1735&lt;=30.4,(300-201)/(30.4-15.5)*(I1735-15.5)+201,
(500-301)/(50.4-30.5)*(I1735-30.5)+301)))))</f>
        <v>9.204545454545455</v>
      </c>
      <c r="Q1735">
        <f>IF(J1735&lt;=54,(50-0)/(54-0)*(J1735-0)+0,
IF(J1735&lt;=70,(100-51)/(70-55)*(J1735-55)+51,
IF(J1735&lt;=85,(150-101)/(85-71)*(J1735-71)+101,
IF(J1735&lt;=105,(200-151)/(105-86)*(J1735-86)+151,
IF(J1735&lt;=200,(300-201)/(200-106)*(J1735-106)+201,
(500-301)/(300-201)*(J1735-201)+301)))))</f>
        <v>10.333333333333334</v>
      </c>
      <c r="R1735">
        <f>MAX(K1735:Q1735)</f>
        <v>98</v>
      </c>
      <c r="S1735" t="str">
        <f>IF(R1735&lt;=50,"Good",
IF(R1735&lt;=100,"Satisfactory",
IF(R1735&lt;=200,"Moderate",
IF(R1735&lt;=300,"Poor",
IF(R1735&lt;=400,"Very Poor",
"Severe")))))</f>
        <v>Satisfactory</v>
      </c>
      <c r="T1735" t="str">
        <f>IF(MAX(K1735:Q1735)=K1735,"PM2.5",
IF(MAX(K1735:Q1735)=L1735,"PM10",
IF(MAX(K1735:Q1735)=M1735,"NO2",
IF(MAX(K1735:Q1735)=N1735,"NH3",
IF(MAX(K1735:Q1735)=O1735,"SO2",
IF(MAX(K1735:Q1735)=P1735,"CO",
IF(MAX(K1735:Q1735)=Q1735,"OZONE","")))))))</f>
        <v>PM2.5</v>
      </c>
      <c r="U1735">
        <v>23.28</v>
      </c>
      <c r="V1735">
        <v>88.85</v>
      </c>
    </row>
    <row r="1736" spans="1:22" x14ac:dyDescent="0.3">
      <c r="A1736" s="2" t="s">
        <v>15</v>
      </c>
      <c r="B1736">
        <v>560026</v>
      </c>
      <c r="C1736" s="4">
        <v>45293</v>
      </c>
      <c r="D1736">
        <v>64.08</v>
      </c>
      <c r="E1736">
        <v>102.53</v>
      </c>
      <c r="F1736">
        <v>8.4600000000000009</v>
      </c>
      <c r="G1736">
        <v>2.12</v>
      </c>
      <c r="H1736">
        <v>5.48</v>
      </c>
      <c r="I1736">
        <v>0.84</v>
      </c>
      <c r="J1736">
        <v>11.27</v>
      </c>
      <c r="K1736">
        <f t="shared" ref="K1736:K1799" si="290">IF(ISTEXT(D1736),0,IF(D1736&lt;=30,D1736*50/30,IF(AND(D1736&gt;30,D1736&lt;=60),50+(D1736-30)*50/30,IF(AND(D1736&gt;60,D1736&lt;=90),100+(D1736-60)*100/30,IF(AND(D1736&gt;90,D1736&lt;=120),200+(D1736-90)*(100/30),IF(AND(D1736&gt;120,D1736&lt;=250),300+(D1736-120)*(100/130),IF(D1736&gt;250,400+(D1736-250)*(100/130))))))))</f>
        <v>113.6</v>
      </c>
      <c r="L1736">
        <f t="shared" ref="L1736:L1799" si="291">IF(ISTEXT(E1736),0,IF(E1736&lt;=50,E1736,IF(AND(E1736&gt;50,E1736&lt;=100),E1736,IF(AND(E1736&gt;100,E1736&lt;=250),100+(E1736-100)*100/150,IF(AND(E1736&gt;250,E1736&lt;=350),200+(E1736-250),IF(AND(E1736&gt;350,E1736&lt;=430),300+(E1736-350)*(100/80),IF(E1736&gt;430,400+(E1736-430)*(100/80))))))))</f>
        <v>101.68666666666667</v>
      </c>
      <c r="M1736">
        <f t="shared" ref="M1736:M1799" si="292">IF(ISTEXT(F1736),0,IF(F1736&lt;=40,F1736*50/40,IF(AND(F1736&gt;40,F1736&lt;=80),50+(F1736-40)*50/40,IF(AND(F1736&gt;80,F1736&lt;=180),100+(F1736-80)*100/100,IF(AND(F1736&gt;180,F1736&lt;=280),200+(F1736-180)*(100/100),IF(AND(F1736&gt;280,F1736&lt;=400),300+(F1736-280)*(100/120),IF(F1736&gt;400,400+(F1736-400)*(100/120))))))))</f>
        <v>10.575000000000001</v>
      </c>
      <c r="N1736">
        <f t="shared" ref="N1736:N1799" si="293">IF(ISTEXT(G1736),0,IF(G1736&lt;=200,G1736*50/200,IF(AND(G1736&gt;200,G1736&lt;=400),50+(G1736-200)*50/200,IF(AND(G1736&gt;400,G1736&lt;=800),100+(G1736-400)*100/400,IF(AND(G1736&gt;800,G1736&lt;=1200),200+(G1736-800)*(100/400),IF(AND(G1736&gt;1200,G1736&lt;=1800),300+(G1736-1200)*(100/600),IF(G1736&gt;1800,400+(G1736-1800)*(100/600))))))))</f>
        <v>0.53</v>
      </c>
      <c r="O1736">
        <f t="shared" ref="O1736:O1799" si="294">IF(ISTEXT(H1736),0,IF(H1736&lt;=40,H1736*50/40,IF(AND(H1736&gt;40,H1736&lt;=80),50+(H1736-40)*50/40,IF(AND(H1736&gt;80,H1736&lt;=380),100+(H1736-80)*100/300,IF(AND(H1736&gt;380,H1736&lt;=800),200+(H1736-380)*(100/420),IF(AND(H1736&gt;800,H1736&lt;=1600),300+(H1736-800)*(100/800),IF(H1736&gt;1600,400+(H1736-1600)*(100/800))))))))</f>
        <v>6.85</v>
      </c>
      <c r="P1736">
        <f t="shared" ref="P1736:P1799" si="295">IF(I1736&lt;=4.4,(50-0)/(4.4-0)*(I1736-0)+0,
IF(I1736&lt;=9.4,(100-51)/(9.4-4.5)*(I1736-4.5)+51,
IF(I1736&lt;=12.4,(150-101)/(12.4-9.5)*(I1736-9.5)+101,
IF(I1736&lt;=15.4,(200-151)/(15.4-12.5)*(I1736-12.5)+151,
IF(I1736&lt;=30.4,(300-201)/(30.4-15.5)*(I1736-15.5)+201,
(500-301)/(50.4-30.5)*(I1736-30.5)+301)))))</f>
        <v>9.545454545454545</v>
      </c>
      <c r="Q1736">
        <f t="shared" ref="Q1736:Q1799" si="296">IF(J1736&lt;=54,(50-0)/(54-0)*(J1736-0)+0,
IF(J1736&lt;=70,(100-51)/(70-55)*(J1736-55)+51,
IF(J1736&lt;=85,(150-101)/(85-71)*(J1736-71)+101,
IF(J1736&lt;=105,(200-151)/(105-86)*(J1736-86)+151,
IF(J1736&lt;=200,(300-201)/(200-106)*(J1736-106)+201,
(500-301)/(300-201)*(J1736-201)+301)))))</f>
        <v>10.435185185185185</v>
      </c>
      <c r="R1736">
        <f t="shared" ref="R1736:R1799" si="297">MAX(K1736:Q1736)</f>
        <v>113.6</v>
      </c>
      <c r="S1736" t="str">
        <f t="shared" ref="S1736:S1799" si="298">IF(R1736&lt;=50,"Good",
IF(R1736&lt;=100,"Satisfactory",
IF(R1736&lt;=200,"Moderate",
IF(R1736&lt;=300,"Poor",
IF(R1736&lt;=400,"Very Poor",
"Severe")))))</f>
        <v>Moderate</v>
      </c>
      <c r="T1736" t="str">
        <f t="shared" ref="T1736:T1799" si="299">IF(MAX(K1736:Q1736)=K1736,"PM2.5",
IF(MAX(K1736:Q1736)=L1736,"PM10",
IF(MAX(K1736:Q1736)=M1736,"NO2",
IF(MAX(K1736:Q1736)=N1736,"NH3",
IF(MAX(K1736:Q1736)=O1736,"SO2",
IF(MAX(K1736:Q1736)=P1736,"CO",
IF(MAX(K1736:Q1736)=Q1736,"OZONE","")))))))</f>
        <v>PM2.5</v>
      </c>
      <c r="U1736">
        <v>23.18</v>
      </c>
      <c r="V1736">
        <v>89.03</v>
      </c>
    </row>
    <row r="1737" spans="1:22" x14ac:dyDescent="0.3">
      <c r="A1737" s="2" t="s">
        <v>15</v>
      </c>
      <c r="B1737">
        <v>560026</v>
      </c>
      <c r="C1737" s="4">
        <v>45294</v>
      </c>
      <c r="D1737">
        <v>62.07</v>
      </c>
      <c r="E1737">
        <v>109</v>
      </c>
      <c r="F1737">
        <v>8.26</v>
      </c>
      <c r="G1737">
        <v>2.11</v>
      </c>
      <c r="H1737">
        <v>4.68</v>
      </c>
      <c r="I1737">
        <v>0.65</v>
      </c>
      <c r="J1737">
        <v>11.14</v>
      </c>
      <c r="K1737">
        <f t="shared" si="290"/>
        <v>106.9</v>
      </c>
      <c r="L1737">
        <f t="shared" si="291"/>
        <v>106</v>
      </c>
      <c r="M1737">
        <f t="shared" si="292"/>
        <v>10.324999999999999</v>
      </c>
      <c r="N1737">
        <f t="shared" si="293"/>
        <v>0.52749999999999997</v>
      </c>
      <c r="O1737">
        <f t="shared" si="294"/>
        <v>5.85</v>
      </c>
      <c r="P1737">
        <f t="shared" si="295"/>
        <v>7.3863636363636367</v>
      </c>
      <c r="Q1737">
        <f t="shared" si="296"/>
        <v>10.314814814814815</v>
      </c>
      <c r="R1737">
        <f t="shared" si="297"/>
        <v>106.9</v>
      </c>
      <c r="S1737" t="str">
        <f t="shared" si="298"/>
        <v>Moderate</v>
      </c>
      <c r="T1737" t="str">
        <f t="shared" si="299"/>
        <v>PM2.5</v>
      </c>
      <c r="U1737">
        <v>22.91</v>
      </c>
      <c r="V1737">
        <v>89.1</v>
      </c>
    </row>
    <row r="1738" spans="1:22" x14ac:dyDescent="0.3">
      <c r="A1738" s="2" t="s">
        <v>15</v>
      </c>
      <c r="B1738">
        <v>560026</v>
      </c>
      <c r="C1738" s="4">
        <v>45295</v>
      </c>
      <c r="D1738">
        <v>61.81</v>
      </c>
      <c r="E1738">
        <v>116.03</v>
      </c>
      <c r="F1738">
        <v>8.6999999999999993</v>
      </c>
      <c r="G1738">
        <v>2.09</v>
      </c>
      <c r="H1738">
        <v>5.1100000000000003</v>
      </c>
      <c r="I1738">
        <v>0.88</v>
      </c>
      <c r="J1738">
        <v>11.11</v>
      </c>
      <c r="K1738">
        <f t="shared" si="290"/>
        <v>106.03333333333335</v>
      </c>
      <c r="L1738">
        <f t="shared" si="291"/>
        <v>110.68666666666667</v>
      </c>
      <c r="M1738">
        <f t="shared" si="292"/>
        <v>10.874999999999998</v>
      </c>
      <c r="N1738">
        <f t="shared" si="293"/>
        <v>0.52249999999999996</v>
      </c>
      <c r="O1738">
        <f t="shared" si="294"/>
        <v>6.3875000000000011</v>
      </c>
      <c r="P1738">
        <f t="shared" si="295"/>
        <v>10</v>
      </c>
      <c r="Q1738">
        <f t="shared" si="296"/>
        <v>10.287037037037036</v>
      </c>
      <c r="R1738">
        <f t="shared" si="297"/>
        <v>110.68666666666667</v>
      </c>
      <c r="S1738" t="str">
        <f t="shared" si="298"/>
        <v>Moderate</v>
      </c>
      <c r="T1738" t="str">
        <f t="shared" si="299"/>
        <v>PM10</v>
      </c>
      <c r="U1738">
        <v>22.71</v>
      </c>
      <c r="V1738">
        <v>89.12</v>
      </c>
    </row>
    <row r="1739" spans="1:22" x14ac:dyDescent="0.3">
      <c r="A1739" s="2" t="s">
        <v>15</v>
      </c>
      <c r="B1739">
        <v>560026</v>
      </c>
      <c r="C1739" s="4">
        <v>45296</v>
      </c>
      <c r="D1739">
        <v>45.52</v>
      </c>
      <c r="E1739">
        <v>82.31</v>
      </c>
      <c r="F1739">
        <v>8.32</v>
      </c>
      <c r="G1739">
        <v>2.11</v>
      </c>
      <c r="H1739">
        <v>4.5199999999999996</v>
      </c>
      <c r="I1739">
        <v>0.77</v>
      </c>
      <c r="J1739">
        <v>11.13</v>
      </c>
      <c r="K1739">
        <f t="shared" si="290"/>
        <v>75.866666666666674</v>
      </c>
      <c r="L1739">
        <f t="shared" si="291"/>
        <v>82.31</v>
      </c>
      <c r="M1739">
        <f t="shared" si="292"/>
        <v>10.4</v>
      </c>
      <c r="N1739">
        <f t="shared" si="293"/>
        <v>0.52749999999999997</v>
      </c>
      <c r="O1739">
        <f t="shared" si="294"/>
        <v>5.6499999999999995</v>
      </c>
      <c r="P1739">
        <f t="shared" si="295"/>
        <v>8.75</v>
      </c>
      <c r="Q1739">
        <f t="shared" si="296"/>
        <v>10.305555555555557</v>
      </c>
      <c r="R1739">
        <f t="shared" si="297"/>
        <v>82.31</v>
      </c>
      <c r="S1739" t="str">
        <f t="shared" si="298"/>
        <v>Satisfactory</v>
      </c>
      <c r="T1739" t="str">
        <f t="shared" si="299"/>
        <v>PM10</v>
      </c>
      <c r="U1739">
        <v>23.37</v>
      </c>
      <c r="V1739">
        <v>89.02</v>
      </c>
    </row>
    <row r="1740" spans="1:22" x14ac:dyDescent="0.3">
      <c r="A1740" s="2" t="s">
        <v>15</v>
      </c>
      <c r="B1740">
        <v>560026</v>
      </c>
      <c r="C1740" s="4">
        <v>45297</v>
      </c>
      <c r="D1740">
        <v>39.08</v>
      </c>
      <c r="E1740">
        <v>76.77</v>
      </c>
      <c r="F1740">
        <v>8.41</v>
      </c>
      <c r="G1740">
        <v>2.0699999999999998</v>
      </c>
      <c r="H1740">
        <v>4.8099999999999996</v>
      </c>
      <c r="I1740">
        <v>0.86</v>
      </c>
      <c r="J1740">
        <v>11.16</v>
      </c>
      <c r="K1740">
        <f t="shared" si="290"/>
        <v>65.133333333333326</v>
      </c>
      <c r="L1740">
        <f t="shared" si="291"/>
        <v>76.77</v>
      </c>
      <c r="M1740">
        <f t="shared" si="292"/>
        <v>10.512499999999999</v>
      </c>
      <c r="N1740">
        <f t="shared" si="293"/>
        <v>0.51749999999999996</v>
      </c>
      <c r="O1740">
        <f t="shared" si="294"/>
        <v>6.0124999999999993</v>
      </c>
      <c r="P1740">
        <f t="shared" si="295"/>
        <v>9.7727272727272716</v>
      </c>
      <c r="Q1740">
        <f t="shared" si="296"/>
        <v>10.333333333333334</v>
      </c>
      <c r="R1740">
        <f t="shared" si="297"/>
        <v>76.77</v>
      </c>
      <c r="S1740" t="str">
        <f t="shared" si="298"/>
        <v>Satisfactory</v>
      </c>
      <c r="T1740" t="str">
        <f t="shared" si="299"/>
        <v>PM10</v>
      </c>
      <c r="U1740">
        <v>23.91</v>
      </c>
      <c r="V1740">
        <v>88.91</v>
      </c>
    </row>
    <row r="1741" spans="1:22" x14ac:dyDescent="0.3">
      <c r="A1741" s="2" t="s">
        <v>15</v>
      </c>
      <c r="B1741">
        <v>560026</v>
      </c>
      <c r="C1741" s="4">
        <v>45298</v>
      </c>
      <c r="D1741">
        <v>33.979999999999997</v>
      </c>
      <c r="E1741">
        <v>72.260000000000005</v>
      </c>
      <c r="F1741">
        <v>8.61</v>
      </c>
      <c r="G1741">
        <v>2.11</v>
      </c>
      <c r="H1741">
        <v>4.9800000000000004</v>
      </c>
      <c r="I1741">
        <v>0.71</v>
      </c>
      <c r="J1741">
        <v>11.12</v>
      </c>
      <c r="K1741">
        <f t="shared" si="290"/>
        <v>56.633333333333326</v>
      </c>
      <c r="L1741">
        <f t="shared" si="291"/>
        <v>72.260000000000005</v>
      </c>
      <c r="M1741">
        <f t="shared" si="292"/>
        <v>10.762499999999999</v>
      </c>
      <c r="N1741">
        <f t="shared" si="293"/>
        <v>0.52749999999999997</v>
      </c>
      <c r="O1741">
        <f t="shared" si="294"/>
        <v>6.2250000000000005</v>
      </c>
      <c r="P1741">
        <f t="shared" si="295"/>
        <v>8.0681818181818183</v>
      </c>
      <c r="Q1741">
        <f t="shared" si="296"/>
        <v>10.296296296296296</v>
      </c>
      <c r="R1741">
        <f t="shared" si="297"/>
        <v>72.260000000000005</v>
      </c>
      <c r="S1741" t="str">
        <f t="shared" si="298"/>
        <v>Satisfactory</v>
      </c>
      <c r="T1741" t="str">
        <f t="shared" si="299"/>
        <v>PM10</v>
      </c>
      <c r="U1741">
        <v>23.73</v>
      </c>
      <c r="V1741">
        <v>88.95</v>
      </c>
    </row>
    <row r="1742" spans="1:22" x14ac:dyDescent="0.3">
      <c r="A1742" s="2" t="s">
        <v>15</v>
      </c>
      <c r="B1742">
        <v>560026</v>
      </c>
      <c r="C1742" s="4">
        <v>45299</v>
      </c>
      <c r="D1742">
        <v>29.02</v>
      </c>
      <c r="E1742">
        <v>58.66</v>
      </c>
      <c r="F1742">
        <v>8.33</v>
      </c>
      <c r="G1742">
        <v>2.12</v>
      </c>
      <c r="H1742">
        <v>5.26</v>
      </c>
      <c r="I1742">
        <v>0.91</v>
      </c>
      <c r="J1742">
        <v>11.31</v>
      </c>
      <c r="K1742">
        <f t="shared" si="290"/>
        <v>48.366666666666667</v>
      </c>
      <c r="L1742">
        <f t="shared" si="291"/>
        <v>58.66</v>
      </c>
      <c r="M1742">
        <f t="shared" si="292"/>
        <v>10.4125</v>
      </c>
      <c r="N1742">
        <f t="shared" si="293"/>
        <v>0.53</v>
      </c>
      <c r="O1742">
        <f t="shared" si="294"/>
        <v>6.5750000000000002</v>
      </c>
      <c r="P1742">
        <f t="shared" si="295"/>
        <v>10.340909090909092</v>
      </c>
      <c r="Q1742">
        <f t="shared" si="296"/>
        <v>10.472222222222223</v>
      </c>
      <c r="R1742">
        <f t="shared" si="297"/>
        <v>58.66</v>
      </c>
      <c r="S1742" t="str">
        <f t="shared" si="298"/>
        <v>Satisfactory</v>
      </c>
      <c r="T1742" t="str">
        <f t="shared" si="299"/>
        <v>PM10</v>
      </c>
      <c r="U1742">
        <v>21.92</v>
      </c>
      <c r="V1742">
        <v>89.46</v>
      </c>
    </row>
    <row r="1743" spans="1:22" x14ac:dyDescent="0.3">
      <c r="A1743" s="2" t="s">
        <v>15</v>
      </c>
      <c r="B1743">
        <v>560026</v>
      </c>
      <c r="C1743" s="4">
        <v>45300</v>
      </c>
      <c r="D1743">
        <v>37.369999999999997</v>
      </c>
      <c r="E1743">
        <v>83.12</v>
      </c>
      <c r="F1743">
        <v>8.5500000000000007</v>
      </c>
      <c r="G1743">
        <v>2.09</v>
      </c>
      <c r="H1743">
        <v>5.09</v>
      </c>
      <c r="I1743">
        <v>0.89</v>
      </c>
      <c r="J1743">
        <v>11.28</v>
      </c>
      <c r="K1743">
        <f t="shared" si="290"/>
        <v>62.283333333333331</v>
      </c>
      <c r="L1743">
        <f t="shared" si="291"/>
        <v>83.12</v>
      </c>
      <c r="M1743">
        <f t="shared" si="292"/>
        <v>10.687500000000002</v>
      </c>
      <c r="N1743">
        <f t="shared" si="293"/>
        <v>0.52249999999999996</v>
      </c>
      <c r="O1743">
        <f t="shared" si="294"/>
        <v>6.3624999999999998</v>
      </c>
      <c r="P1743">
        <f t="shared" si="295"/>
        <v>10.113636363636363</v>
      </c>
      <c r="Q1743">
        <f t="shared" si="296"/>
        <v>10.444444444444445</v>
      </c>
      <c r="R1743">
        <f t="shared" si="297"/>
        <v>83.12</v>
      </c>
      <c r="S1743" t="str">
        <f t="shared" si="298"/>
        <v>Satisfactory</v>
      </c>
      <c r="T1743" t="str">
        <f t="shared" si="299"/>
        <v>PM10</v>
      </c>
      <c r="U1743">
        <v>22.4</v>
      </c>
      <c r="V1743">
        <v>89.21</v>
      </c>
    </row>
    <row r="1744" spans="1:22" x14ac:dyDescent="0.3">
      <c r="A1744" s="2" t="s">
        <v>15</v>
      </c>
      <c r="B1744">
        <v>560026</v>
      </c>
      <c r="C1744" s="4">
        <v>45301</v>
      </c>
      <c r="D1744">
        <v>42.3</v>
      </c>
      <c r="E1744">
        <v>86.13</v>
      </c>
      <c r="F1744">
        <v>8.49</v>
      </c>
      <c r="G1744">
        <v>2.16</v>
      </c>
      <c r="H1744">
        <v>4.87</v>
      </c>
      <c r="I1744">
        <v>0.81</v>
      </c>
      <c r="J1744">
        <v>11.28</v>
      </c>
      <c r="K1744">
        <f t="shared" si="290"/>
        <v>70.5</v>
      </c>
      <c r="L1744">
        <f t="shared" si="291"/>
        <v>86.13</v>
      </c>
      <c r="M1744">
        <f t="shared" si="292"/>
        <v>10.612500000000001</v>
      </c>
      <c r="N1744">
        <f t="shared" si="293"/>
        <v>0.54</v>
      </c>
      <c r="O1744">
        <f t="shared" si="294"/>
        <v>6.0875000000000004</v>
      </c>
      <c r="P1744">
        <f t="shared" si="295"/>
        <v>9.204545454545455</v>
      </c>
      <c r="Q1744">
        <f t="shared" si="296"/>
        <v>10.444444444444445</v>
      </c>
      <c r="R1744">
        <f t="shared" si="297"/>
        <v>86.13</v>
      </c>
      <c r="S1744" t="str">
        <f t="shared" si="298"/>
        <v>Satisfactory</v>
      </c>
      <c r="T1744" t="str">
        <f t="shared" si="299"/>
        <v>PM10</v>
      </c>
      <c r="U1744">
        <v>22.82</v>
      </c>
      <c r="V1744">
        <v>89.06</v>
      </c>
    </row>
    <row r="1745" spans="1:22" x14ac:dyDescent="0.3">
      <c r="A1745" s="2" t="s">
        <v>15</v>
      </c>
      <c r="B1745">
        <v>560026</v>
      </c>
      <c r="C1745" s="4">
        <v>45302</v>
      </c>
      <c r="D1745">
        <v>56.97</v>
      </c>
      <c r="E1745">
        <v>98.71</v>
      </c>
      <c r="F1745">
        <v>8.31</v>
      </c>
      <c r="G1745">
        <v>2.12</v>
      </c>
      <c r="H1745">
        <v>5.15</v>
      </c>
      <c r="I1745">
        <v>0.87</v>
      </c>
      <c r="J1745">
        <v>11.19</v>
      </c>
      <c r="K1745">
        <f t="shared" si="290"/>
        <v>94.95</v>
      </c>
      <c r="L1745">
        <f t="shared" si="291"/>
        <v>98.71</v>
      </c>
      <c r="M1745">
        <f t="shared" si="292"/>
        <v>10.387499999999999</v>
      </c>
      <c r="N1745">
        <f t="shared" si="293"/>
        <v>0.53</v>
      </c>
      <c r="O1745">
        <f t="shared" si="294"/>
        <v>6.4375</v>
      </c>
      <c r="P1745">
        <f t="shared" si="295"/>
        <v>9.8863636363636367</v>
      </c>
      <c r="Q1745">
        <f t="shared" si="296"/>
        <v>10.361111111111111</v>
      </c>
      <c r="R1745">
        <f t="shared" si="297"/>
        <v>98.71</v>
      </c>
      <c r="S1745" t="str">
        <f t="shared" si="298"/>
        <v>Satisfactory</v>
      </c>
      <c r="T1745" t="str">
        <f t="shared" si="299"/>
        <v>PM10</v>
      </c>
      <c r="U1745">
        <v>23.77</v>
      </c>
      <c r="V1745">
        <v>88.85</v>
      </c>
    </row>
    <row r="1746" spans="1:22" x14ac:dyDescent="0.3">
      <c r="A1746" s="2" t="s">
        <v>15</v>
      </c>
      <c r="B1746">
        <v>560026</v>
      </c>
      <c r="C1746" s="4">
        <v>45303</v>
      </c>
      <c r="D1746">
        <v>58.23</v>
      </c>
      <c r="E1746">
        <v>102.17</v>
      </c>
      <c r="F1746">
        <v>8.5299999999999994</v>
      </c>
      <c r="G1746">
        <v>2.12</v>
      </c>
      <c r="H1746">
        <v>5.27</v>
      </c>
      <c r="I1746">
        <v>0.82</v>
      </c>
      <c r="J1746">
        <v>11.05</v>
      </c>
      <c r="K1746">
        <f t="shared" si="290"/>
        <v>97.049999999999983</v>
      </c>
      <c r="L1746">
        <f t="shared" si="291"/>
        <v>101.44666666666667</v>
      </c>
      <c r="M1746">
        <f t="shared" si="292"/>
        <v>10.662499999999998</v>
      </c>
      <c r="N1746">
        <f t="shared" si="293"/>
        <v>0.53</v>
      </c>
      <c r="O1746">
        <f t="shared" si="294"/>
        <v>6.5875000000000004</v>
      </c>
      <c r="P1746">
        <f t="shared" si="295"/>
        <v>9.3181818181818166</v>
      </c>
      <c r="Q1746">
        <f t="shared" si="296"/>
        <v>10.231481481481483</v>
      </c>
      <c r="R1746">
        <f t="shared" si="297"/>
        <v>101.44666666666667</v>
      </c>
      <c r="S1746" t="str">
        <f t="shared" si="298"/>
        <v>Moderate</v>
      </c>
      <c r="T1746" t="str">
        <f t="shared" si="299"/>
        <v>PM10</v>
      </c>
      <c r="U1746">
        <v>23.07</v>
      </c>
      <c r="V1746">
        <v>88.96</v>
      </c>
    </row>
    <row r="1747" spans="1:22" x14ac:dyDescent="0.3">
      <c r="A1747" s="2" t="s">
        <v>15</v>
      </c>
      <c r="B1747">
        <v>560026</v>
      </c>
      <c r="C1747" s="4">
        <v>45304</v>
      </c>
      <c r="D1747">
        <v>76.459999999999994</v>
      </c>
      <c r="E1747">
        <v>125.75</v>
      </c>
      <c r="F1747">
        <v>8.4700000000000006</v>
      </c>
      <c r="G1747">
        <v>2.16</v>
      </c>
      <c r="H1747">
        <v>5.54</v>
      </c>
      <c r="I1747">
        <v>0.91</v>
      </c>
      <c r="J1747">
        <v>11.09</v>
      </c>
      <c r="K1747">
        <f t="shared" si="290"/>
        <v>154.86666666666665</v>
      </c>
      <c r="L1747">
        <f t="shared" si="291"/>
        <v>117.16666666666667</v>
      </c>
      <c r="M1747">
        <f t="shared" si="292"/>
        <v>10.587500000000002</v>
      </c>
      <c r="N1747">
        <f t="shared" si="293"/>
        <v>0.54</v>
      </c>
      <c r="O1747">
        <f t="shared" si="294"/>
        <v>6.9249999999999998</v>
      </c>
      <c r="P1747">
        <f t="shared" si="295"/>
        <v>10.340909090909092</v>
      </c>
      <c r="Q1747">
        <f t="shared" si="296"/>
        <v>10.268518518518519</v>
      </c>
      <c r="R1747">
        <f t="shared" si="297"/>
        <v>154.86666666666665</v>
      </c>
      <c r="S1747" t="str">
        <f t="shared" si="298"/>
        <v>Moderate</v>
      </c>
      <c r="T1747" t="str">
        <f t="shared" si="299"/>
        <v>PM2.5</v>
      </c>
      <c r="U1747">
        <v>23.32</v>
      </c>
      <c r="V1747">
        <v>89</v>
      </c>
    </row>
    <row r="1748" spans="1:22" x14ac:dyDescent="0.3">
      <c r="A1748" s="2" t="s">
        <v>15</v>
      </c>
      <c r="B1748">
        <v>560026</v>
      </c>
      <c r="C1748" s="4">
        <v>45305</v>
      </c>
      <c r="D1748">
        <v>79.63</v>
      </c>
      <c r="E1748">
        <v>153.56</v>
      </c>
      <c r="F1748">
        <v>8.57</v>
      </c>
      <c r="G1748">
        <v>2.09</v>
      </c>
      <c r="H1748">
        <v>4.34</v>
      </c>
      <c r="I1748">
        <v>1.1499999999999999</v>
      </c>
      <c r="J1748">
        <v>11.12</v>
      </c>
      <c r="K1748">
        <f t="shared" si="290"/>
        <v>165.43333333333334</v>
      </c>
      <c r="L1748">
        <f t="shared" si="291"/>
        <v>135.70666666666665</v>
      </c>
      <c r="M1748">
        <f t="shared" si="292"/>
        <v>10.7125</v>
      </c>
      <c r="N1748">
        <f t="shared" si="293"/>
        <v>0.52249999999999996</v>
      </c>
      <c r="O1748">
        <f t="shared" si="294"/>
        <v>5.4249999999999998</v>
      </c>
      <c r="P1748">
        <f t="shared" si="295"/>
        <v>13.068181818181817</v>
      </c>
      <c r="Q1748">
        <f t="shared" si="296"/>
        <v>10.296296296296296</v>
      </c>
      <c r="R1748">
        <f t="shared" si="297"/>
        <v>165.43333333333334</v>
      </c>
      <c r="S1748" t="str">
        <f t="shared" si="298"/>
        <v>Moderate</v>
      </c>
      <c r="T1748" t="str">
        <f t="shared" si="299"/>
        <v>PM2.5</v>
      </c>
      <c r="U1748">
        <v>24.49</v>
      </c>
      <c r="V1748">
        <v>88.77</v>
      </c>
    </row>
    <row r="1749" spans="1:22" x14ac:dyDescent="0.3">
      <c r="A1749" s="2" t="s">
        <v>15</v>
      </c>
      <c r="B1749">
        <v>560026</v>
      </c>
      <c r="C1749" s="4">
        <v>45306</v>
      </c>
      <c r="D1749">
        <v>74.760000000000005</v>
      </c>
      <c r="E1749">
        <v>131.68</v>
      </c>
      <c r="F1749">
        <v>8.6</v>
      </c>
      <c r="G1749">
        <v>2.14</v>
      </c>
      <c r="H1749">
        <v>5.09</v>
      </c>
      <c r="I1749">
        <v>0.92</v>
      </c>
      <c r="J1749">
        <v>11.05</v>
      </c>
      <c r="K1749">
        <f t="shared" si="290"/>
        <v>149.20000000000002</v>
      </c>
      <c r="L1749">
        <f t="shared" si="291"/>
        <v>121.12</v>
      </c>
      <c r="M1749">
        <f t="shared" si="292"/>
        <v>10.75</v>
      </c>
      <c r="N1749">
        <f t="shared" si="293"/>
        <v>0.53500000000000003</v>
      </c>
      <c r="O1749">
        <f t="shared" si="294"/>
        <v>6.3624999999999998</v>
      </c>
      <c r="P1749">
        <f t="shared" si="295"/>
        <v>10.454545454545455</v>
      </c>
      <c r="Q1749">
        <f t="shared" si="296"/>
        <v>10.231481481481483</v>
      </c>
      <c r="R1749">
        <f t="shared" si="297"/>
        <v>149.20000000000002</v>
      </c>
      <c r="S1749" t="str">
        <f t="shared" si="298"/>
        <v>Moderate</v>
      </c>
      <c r="T1749" t="str">
        <f t="shared" si="299"/>
        <v>PM2.5</v>
      </c>
      <c r="U1749">
        <v>24.07</v>
      </c>
      <c r="V1749">
        <v>88.78</v>
      </c>
    </row>
    <row r="1750" spans="1:22" x14ac:dyDescent="0.3">
      <c r="A1750" s="2" t="s">
        <v>15</v>
      </c>
      <c r="B1750">
        <v>560026</v>
      </c>
      <c r="C1750" s="4">
        <v>45307</v>
      </c>
      <c r="D1750">
        <v>76.81</v>
      </c>
      <c r="E1750">
        <v>129.04</v>
      </c>
      <c r="F1750">
        <v>8.52</v>
      </c>
      <c r="G1750">
        <v>2.09</v>
      </c>
      <c r="H1750">
        <v>5.15</v>
      </c>
      <c r="I1750">
        <v>0.66</v>
      </c>
      <c r="J1750">
        <v>12.53</v>
      </c>
      <c r="K1750">
        <f t="shared" si="290"/>
        <v>156.03333333333333</v>
      </c>
      <c r="L1750">
        <f t="shared" si="291"/>
        <v>119.35999999999999</v>
      </c>
      <c r="M1750">
        <f t="shared" si="292"/>
        <v>10.65</v>
      </c>
      <c r="N1750">
        <f t="shared" si="293"/>
        <v>0.52249999999999996</v>
      </c>
      <c r="O1750">
        <f t="shared" si="294"/>
        <v>6.4375</v>
      </c>
      <c r="P1750">
        <f t="shared" si="295"/>
        <v>7.5</v>
      </c>
      <c r="Q1750">
        <f t="shared" si="296"/>
        <v>11.601851851851851</v>
      </c>
      <c r="R1750">
        <f t="shared" si="297"/>
        <v>156.03333333333333</v>
      </c>
      <c r="S1750" t="str">
        <f t="shared" si="298"/>
        <v>Moderate</v>
      </c>
      <c r="T1750" t="str">
        <f t="shared" si="299"/>
        <v>PM2.5</v>
      </c>
      <c r="U1750">
        <v>20.78</v>
      </c>
      <c r="V1750">
        <v>89.54</v>
      </c>
    </row>
    <row r="1751" spans="1:22" x14ac:dyDescent="0.3">
      <c r="A1751" s="2" t="s">
        <v>15</v>
      </c>
      <c r="B1751">
        <v>560026</v>
      </c>
      <c r="C1751" s="4">
        <v>45308</v>
      </c>
      <c r="D1751">
        <v>61.39</v>
      </c>
      <c r="E1751">
        <v>107.34</v>
      </c>
      <c r="F1751">
        <v>8.52</v>
      </c>
      <c r="G1751">
        <v>2.11</v>
      </c>
      <c r="H1751">
        <v>4.71</v>
      </c>
      <c r="I1751">
        <v>0.57999999999999996</v>
      </c>
      <c r="J1751">
        <v>11.39</v>
      </c>
      <c r="K1751">
        <f t="shared" si="290"/>
        <v>104.63333333333334</v>
      </c>
      <c r="L1751">
        <f t="shared" si="291"/>
        <v>104.89333333333333</v>
      </c>
      <c r="M1751">
        <f t="shared" si="292"/>
        <v>10.65</v>
      </c>
      <c r="N1751">
        <f t="shared" si="293"/>
        <v>0.52749999999999997</v>
      </c>
      <c r="O1751">
        <f t="shared" si="294"/>
        <v>5.8875000000000002</v>
      </c>
      <c r="P1751">
        <f t="shared" si="295"/>
        <v>6.5909090909090899</v>
      </c>
      <c r="Q1751">
        <f t="shared" si="296"/>
        <v>10.546296296296298</v>
      </c>
      <c r="R1751">
        <f t="shared" si="297"/>
        <v>104.89333333333333</v>
      </c>
      <c r="S1751" t="str">
        <f t="shared" si="298"/>
        <v>Moderate</v>
      </c>
      <c r="T1751" t="str">
        <f t="shared" si="299"/>
        <v>PM10</v>
      </c>
      <c r="U1751">
        <v>23.97</v>
      </c>
      <c r="V1751">
        <v>88.79</v>
      </c>
    </row>
    <row r="1752" spans="1:22" x14ac:dyDescent="0.3">
      <c r="A1752" s="2" t="s">
        <v>15</v>
      </c>
      <c r="B1752">
        <v>560026</v>
      </c>
      <c r="C1752" s="4">
        <v>45309</v>
      </c>
      <c r="D1752">
        <v>61.48</v>
      </c>
      <c r="E1752">
        <v>103.54</v>
      </c>
      <c r="F1752">
        <v>8.3800000000000008</v>
      </c>
      <c r="G1752">
        <v>2.1</v>
      </c>
      <c r="H1752">
        <v>5.0599999999999996</v>
      </c>
      <c r="I1752">
        <v>0.73</v>
      </c>
      <c r="J1752">
        <v>11.7</v>
      </c>
      <c r="K1752">
        <f t="shared" si="290"/>
        <v>104.93333333333332</v>
      </c>
      <c r="L1752">
        <f t="shared" si="291"/>
        <v>102.36</v>
      </c>
      <c r="M1752">
        <f t="shared" si="292"/>
        <v>10.475000000000001</v>
      </c>
      <c r="N1752">
        <f t="shared" si="293"/>
        <v>0.52500000000000002</v>
      </c>
      <c r="O1752">
        <f t="shared" si="294"/>
        <v>6.3249999999999993</v>
      </c>
      <c r="P1752">
        <f t="shared" si="295"/>
        <v>8.295454545454545</v>
      </c>
      <c r="Q1752">
        <f t="shared" si="296"/>
        <v>10.833333333333332</v>
      </c>
      <c r="R1752">
        <f t="shared" si="297"/>
        <v>104.93333333333332</v>
      </c>
      <c r="S1752" t="str">
        <f t="shared" si="298"/>
        <v>Moderate</v>
      </c>
      <c r="T1752" t="str">
        <f t="shared" si="299"/>
        <v>PM2.5</v>
      </c>
      <c r="U1752">
        <v>23.86</v>
      </c>
      <c r="V1752">
        <v>88.77</v>
      </c>
    </row>
    <row r="1753" spans="1:22" x14ac:dyDescent="0.3">
      <c r="A1753" s="2" t="s">
        <v>15</v>
      </c>
      <c r="B1753">
        <v>560026</v>
      </c>
      <c r="C1753" s="4">
        <v>45310</v>
      </c>
      <c r="D1753">
        <v>52.43</v>
      </c>
      <c r="E1753">
        <v>110.25</v>
      </c>
      <c r="F1753">
        <v>8.6</v>
      </c>
      <c r="G1753">
        <v>2.08</v>
      </c>
      <c r="H1753">
        <v>4.79</v>
      </c>
      <c r="I1753">
        <v>0.69</v>
      </c>
      <c r="J1753">
        <v>11.38</v>
      </c>
      <c r="K1753">
        <f t="shared" si="290"/>
        <v>87.383333333333326</v>
      </c>
      <c r="L1753">
        <f t="shared" si="291"/>
        <v>106.83333333333333</v>
      </c>
      <c r="M1753">
        <f t="shared" si="292"/>
        <v>10.75</v>
      </c>
      <c r="N1753">
        <f t="shared" si="293"/>
        <v>0.52</v>
      </c>
      <c r="O1753">
        <f t="shared" si="294"/>
        <v>5.9874999999999998</v>
      </c>
      <c r="P1753">
        <f t="shared" si="295"/>
        <v>7.8409090909090899</v>
      </c>
      <c r="Q1753">
        <f t="shared" si="296"/>
        <v>10.537037037037038</v>
      </c>
      <c r="R1753">
        <f t="shared" si="297"/>
        <v>106.83333333333333</v>
      </c>
      <c r="S1753" t="str">
        <f t="shared" si="298"/>
        <v>Moderate</v>
      </c>
      <c r="T1753" t="str">
        <f t="shared" si="299"/>
        <v>PM10</v>
      </c>
      <c r="U1753">
        <v>24.36</v>
      </c>
      <c r="V1753">
        <v>88.76</v>
      </c>
    </row>
    <row r="1754" spans="1:22" x14ac:dyDescent="0.3">
      <c r="A1754" s="2" t="s">
        <v>15</v>
      </c>
      <c r="B1754">
        <v>560026</v>
      </c>
      <c r="C1754" s="4">
        <v>45311</v>
      </c>
      <c r="D1754">
        <v>51.75</v>
      </c>
      <c r="E1754">
        <v>99.91</v>
      </c>
      <c r="F1754">
        <v>8.49</v>
      </c>
      <c r="G1754">
        <v>2.0699999999999998</v>
      </c>
      <c r="H1754">
        <v>4.1100000000000003</v>
      </c>
      <c r="I1754">
        <v>0.59</v>
      </c>
      <c r="J1754">
        <v>11.23</v>
      </c>
      <c r="K1754">
        <f t="shared" si="290"/>
        <v>86.25</v>
      </c>
      <c r="L1754">
        <f t="shared" si="291"/>
        <v>99.91</v>
      </c>
      <c r="M1754">
        <f t="shared" si="292"/>
        <v>10.612500000000001</v>
      </c>
      <c r="N1754">
        <f t="shared" si="293"/>
        <v>0.51749999999999996</v>
      </c>
      <c r="O1754">
        <f t="shared" si="294"/>
        <v>5.1375000000000011</v>
      </c>
      <c r="P1754">
        <f t="shared" si="295"/>
        <v>6.7045454545454541</v>
      </c>
      <c r="Q1754">
        <f t="shared" si="296"/>
        <v>10.398148148148149</v>
      </c>
      <c r="R1754">
        <f t="shared" si="297"/>
        <v>99.91</v>
      </c>
      <c r="S1754" t="str">
        <f t="shared" si="298"/>
        <v>Satisfactory</v>
      </c>
      <c r="T1754" t="str">
        <f t="shared" si="299"/>
        <v>PM10</v>
      </c>
      <c r="U1754">
        <v>24.46</v>
      </c>
      <c r="V1754">
        <v>88.71</v>
      </c>
    </row>
    <row r="1755" spans="1:22" x14ac:dyDescent="0.3">
      <c r="A1755" s="2" t="s">
        <v>15</v>
      </c>
      <c r="B1755">
        <v>560026</v>
      </c>
      <c r="C1755" s="4">
        <v>45312</v>
      </c>
      <c r="D1755">
        <v>54.45</v>
      </c>
      <c r="E1755">
        <v>109.67</v>
      </c>
      <c r="F1755">
        <v>8.34</v>
      </c>
      <c r="G1755">
        <v>2.09</v>
      </c>
      <c r="H1755">
        <v>4.54</v>
      </c>
      <c r="I1755">
        <v>0.66</v>
      </c>
      <c r="J1755">
        <v>11.05</v>
      </c>
      <c r="K1755">
        <f t="shared" si="290"/>
        <v>90.75</v>
      </c>
      <c r="L1755">
        <f t="shared" si="291"/>
        <v>106.44666666666667</v>
      </c>
      <c r="M1755">
        <f t="shared" si="292"/>
        <v>10.425000000000001</v>
      </c>
      <c r="N1755">
        <f t="shared" si="293"/>
        <v>0.52249999999999996</v>
      </c>
      <c r="O1755">
        <f t="shared" si="294"/>
        <v>5.6749999999999998</v>
      </c>
      <c r="P1755">
        <f t="shared" si="295"/>
        <v>7.5</v>
      </c>
      <c r="Q1755">
        <f t="shared" si="296"/>
        <v>10.231481481481483</v>
      </c>
      <c r="R1755">
        <f t="shared" si="297"/>
        <v>106.44666666666667</v>
      </c>
      <c r="S1755" t="str">
        <f t="shared" si="298"/>
        <v>Moderate</v>
      </c>
      <c r="T1755" t="str">
        <f t="shared" si="299"/>
        <v>PM10</v>
      </c>
      <c r="U1755">
        <v>24.91</v>
      </c>
      <c r="V1755">
        <v>88.48</v>
      </c>
    </row>
    <row r="1756" spans="1:22" x14ac:dyDescent="0.3">
      <c r="A1756" s="2" t="s">
        <v>15</v>
      </c>
      <c r="B1756">
        <v>560026</v>
      </c>
      <c r="C1756" s="4">
        <v>45313</v>
      </c>
      <c r="D1756">
        <v>49.35</v>
      </c>
      <c r="E1756">
        <v>90.21</v>
      </c>
      <c r="F1756">
        <v>8.39</v>
      </c>
      <c r="G1756">
        <v>2.12</v>
      </c>
      <c r="H1756">
        <v>4.71</v>
      </c>
      <c r="I1756">
        <v>0.68</v>
      </c>
      <c r="J1756">
        <v>9.3699999999999992</v>
      </c>
      <c r="K1756">
        <f t="shared" si="290"/>
        <v>82.25</v>
      </c>
      <c r="L1756">
        <f t="shared" si="291"/>
        <v>90.21</v>
      </c>
      <c r="M1756">
        <f t="shared" si="292"/>
        <v>10.487500000000001</v>
      </c>
      <c r="N1756">
        <f t="shared" si="293"/>
        <v>0.53</v>
      </c>
      <c r="O1756">
        <f t="shared" si="294"/>
        <v>5.8875000000000002</v>
      </c>
      <c r="P1756">
        <f t="shared" si="295"/>
        <v>7.7272727272727275</v>
      </c>
      <c r="Q1756">
        <f t="shared" si="296"/>
        <v>8.6759259259259256</v>
      </c>
      <c r="R1756">
        <f t="shared" si="297"/>
        <v>90.21</v>
      </c>
      <c r="S1756" t="str">
        <f t="shared" si="298"/>
        <v>Satisfactory</v>
      </c>
      <c r="T1756" t="str">
        <f t="shared" si="299"/>
        <v>PM10</v>
      </c>
      <c r="U1756">
        <v>25.27</v>
      </c>
      <c r="V1756">
        <v>88.48</v>
      </c>
    </row>
    <row r="1757" spans="1:22" x14ac:dyDescent="0.3">
      <c r="A1757" s="2" t="s">
        <v>15</v>
      </c>
      <c r="B1757">
        <v>560026</v>
      </c>
      <c r="C1757" s="4">
        <v>45314</v>
      </c>
      <c r="D1757">
        <v>52.66</v>
      </c>
      <c r="E1757">
        <v>91.75</v>
      </c>
      <c r="F1757">
        <v>8.44</v>
      </c>
      <c r="G1757">
        <v>2.09</v>
      </c>
      <c r="H1757">
        <v>5.51</v>
      </c>
      <c r="I1757">
        <v>0.79</v>
      </c>
      <c r="J1757">
        <v>9.9700000000000006</v>
      </c>
      <c r="K1757">
        <f t="shared" si="290"/>
        <v>87.766666666666652</v>
      </c>
      <c r="L1757">
        <f t="shared" si="291"/>
        <v>91.75</v>
      </c>
      <c r="M1757">
        <f t="shared" si="292"/>
        <v>10.55</v>
      </c>
      <c r="N1757">
        <f t="shared" si="293"/>
        <v>0.52249999999999996</v>
      </c>
      <c r="O1757">
        <f t="shared" si="294"/>
        <v>6.8875000000000002</v>
      </c>
      <c r="P1757">
        <f t="shared" si="295"/>
        <v>8.9772727272727266</v>
      </c>
      <c r="Q1757">
        <f t="shared" si="296"/>
        <v>9.2314814814814827</v>
      </c>
      <c r="R1757">
        <f t="shared" si="297"/>
        <v>91.75</v>
      </c>
      <c r="S1757" t="str">
        <f t="shared" si="298"/>
        <v>Satisfactory</v>
      </c>
      <c r="T1757" t="str">
        <f t="shared" si="299"/>
        <v>PM10</v>
      </c>
      <c r="U1757">
        <v>24.99</v>
      </c>
      <c r="V1757">
        <v>88.5</v>
      </c>
    </row>
    <row r="1758" spans="1:22" x14ac:dyDescent="0.3">
      <c r="A1758" s="2" t="s">
        <v>15</v>
      </c>
      <c r="B1758">
        <v>560026</v>
      </c>
      <c r="C1758" s="4">
        <v>45315</v>
      </c>
      <c r="D1758">
        <v>54.11</v>
      </c>
      <c r="E1758">
        <v>91.12</v>
      </c>
      <c r="F1758">
        <v>8.4700000000000006</v>
      </c>
      <c r="G1758">
        <v>2.08</v>
      </c>
      <c r="H1758">
        <v>5.21</v>
      </c>
      <c r="I1758">
        <v>0.75</v>
      </c>
      <c r="J1758">
        <v>10.37</v>
      </c>
      <c r="K1758">
        <f t="shared" si="290"/>
        <v>90.183333333333337</v>
      </c>
      <c r="L1758">
        <f t="shared" si="291"/>
        <v>91.12</v>
      </c>
      <c r="M1758">
        <f t="shared" si="292"/>
        <v>10.587500000000002</v>
      </c>
      <c r="N1758">
        <f t="shared" si="293"/>
        <v>0.52</v>
      </c>
      <c r="O1758">
        <f t="shared" si="294"/>
        <v>6.5125000000000002</v>
      </c>
      <c r="P1758">
        <f t="shared" si="295"/>
        <v>8.5227272727272734</v>
      </c>
      <c r="Q1758">
        <f t="shared" si="296"/>
        <v>9.6018518518518512</v>
      </c>
      <c r="R1758">
        <f t="shared" si="297"/>
        <v>91.12</v>
      </c>
      <c r="S1758" t="str">
        <f t="shared" si="298"/>
        <v>Satisfactory</v>
      </c>
      <c r="T1758" t="str">
        <f t="shared" si="299"/>
        <v>PM10</v>
      </c>
      <c r="U1758">
        <v>24.22</v>
      </c>
      <c r="V1758">
        <v>88.72</v>
      </c>
    </row>
    <row r="1759" spans="1:22" x14ac:dyDescent="0.3">
      <c r="A1759" s="2" t="s">
        <v>15</v>
      </c>
      <c r="B1759">
        <v>560026</v>
      </c>
      <c r="C1759" s="4">
        <v>45316</v>
      </c>
      <c r="D1759">
        <v>66.58</v>
      </c>
      <c r="E1759">
        <v>95.93</v>
      </c>
      <c r="F1759">
        <v>8.3699999999999992</v>
      </c>
      <c r="G1759">
        <v>2.11</v>
      </c>
      <c r="H1759">
        <v>5.68</v>
      </c>
      <c r="I1759">
        <v>0.82</v>
      </c>
      <c r="J1759">
        <v>10.36</v>
      </c>
      <c r="K1759">
        <f t="shared" si="290"/>
        <v>121.93333333333332</v>
      </c>
      <c r="L1759">
        <f t="shared" si="291"/>
        <v>95.93</v>
      </c>
      <c r="M1759">
        <f t="shared" si="292"/>
        <v>10.462499999999999</v>
      </c>
      <c r="N1759">
        <f t="shared" si="293"/>
        <v>0.52749999999999997</v>
      </c>
      <c r="O1759">
        <f t="shared" si="294"/>
        <v>7.1</v>
      </c>
      <c r="P1759">
        <f t="shared" si="295"/>
        <v>9.3181818181818166</v>
      </c>
      <c r="Q1759">
        <f t="shared" si="296"/>
        <v>9.5925925925925917</v>
      </c>
      <c r="R1759">
        <f t="shared" si="297"/>
        <v>121.93333333333332</v>
      </c>
      <c r="S1759" t="str">
        <f t="shared" si="298"/>
        <v>Moderate</v>
      </c>
      <c r="T1759" t="str">
        <f t="shared" si="299"/>
        <v>PM2.5</v>
      </c>
      <c r="U1759">
        <v>24.92</v>
      </c>
      <c r="V1759">
        <v>88.48</v>
      </c>
    </row>
    <row r="1760" spans="1:22" x14ac:dyDescent="0.3">
      <c r="A1760" s="2" t="s">
        <v>15</v>
      </c>
      <c r="B1760">
        <v>560026</v>
      </c>
      <c r="C1760" s="4">
        <v>45317</v>
      </c>
      <c r="D1760">
        <v>51.68</v>
      </c>
      <c r="E1760">
        <v>78.989999999999995</v>
      </c>
      <c r="F1760">
        <v>8.4</v>
      </c>
      <c r="G1760">
        <v>2.12</v>
      </c>
      <c r="H1760">
        <v>5.54</v>
      </c>
      <c r="I1760">
        <v>0.8</v>
      </c>
      <c r="J1760">
        <v>10.56</v>
      </c>
      <c r="K1760">
        <f t="shared" si="290"/>
        <v>86.133333333333326</v>
      </c>
      <c r="L1760">
        <f t="shared" si="291"/>
        <v>78.989999999999995</v>
      </c>
      <c r="M1760">
        <f t="shared" si="292"/>
        <v>10.5</v>
      </c>
      <c r="N1760">
        <f t="shared" si="293"/>
        <v>0.53</v>
      </c>
      <c r="O1760">
        <f t="shared" si="294"/>
        <v>6.9249999999999998</v>
      </c>
      <c r="P1760">
        <f t="shared" si="295"/>
        <v>9.0909090909090917</v>
      </c>
      <c r="Q1760">
        <f t="shared" si="296"/>
        <v>9.7777777777777786</v>
      </c>
      <c r="R1760">
        <f t="shared" si="297"/>
        <v>86.133333333333326</v>
      </c>
      <c r="S1760" t="str">
        <f t="shared" si="298"/>
        <v>Satisfactory</v>
      </c>
      <c r="T1760" t="str">
        <f t="shared" si="299"/>
        <v>PM2.5</v>
      </c>
      <c r="U1760">
        <v>23.91</v>
      </c>
      <c r="V1760">
        <v>88.72</v>
      </c>
    </row>
    <row r="1761" spans="1:22" x14ac:dyDescent="0.3">
      <c r="A1761" s="2" t="s">
        <v>15</v>
      </c>
      <c r="B1761">
        <v>560026</v>
      </c>
      <c r="C1761" s="4">
        <v>45318</v>
      </c>
      <c r="D1761">
        <v>43.39</v>
      </c>
      <c r="E1761">
        <v>79.180000000000007</v>
      </c>
      <c r="F1761">
        <v>8.51</v>
      </c>
      <c r="G1761">
        <v>2.08</v>
      </c>
      <c r="H1761">
        <v>5.52</v>
      </c>
      <c r="I1761">
        <v>0.8</v>
      </c>
      <c r="J1761">
        <v>10.19</v>
      </c>
      <c r="K1761">
        <f t="shared" si="290"/>
        <v>72.316666666666663</v>
      </c>
      <c r="L1761">
        <f t="shared" si="291"/>
        <v>79.180000000000007</v>
      </c>
      <c r="M1761">
        <f t="shared" si="292"/>
        <v>10.637499999999999</v>
      </c>
      <c r="N1761">
        <f t="shared" si="293"/>
        <v>0.52</v>
      </c>
      <c r="O1761">
        <f t="shared" si="294"/>
        <v>6.9</v>
      </c>
      <c r="P1761">
        <f t="shared" si="295"/>
        <v>9.0909090909090917</v>
      </c>
      <c r="Q1761">
        <f t="shared" si="296"/>
        <v>9.4351851851851851</v>
      </c>
      <c r="R1761">
        <f t="shared" si="297"/>
        <v>79.180000000000007</v>
      </c>
      <c r="S1761" t="str">
        <f t="shared" si="298"/>
        <v>Satisfactory</v>
      </c>
      <c r="T1761" t="str">
        <f t="shared" si="299"/>
        <v>PM10</v>
      </c>
      <c r="U1761">
        <v>23.5</v>
      </c>
      <c r="V1761">
        <v>88.8</v>
      </c>
    </row>
    <row r="1762" spans="1:22" x14ac:dyDescent="0.3">
      <c r="A1762" s="2" t="s">
        <v>15</v>
      </c>
      <c r="B1762">
        <v>560026</v>
      </c>
      <c r="C1762" s="4">
        <v>45319</v>
      </c>
      <c r="D1762">
        <v>43.22</v>
      </c>
      <c r="E1762">
        <v>75.91</v>
      </c>
      <c r="F1762">
        <v>8.43</v>
      </c>
      <c r="G1762">
        <v>2.11</v>
      </c>
      <c r="H1762">
        <v>5.26</v>
      </c>
      <c r="I1762">
        <v>0.76</v>
      </c>
      <c r="J1762">
        <v>10.28</v>
      </c>
      <c r="K1762">
        <f t="shared" si="290"/>
        <v>72.033333333333331</v>
      </c>
      <c r="L1762">
        <f t="shared" si="291"/>
        <v>75.91</v>
      </c>
      <c r="M1762">
        <f t="shared" si="292"/>
        <v>10.5375</v>
      </c>
      <c r="N1762">
        <f t="shared" si="293"/>
        <v>0.52749999999999997</v>
      </c>
      <c r="O1762">
        <f t="shared" si="294"/>
        <v>6.5750000000000002</v>
      </c>
      <c r="P1762">
        <f t="shared" si="295"/>
        <v>8.6363636363636367</v>
      </c>
      <c r="Q1762">
        <f t="shared" si="296"/>
        <v>9.5185185185185173</v>
      </c>
      <c r="R1762">
        <f t="shared" si="297"/>
        <v>75.91</v>
      </c>
      <c r="S1762" t="str">
        <f t="shared" si="298"/>
        <v>Satisfactory</v>
      </c>
      <c r="T1762" t="str">
        <f t="shared" si="299"/>
        <v>PM10</v>
      </c>
      <c r="U1762">
        <v>23.43</v>
      </c>
      <c r="V1762">
        <v>88.78</v>
      </c>
    </row>
    <row r="1763" spans="1:22" x14ac:dyDescent="0.3">
      <c r="A1763" s="2" t="s">
        <v>15</v>
      </c>
      <c r="B1763">
        <v>560026</v>
      </c>
      <c r="C1763" s="4">
        <v>45320</v>
      </c>
      <c r="D1763">
        <v>61.34</v>
      </c>
      <c r="E1763">
        <v>98</v>
      </c>
      <c r="F1763">
        <v>8.44</v>
      </c>
      <c r="G1763">
        <v>2.1</v>
      </c>
      <c r="H1763">
        <v>5.3</v>
      </c>
      <c r="I1763">
        <v>0.76</v>
      </c>
      <c r="J1763">
        <v>10.6</v>
      </c>
      <c r="K1763">
        <f t="shared" si="290"/>
        <v>104.46666666666668</v>
      </c>
      <c r="L1763">
        <f t="shared" si="291"/>
        <v>98</v>
      </c>
      <c r="M1763">
        <f t="shared" si="292"/>
        <v>10.55</v>
      </c>
      <c r="N1763">
        <f t="shared" si="293"/>
        <v>0.52500000000000002</v>
      </c>
      <c r="O1763">
        <f t="shared" si="294"/>
        <v>6.625</v>
      </c>
      <c r="P1763">
        <f t="shared" si="295"/>
        <v>8.6363636363636367</v>
      </c>
      <c r="Q1763">
        <f t="shared" si="296"/>
        <v>9.8148148148148149</v>
      </c>
      <c r="R1763">
        <f t="shared" si="297"/>
        <v>104.46666666666668</v>
      </c>
      <c r="S1763" t="str">
        <f t="shared" si="298"/>
        <v>Moderate</v>
      </c>
      <c r="T1763" t="str">
        <f t="shared" si="299"/>
        <v>PM2.5</v>
      </c>
      <c r="U1763">
        <v>23.64</v>
      </c>
      <c r="V1763">
        <v>88.77</v>
      </c>
    </row>
    <row r="1764" spans="1:22" x14ac:dyDescent="0.3">
      <c r="A1764" s="2" t="s">
        <v>15</v>
      </c>
      <c r="B1764">
        <v>560026</v>
      </c>
      <c r="C1764" s="4">
        <v>45321</v>
      </c>
      <c r="D1764">
        <v>73.02</v>
      </c>
      <c r="E1764">
        <v>137.94</v>
      </c>
      <c r="F1764">
        <v>8.4</v>
      </c>
      <c r="G1764">
        <v>2.14</v>
      </c>
      <c r="H1764">
        <v>5.33</v>
      </c>
      <c r="I1764">
        <v>0.77</v>
      </c>
      <c r="J1764">
        <v>10.81</v>
      </c>
      <c r="K1764">
        <f t="shared" si="290"/>
        <v>143.39999999999998</v>
      </c>
      <c r="L1764">
        <f t="shared" si="291"/>
        <v>125.29333333333334</v>
      </c>
      <c r="M1764">
        <f t="shared" si="292"/>
        <v>10.5</v>
      </c>
      <c r="N1764">
        <f t="shared" si="293"/>
        <v>0.53500000000000003</v>
      </c>
      <c r="O1764">
        <f t="shared" si="294"/>
        <v>6.6624999999999996</v>
      </c>
      <c r="P1764">
        <f t="shared" si="295"/>
        <v>8.75</v>
      </c>
      <c r="Q1764">
        <f t="shared" si="296"/>
        <v>10.00925925925926</v>
      </c>
      <c r="R1764">
        <f t="shared" si="297"/>
        <v>143.39999999999998</v>
      </c>
      <c r="S1764" t="str">
        <f t="shared" si="298"/>
        <v>Moderate</v>
      </c>
      <c r="T1764" t="str">
        <f t="shared" si="299"/>
        <v>PM2.5</v>
      </c>
      <c r="U1764">
        <v>24.15</v>
      </c>
      <c r="V1764">
        <v>88.59</v>
      </c>
    </row>
    <row r="1765" spans="1:22" x14ac:dyDescent="0.3">
      <c r="A1765" s="2" t="s">
        <v>15</v>
      </c>
      <c r="B1765">
        <v>560026</v>
      </c>
      <c r="C1765" s="4">
        <v>45322</v>
      </c>
      <c r="D1765">
        <v>66</v>
      </c>
      <c r="E1765">
        <v>140.43</v>
      </c>
      <c r="F1765">
        <v>8.6199999999999992</v>
      </c>
      <c r="G1765">
        <v>2.08</v>
      </c>
      <c r="H1765">
        <v>5.74</v>
      </c>
      <c r="I1765">
        <v>0.83</v>
      </c>
      <c r="J1765">
        <v>10.75</v>
      </c>
      <c r="K1765">
        <f t="shared" si="290"/>
        <v>120</v>
      </c>
      <c r="L1765">
        <f t="shared" si="291"/>
        <v>126.95333333333335</v>
      </c>
      <c r="M1765">
        <f t="shared" si="292"/>
        <v>10.774999999999999</v>
      </c>
      <c r="N1765">
        <f t="shared" si="293"/>
        <v>0.52</v>
      </c>
      <c r="O1765">
        <f t="shared" si="294"/>
        <v>7.1749999999999998</v>
      </c>
      <c r="P1765">
        <f t="shared" si="295"/>
        <v>9.4318181818181817</v>
      </c>
      <c r="Q1765">
        <f t="shared" si="296"/>
        <v>9.9537037037037042</v>
      </c>
      <c r="R1765">
        <f t="shared" si="297"/>
        <v>126.95333333333335</v>
      </c>
      <c r="S1765" t="str">
        <f t="shared" si="298"/>
        <v>Moderate</v>
      </c>
      <c r="T1765" t="str">
        <f t="shared" si="299"/>
        <v>PM10</v>
      </c>
      <c r="U1765">
        <v>24.84</v>
      </c>
      <c r="V1765">
        <v>88.46</v>
      </c>
    </row>
    <row r="1766" spans="1:22" x14ac:dyDescent="0.3">
      <c r="A1766" s="2" t="s">
        <v>15</v>
      </c>
      <c r="B1766">
        <v>560026</v>
      </c>
      <c r="C1766" s="4">
        <v>45323</v>
      </c>
      <c r="D1766">
        <v>41.72</v>
      </c>
      <c r="E1766">
        <v>91.3</v>
      </c>
      <c r="F1766">
        <v>8.6300000000000008</v>
      </c>
      <c r="G1766">
        <v>2.09</v>
      </c>
      <c r="H1766">
        <v>5.29</v>
      </c>
      <c r="I1766">
        <v>0.76</v>
      </c>
      <c r="J1766">
        <v>11.06</v>
      </c>
      <c r="K1766">
        <f t="shared" si="290"/>
        <v>69.533333333333331</v>
      </c>
      <c r="L1766">
        <f t="shared" si="291"/>
        <v>91.3</v>
      </c>
      <c r="M1766">
        <f t="shared" si="292"/>
        <v>10.787500000000001</v>
      </c>
      <c r="N1766">
        <f t="shared" si="293"/>
        <v>0.52249999999999996</v>
      </c>
      <c r="O1766">
        <f t="shared" si="294"/>
        <v>6.6124999999999998</v>
      </c>
      <c r="P1766">
        <f t="shared" si="295"/>
        <v>8.6363636363636367</v>
      </c>
      <c r="Q1766">
        <f t="shared" si="296"/>
        <v>10.24074074074074</v>
      </c>
      <c r="R1766">
        <f t="shared" si="297"/>
        <v>91.3</v>
      </c>
      <c r="S1766" t="str">
        <f t="shared" si="298"/>
        <v>Satisfactory</v>
      </c>
      <c r="T1766" t="str">
        <f t="shared" si="299"/>
        <v>PM10</v>
      </c>
      <c r="U1766">
        <v>25.58</v>
      </c>
      <c r="V1766">
        <v>88.21</v>
      </c>
    </row>
    <row r="1767" spans="1:22" x14ac:dyDescent="0.3">
      <c r="A1767" s="2" t="s">
        <v>15</v>
      </c>
      <c r="B1767">
        <v>560026</v>
      </c>
      <c r="C1767" s="4">
        <v>45324</v>
      </c>
      <c r="D1767">
        <v>33.32</v>
      </c>
      <c r="E1767">
        <v>83.4</v>
      </c>
      <c r="F1767">
        <v>8.59</v>
      </c>
      <c r="G1767">
        <v>2.11</v>
      </c>
      <c r="H1767">
        <v>5.0999999999999996</v>
      </c>
      <c r="I1767">
        <v>0.74</v>
      </c>
      <c r="J1767">
        <v>11.08</v>
      </c>
      <c r="K1767">
        <f t="shared" si="290"/>
        <v>55.533333333333331</v>
      </c>
      <c r="L1767">
        <f t="shared" si="291"/>
        <v>83.4</v>
      </c>
      <c r="M1767">
        <f t="shared" si="292"/>
        <v>10.737500000000001</v>
      </c>
      <c r="N1767">
        <f t="shared" si="293"/>
        <v>0.52749999999999997</v>
      </c>
      <c r="O1767">
        <f t="shared" si="294"/>
        <v>6.3749999999999991</v>
      </c>
      <c r="P1767">
        <f t="shared" si="295"/>
        <v>8.4090909090909083</v>
      </c>
      <c r="Q1767">
        <f t="shared" si="296"/>
        <v>10.25925925925926</v>
      </c>
      <c r="R1767">
        <f t="shared" si="297"/>
        <v>83.4</v>
      </c>
      <c r="S1767" t="str">
        <f t="shared" si="298"/>
        <v>Satisfactory</v>
      </c>
      <c r="T1767" t="str">
        <f t="shared" si="299"/>
        <v>PM10</v>
      </c>
      <c r="U1767">
        <v>26.11</v>
      </c>
      <c r="V1767">
        <v>87.93</v>
      </c>
    </row>
    <row r="1768" spans="1:22" x14ac:dyDescent="0.3">
      <c r="A1768" s="2" t="s">
        <v>15</v>
      </c>
      <c r="B1768">
        <v>560026</v>
      </c>
      <c r="C1768" s="4">
        <v>45325</v>
      </c>
      <c r="D1768">
        <v>36.29</v>
      </c>
      <c r="E1768">
        <v>91.05</v>
      </c>
      <c r="F1768">
        <v>8.41</v>
      </c>
      <c r="G1768">
        <v>2.1</v>
      </c>
      <c r="H1768">
        <v>5.37</v>
      </c>
      <c r="I1768">
        <v>0.77</v>
      </c>
      <c r="J1768">
        <v>11</v>
      </c>
      <c r="K1768">
        <f t="shared" si="290"/>
        <v>60.483333333333334</v>
      </c>
      <c r="L1768">
        <f t="shared" si="291"/>
        <v>91.05</v>
      </c>
      <c r="M1768">
        <f t="shared" si="292"/>
        <v>10.512499999999999</v>
      </c>
      <c r="N1768">
        <f t="shared" si="293"/>
        <v>0.52500000000000002</v>
      </c>
      <c r="O1768">
        <f t="shared" si="294"/>
        <v>6.7125000000000004</v>
      </c>
      <c r="P1768">
        <f t="shared" si="295"/>
        <v>8.75</v>
      </c>
      <c r="Q1768">
        <f t="shared" si="296"/>
        <v>10.185185185185185</v>
      </c>
      <c r="R1768">
        <f t="shared" si="297"/>
        <v>91.05</v>
      </c>
      <c r="S1768" t="str">
        <f t="shared" si="298"/>
        <v>Satisfactory</v>
      </c>
      <c r="T1768" t="str">
        <f t="shared" si="299"/>
        <v>PM10</v>
      </c>
      <c r="U1768">
        <v>26.1</v>
      </c>
      <c r="V1768">
        <v>87.99</v>
      </c>
    </row>
    <row r="1769" spans="1:22" x14ac:dyDescent="0.3">
      <c r="A1769" s="2" t="s">
        <v>15</v>
      </c>
      <c r="B1769">
        <v>560026</v>
      </c>
      <c r="C1769" s="4">
        <v>45326</v>
      </c>
      <c r="D1769">
        <v>38.21</v>
      </c>
      <c r="E1769">
        <v>95.46</v>
      </c>
      <c r="F1769">
        <v>8.36</v>
      </c>
      <c r="G1769">
        <v>2.17</v>
      </c>
      <c r="H1769">
        <v>4.97</v>
      </c>
      <c r="I1769">
        <v>0.72</v>
      </c>
      <c r="J1769">
        <v>11.23</v>
      </c>
      <c r="K1769">
        <f t="shared" si="290"/>
        <v>63.683333333333337</v>
      </c>
      <c r="L1769">
        <f t="shared" si="291"/>
        <v>95.46</v>
      </c>
      <c r="M1769">
        <f t="shared" si="292"/>
        <v>10.45</v>
      </c>
      <c r="N1769">
        <f t="shared" si="293"/>
        <v>0.54249999999999998</v>
      </c>
      <c r="O1769">
        <f t="shared" si="294"/>
        <v>6.2125000000000004</v>
      </c>
      <c r="P1769">
        <f t="shared" si="295"/>
        <v>8.1818181818181817</v>
      </c>
      <c r="Q1769">
        <f t="shared" si="296"/>
        <v>10.398148148148149</v>
      </c>
      <c r="R1769">
        <f t="shared" si="297"/>
        <v>95.46</v>
      </c>
      <c r="S1769" t="str">
        <f t="shared" si="298"/>
        <v>Satisfactory</v>
      </c>
      <c r="T1769" t="str">
        <f t="shared" si="299"/>
        <v>PM10</v>
      </c>
      <c r="U1769">
        <v>25.29</v>
      </c>
      <c r="V1769">
        <v>88.14</v>
      </c>
    </row>
    <row r="1770" spans="1:22" x14ac:dyDescent="0.3">
      <c r="A1770" s="2" t="s">
        <v>15</v>
      </c>
      <c r="B1770">
        <v>560026</v>
      </c>
      <c r="C1770" s="4">
        <v>45327</v>
      </c>
      <c r="D1770">
        <v>37.700000000000003</v>
      </c>
      <c r="E1770">
        <v>94.29</v>
      </c>
      <c r="F1770">
        <v>8.44</v>
      </c>
      <c r="G1770">
        <v>2.14</v>
      </c>
      <c r="H1770">
        <v>5.28</v>
      </c>
      <c r="I1770">
        <v>0.76</v>
      </c>
      <c r="J1770">
        <v>11.26</v>
      </c>
      <c r="K1770">
        <f t="shared" si="290"/>
        <v>62.833333333333336</v>
      </c>
      <c r="L1770">
        <f t="shared" si="291"/>
        <v>94.29</v>
      </c>
      <c r="M1770">
        <f t="shared" si="292"/>
        <v>10.55</v>
      </c>
      <c r="N1770">
        <f t="shared" si="293"/>
        <v>0.53500000000000003</v>
      </c>
      <c r="O1770">
        <f t="shared" si="294"/>
        <v>6.6</v>
      </c>
      <c r="P1770">
        <f t="shared" si="295"/>
        <v>8.6363636363636367</v>
      </c>
      <c r="Q1770">
        <f t="shared" si="296"/>
        <v>10.425925925925926</v>
      </c>
      <c r="R1770">
        <f t="shared" si="297"/>
        <v>94.29</v>
      </c>
      <c r="S1770" t="str">
        <f t="shared" si="298"/>
        <v>Satisfactory</v>
      </c>
      <c r="T1770" t="str">
        <f t="shared" si="299"/>
        <v>PM10</v>
      </c>
      <c r="U1770">
        <v>25.54</v>
      </c>
      <c r="V1770">
        <v>88.16</v>
      </c>
    </row>
    <row r="1771" spans="1:22" x14ac:dyDescent="0.3">
      <c r="A1771" s="2" t="s">
        <v>15</v>
      </c>
      <c r="B1771">
        <v>560026</v>
      </c>
      <c r="C1771" s="4">
        <v>45328</v>
      </c>
      <c r="D1771">
        <v>43.93</v>
      </c>
      <c r="E1771">
        <v>109.6</v>
      </c>
      <c r="F1771">
        <v>8.4600000000000009</v>
      </c>
      <c r="G1771">
        <v>2.14</v>
      </c>
      <c r="H1771">
        <v>4.91</v>
      </c>
      <c r="I1771">
        <v>0.71</v>
      </c>
      <c r="J1771">
        <v>11.21</v>
      </c>
      <c r="K1771">
        <f t="shared" si="290"/>
        <v>73.216666666666669</v>
      </c>
      <c r="L1771">
        <f t="shared" si="291"/>
        <v>106.39999999999999</v>
      </c>
      <c r="M1771">
        <f t="shared" si="292"/>
        <v>10.575000000000001</v>
      </c>
      <c r="N1771">
        <f t="shared" si="293"/>
        <v>0.53500000000000003</v>
      </c>
      <c r="O1771">
        <f t="shared" si="294"/>
        <v>6.1375000000000002</v>
      </c>
      <c r="P1771">
        <f t="shared" si="295"/>
        <v>8.0681818181818183</v>
      </c>
      <c r="Q1771">
        <f t="shared" si="296"/>
        <v>10.37962962962963</v>
      </c>
      <c r="R1771">
        <f t="shared" si="297"/>
        <v>106.39999999999999</v>
      </c>
      <c r="S1771" t="str">
        <f t="shared" si="298"/>
        <v>Moderate</v>
      </c>
      <c r="T1771" t="str">
        <f t="shared" si="299"/>
        <v>PM10</v>
      </c>
      <c r="U1771">
        <v>26.05</v>
      </c>
      <c r="V1771">
        <v>88.11</v>
      </c>
    </row>
    <row r="1772" spans="1:22" x14ac:dyDescent="0.3">
      <c r="A1772" s="2" t="s">
        <v>15</v>
      </c>
      <c r="B1772">
        <v>560026</v>
      </c>
      <c r="C1772" s="4">
        <v>45329</v>
      </c>
      <c r="D1772">
        <v>132.79</v>
      </c>
      <c r="E1772">
        <v>114.99</v>
      </c>
      <c r="F1772">
        <v>8.5</v>
      </c>
      <c r="G1772">
        <v>2.13</v>
      </c>
      <c r="H1772">
        <v>6.02</v>
      </c>
      <c r="I1772">
        <v>0.87</v>
      </c>
      <c r="J1772">
        <v>11.24</v>
      </c>
      <c r="K1772">
        <f t="shared" si="290"/>
        <v>309.83846153846156</v>
      </c>
      <c r="L1772">
        <f t="shared" si="291"/>
        <v>109.99333333333333</v>
      </c>
      <c r="M1772">
        <f t="shared" si="292"/>
        <v>10.625</v>
      </c>
      <c r="N1772">
        <f t="shared" si="293"/>
        <v>0.53249999999999997</v>
      </c>
      <c r="O1772">
        <f t="shared" si="294"/>
        <v>7.5250000000000004</v>
      </c>
      <c r="P1772">
        <f t="shared" si="295"/>
        <v>9.8863636363636367</v>
      </c>
      <c r="Q1772">
        <f t="shared" si="296"/>
        <v>10.407407407407408</v>
      </c>
      <c r="R1772">
        <f t="shared" si="297"/>
        <v>309.83846153846156</v>
      </c>
      <c r="S1772" t="str">
        <f t="shared" si="298"/>
        <v>Very Poor</v>
      </c>
      <c r="T1772" t="str">
        <f t="shared" si="299"/>
        <v>PM2.5</v>
      </c>
      <c r="U1772">
        <v>26.73</v>
      </c>
      <c r="V1772">
        <v>88.01</v>
      </c>
    </row>
    <row r="1773" spans="1:22" x14ac:dyDescent="0.3">
      <c r="A1773" s="2" t="s">
        <v>15</v>
      </c>
      <c r="B1773">
        <v>560026</v>
      </c>
      <c r="C1773" s="4">
        <v>45330</v>
      </c>
      <c r="D1773">
        <v>67.92</v>
      </c>
      <c r="E1773">
        <v>124.44</v>
      </c>
      <c r="F1773">
        <v>8.42</v>
      </c>
      <c r="G1773">
        <v>2.09</v>
      </c>
      <c r="H1773">
        <v>4.75</v>
      </c>
      <c r="I1773">
        <v>0.69</v>
      </c>
      <c r="J1773">
        <v>11.15</v>
      </c>
      <c r="K1773">
        <f t="shared" si="290"/>
        <v>126.4</v>
      </c>
      <c r="L1773">
        <f t="shared" si="291"/>
        <v>116.29333333333334</v>
      </c>
      <c r="M1773">
        <f t="shared" si="292"/>
        <v>10.525</v>
      </c>
      <c r="N1773">
        <f t="shared" si="293"/>
        <v>0.52249999999999996</v>
      </c>
      <c r="O1773">
        <f t="shared" si="294"/>
        <v>5.9375</v>
      </c>
      <c r="P1773">
        <f t="shared" si="295"/>
        <v>7.8409090909090899</v>
      </c>
      <c r="Q1773">
        <f t="shared" si="296"/>
        <v>10.324074074074074</v>
      </c>
      <c r="R1773">
        <f t="shared" si="297"/>
        <v>126.4</v>
      </c>
      <c r="S1773" t="str">
        <f t="shared" si="298"/>
        <v>Moderate</v>
      </c>
      <c r="T1773" t="str">
        <f t="shared" si="299"/>
        <v>PM2.5</v>
      </c>
      <c r="U1773">
        <v>27.03</v>
      </c>
      <c r="V1773">
        <v>87.82</v>
      </c>
    </row>
    <row r="1774" spans="1:22" x14ac:dyDescent="0.3">
      <c r="A1774" s="2" t="s">
        <v>15</v>
      </c>
      <c r="B1774">
        <v>560026</v>
      </c>
      <c r="C1774" s="4">
        <v>45331</v>
      </c>
      <c r="D1774">
        <v>67.13</v>
      </c>
      <c r="E1774">
        <v>96.2</v>
      </c>
      <c r="F1774">
        <v>8.56</v>
      </c>
      <c r="G1774">
        <v>2.08</v>
      </c>
      <c r="H1774">
        <v>4.79</v>
      </c>
      <c r="I1774">
        <v>0.69</v>
      </c>
      <c r="J1774">
        <v>11.14</v>
      </c>
      <c r="K1774">
        <f t="shared" si="290"/>
        <v>123.76666666666665</v>
      </c>
      <c r="L1774">
        <f t="shared" si="291"/>
        <v>96.2</v>
      </c>
      <c r="M1774">
        <f t="shared" si="292"/>
        <v>10.7</v>
      </c>
      <c r="N1774">
        <f t="shared" si="293"/>
        <v>0.52</v>
      </c>
      <c r="O1774">
        <f t="shared" si="294"/>
        <v>5.9874999999999998</v>
      </c>
      <c r="P1774">
        <f t="shared" si="295"/>
        <v>7.8409090909090899</v>
      </c>
      <c r="Q1774">
        <f t="shared" si="296"/>
        <v>10.314814814814815</v>
      </c>
      <c r="R1774">
        <f t="shared" si="297"/>
        <v>123.76666666666665</v>
      </c>
      <c r="S1774" t="str">
        <f t="shared" si="298"/>
        <v>Moderate</v>
      </c>
      <c r="T1774" t="str">
        <f t="shared" si="299"/>
        <v>PM2.5</v>
      </c>
      <c r="U1774">
        <v>26.89</v>
      </c>
      <c r="V1774">
        <v>87.91</v>
      </c>
    </row>
    <row r="1775" spans="1:22" x14ac:dyDescent="0.3">
      <c r="A1775" s="2" t="s">
        <v>15</v>
      </c>
      <c r="B1775">
        <v>560026</v>
      </c>
      <c r="C1775" s="4">
        <v>45332</v>
      </c>
      <c r="D1775">
        <v>57.6</v>
      </c>
      <c r="E1775">
        <v>95.49</v>
      </c>
      <c r="F1775">
        <v>8.44</v>
      </c>
      <c r="G1775">
        <v>2.11</v>
      </c>
      <c r="H1775">
        <v>5.08</v>
      </c>
      <c r="I1775">
        <v>0.73</v>
      </c>
      <c r="J1775">
        <v>10.97</v>
      </c>
      <c r="K1775">
        <f t="shared" si="290"/>
        <v>96</v>
      </c>
      <c r="L1775">
        <f t="shared" si="291"/>
        <v>95.49</v>
      </c>
      <c r="M1775">
        <f t="shared" si="292"/>
        <v>10.55</v>
      </c>
      <c r="N1775">
        <f t="shared" si="293"/>
        <v>0.52749999999999997</v>
      </c>
      <c r="O1775">
        <f t="shared" si="294"/>
        <v>6.35</v>
      </c>
      <c r="P1775">
        <f t="shared" si="295"/>
        <v>8.295454545454545</v>
      </c>
      <c r="Q1775">
        <f t="shared" si="296"/>
        <v>10.157407407407408</v>
      </c>
      <c r="R1775">
        <f t="shared" si="297"/>
        <v>96</v>
      </c>
      <c r="S1775" t="str">
        <f t="shared" si="298"/>
        <v>Satisfactory</v>
      </c>
      <c r="T1775" t="str">
        <f t="shared" si="299"/>
        <v>PM2.5</v>
      </c>
      <c r="U1775">
        <v>25.42</v>
      </c>
      <c r="V1775">
        <v>88.34</v>
      </c>
    </row>
    <row r="1776" spans="1:22" x14ac:dyDescent="0.3">
      <c r="A1776" s="2" t="s">
        <v>15</v>
      </c>
      <c r="B1776">
        <v>560026</v>
      </c>
      <c r="C1776" s="4">
        <v>45333</v>
      </c>
      <c r="D1776">
        <v>60.08</v>
      </c>
      <c r="E1776">
        <v>96.07</v>
      </c>
      <c r="F1776">
        <v>8.3699999999999992</v>
      </c>
      <c r="G1776">
        <v>2.11</v>
      </c>
      <c r="H1776">
        <v>4.79</v>
      </c>
      <c r="I1776">
        <v>0.69</v>
      </c>
      <c r="J1776">
        <v>10.46</v>
      </c>
      <c r="K1776">
        <f t="shared" si="290"/>
        <v>100.26666666666667</v>
      </c>
      <c r="L1776">
        <f t="shared" si="291"/>
        <v>96.07</v>
      </c>
      <c r="M1776">
        <f t="shared" si="292"/>
        <v>10.462499999999999</v>
      </c>
      <c r="N1776">
        <f t="shared" si="293"/>
        <v>0.52749999999999997</v>
      </c>
      <c r="O1776">
        <f t="shared" si="294"/>
        <v>5.9874999999999998</v>
      </c>
      <c r="P1776">
        <f t="shared" si="295"/>
        <v>7.8409090909090899</v>
      </c>
      <c r="Q1776">
        <f t="shared" si="296"/>
        <v>9.6851851851851869</v>
      </c>
      <c r="R1776">
        <f t="shared" si="297"/>
        <v>100.26666666666667</v>
      </c>
      <c r="S1776" t="str">
        <f t="shared" si="298"/>
        <v>Moderate</v>
      </c>
      <c r="T1776" t="str">
        <f t="shared" si="299"/>
        <v>PM2.5</v>
      </c>
      <c r="U1776">
        <v>24.86</v>
      </c>
      <c r="V1776">
        <v>88.43</v>
      </c>
    </row>
    <row r="1777" spans="1:22" x14ac:dyDescent="0.3">
      <c r="A1777" s="2" t="s">
        <v>15</v>
      </c>
      <c r="B1777">
        <v>560026</v>
      </c>
      <c r="C1777" s="4">
        <v>45334</v>
      </c>
      <c r="D1777">
        <v>66.040000000000006</v>
      </c>
      <c r="E1777">
        <v>106.99</v>
      </c>
      <c r="F1777">
        <v>8.43</v>
      </c>
      <c r="G1777">
        <v>2.1</v>
      </c>
      <c r="H1777">
        <v>5.4</v>
      </c>
      <c r="I1777">
        <v>0.78</v>
      </c>
      <c r="J1777">
        <v>10.73</v>
      </c>
      <c r="K1777">
        <f t="shared" si="290"/>
        <v>120.13333333333335</v>
      </c>
      <c r="L1777">
        <f t="shared" si="291"/>
        <v>104.66</v>
      </c>
      <c r="M1777">
        <f t="shared" si="292"/>
        <v>10.5375</v>
      </c>
      <c r="N1777">
        <f t="shared" si="293"/>
        <v>0.52500000000000002</v>
      </c>
      <c r="O1777">
        <f t="shared" si="294"/>
        <v>6.75</v>
      </c>
      <c r="P1777">
        <f t="shared" si="295"/>
        <v>8.8636363636363633</v>
      </c>
      <c r="Q1777">
        <f t="shared" si="296"/>
        <v>9.9351851851851851</v>
      </c>
      <c r="R1777">
        <f t="shared" si="297"/>
        <v>120.13333333333335</v>
      </c>
      <c r="S1777" t="str">
        <f t="shared" si="298"/>
        <v>Moderate</v>
      </c>
      <c r="T1777" t="str">
        <f t="shared" si="299"/>
        <v>PM2.5</v>
      </c>
      <c r="U1777">
        <v>25.09</v>
      </c>
      <c r="V1777">
        <v>88.34</v>
      </c>
    </row>
    <row r="1778" spans="1:22" x14ac:dyDescent="0.3">
      <c r="A1778" s="2" t="s">
        <v>15</v>
      </c>
      <c r="B1778">
        <v>560026</v>
      </c>
      <c r="C1778" s="4">
        <v>45335</v>
      </c>
      <c r="D1778">
        <v>45.23</v>
      </c>
      <c r="E1778">
        <v>81.12</v>
      </c>
      <c r="F1778">
        <v>8.5399999999999991</v>
      </c>
      <c r="G1778">
        <v>2.11</v>
      </c>
      <c r="H1778">
        <v>4.97</v>
      </c>
      <c r="I1778">
        <v>0.72</v>
      </c>
      <c r="J1778">
        <v>10.39</v>
      </c>
      <c r="K1778">
        <f t="shared" si="290"/>
        <v>75.383333333333326</v>
      </c>
      <c r="L1778">
        <f t="shared" si="291"/>
        <v>81.12</v>
      </c>
      <c r="M1778">
        <f t="shared" si="292"/>
        <v>10.674999999999999</v>
      </c>
      <c r="N1778">
        <f t="shared" si="293"/>
        <v>0.52749999999999997</v>
      </c>
      <c r="O1778">
        <f t="shared" si="294"/>
        <v>6.2125000000000004</v>
      </c>
      <c r="P1778">
        <f t="shared" si="295"/>
        <v>8.1818181818181817</v>
      </c>
      <c r="Q1778">
        <f t="shared" si="296"/>
        <v>9.6203703703703702</v>
      </c>
      <c r="R1778">
        <f t="shared" si="297"/>
        <v>81.12</v>
      </c>
      <c r="S1778" t="str">
        <f t="shared" si="298"/>
        <v>Satisfactory</v>
      </c>
      <c r="T1778" t="str">
        <f t="shared" si="299"/>
        <v>PM10</v>
      </c>
      <c r="U1778">
        <v>24.76</v>
      </c>
      <c r="V1778">
        <v>88.53</v>
      </c>
    </row>
    <row r="1779" spans="1:22" x14ac:dyDescent="0.3">
      <c r="A1779" s="2" t="s">
        <v>15</v>
      </c>
      <c r="B1779">
        <v>560026</v>
      </c>
      <c r="C1779" s="4">
        <v>45336</v>
      </c>
      <c r="D1779">
        <v>55.28</v>
      </c>
      <c r="E1779">
        <v>83.54</v>
      </c>
      <c r="F1779">
        <v>8.51</v>
      </c>
      <c r="G1779">
        <v>2.11</v>
      </c>
      <c r="H1779">
        <v>5.04</v>
      </c>
      <c r="I1779">
        <v>0.73</v>
      </c>
      <c r="J1779">
        <v>10.64</v>
      </c>
      <c r="K1779">
        <f t="shared" si="290"/>
        <v>92.133333333333326</v>
      </c>
      <c r="L1779">
        <f t="shared" si="291"/>
        <v>83.54</v>
      </c>
      <c r="M1779">
        <f t="shared" si="292"/>
        <v>10.637499999999999</v>
      </c>
      <c r="N1779">
        <f t="shared" si="293"/>
        <v>0.52749999999999997</v>
      </c>
      <c r="O1779">
        <f t="shared" si="294"/>
        <v>6.3</v>
      </c>
      <c r="P1779">
        <f t="shared" si="295"/>
        <v>8.295454545454545</v>
      </c>
      <c r="Q1779">
        <f t="shared" si="296"/>
        <v>9.851851851851853</v>
      </c>
      <c r="R1779">
        <f t="shared" si="297"/>
        <v>92.133333333333326</v>
      </c>
      <c r="S1779" t="str">
        <f t="shared" si="298"/>
        <v>Satisfactory</v>
      </c>
      <c r="T1779" t="str">
        <f t="shared" si="299"/>
        <v>PM2.5</v>
      </c>
      <c r="U1779">
        <v>25.28</v>
      </c>
      <c r="V1779">
        <v>88.36</v>
      </c>
    </row>
    <row r="1780" spans="1:22" x14ac:dyDescent="0.3">
      <c r="A1780" s="2" t="s">
        <v>15</v>
      </c>
      <c r="B1780">
        <v>560026</v>
      </c>
      <c r="C1780" s="4">
        <v>45337</v>
      </c>
      <c r="D1780">
        <v>51.36</v>
      </c>
      <c r="E1780">
        <v>92.63</v>
      </c>
      <c r="F1780">
        <v>8.4600000000000009</v>
      </c>
      <c r="G1780">
        <v>2.14</v>
      </c>
      <c r="H1780">
        <v>5.62</v>
      </c>
      <c r="I1780">
        <v>0.81</v>
      </c>
      <c r="J1780">
        <v>10.68</v>
      </c>
      <c r="K1780">
        <f t="shared" si="290"/>
        <v>85.6</v>
      </c>
      <c r="L1780">
        <f t="shared" si="291"/>
        <v>92.63</v>
      </c>
      <c r="M1780">
        <f t="shared" si="292"/>
        <v>10.575000000000001</v>
      </c>
      <c r="N1780">
        <f t="shared" si="293"/>
        <v>0.53500000000000003</v>
      </c>
      <c r="O1780">
        <f t="shared" si="294"/>
        <v>7.0250000000000004</v>
      </c>
      <c r="P1780">
        <f t="shared" si="295"/>
        <v>9.204545454545455</v>
      </c>
      <c r="Q1780">
        <f t="shared" si="296"/>
        <v>9.8888888888888893</v>
      </c>
      <c r="R1780">
        <f t="shared" si="297"/>
        <v>92.63</v>
      </c>
      <c r="S1780" t="str">
        <f t="shared" si="298"/>
        <v>Satisfactory</v>
      </c>
      <c r="T1780" t="str">
        <f t="shared" si="299"/>
        <v>PM10</v>
      </c>
      <c r="U1780">
        <v>24.98</v>
      </c>
      <c r="V1780">
        <v>88.42</v>
      </c>
    </row>
    <row r="1781" spans="1:22" x14ac:dyDescent="0.3">
      <c r="A1781" s="2" t="s">
        <v>15</v>
      </c>
      <c r="B1781">
        <v>560026</v>
      </c>
      <c r="C1781" s="4">
        <v>45338</v>
      </c>
      <c r="D1781">
        <v>48.48</v>
      </c>
      <c r="E1781">
        <v>84.51</v>
      </c>
      <c r="F1781">
        <v>8.5</v>
      </c>
      <c r="G1781">
        <v>2.09</v>
      </c>
      <c r="H1781">
        <v>5.19</v>
      </c>
      <c r="I1781">
        <v>0.75</v>
      </c>
      <c r="J1781">
        <v>10.97</v>
      </c>
      <c r="K1781">
        <f t="shared" si="290"/>
        <v>80.8</v>
      </c>
      <c r="L1781">
        <f t="shared" si="291"/>
        <v>84.51</v>
      </c>
      <c r="M1781">
        <f t="shared" si="292"/>
        <v>10.625</v>
      </c>
      <c r="N1781">
        <f t="shared" si="293"/>
        <v>0.52249999999999996</v>
      </c>
      <c r="O1781">
        <f t="shared" si="294"/>
        <v>6.4874999999999998</v>
      </c>
      <c r="P1781">
        <f t="shared" si="295"/>
        <v>8.5227272727272734</v>
      </c>
      <c r="Q1781">
        <f t="shared" si="296"/>
        <v>10.157407407407408</v>
      </c>
      <c r="R1781">
        <f t="shared" si="297"/>
        <v>84.51</v>
      </c>
      <c r="S1781" t="str">
        <f t="shared" si="298"/>
        <v>Satisfactory</v>
      </c>
      <c r="T1781" t="str">
        <f t="shared" si="299"/>
        <v>PM10</v>
      </c>
      <c r="U1781">
        <v>24.48</v>
      </c>
      <c r="V1781">
        <v>88.59</v>
      </c>
    </row>
    <row r="1782" spans="1:22" x14ac:dyDescent="0.3">
      <c r="A1782" s="2" t="s">
        <v>15</v>
      </c>
      <c r="B1782">
        <v>560026</v>
      </c>
      <c r="C1782" s="4">
        <v>45339</v>
      </c>
      <c r="D1782">
        <v>59.95</v>
      </c>
      <c r="E1782">
        <v>95.24</v>
      </c>
      <c r="F1782">
        <v>8.52</v>
      </c>
      <c r="G1782">
        <v>2.09</v>
      </c>
      <c r="H1782">
        <v>5.01</v>
      </c>
      <c r="I1782">
        <v>0.72</v>
      </c>
      <c r="J1782">
        <v>12.1</v>
      </c>
      <c r="K1782">
        <f t="shared" si="290"/>
        <v>99.916666666666671</v>
      </c>
      <c r="L1782">
        <f t="shared" si="291"/>
        <v>95.24</v>
      </c>
      <c r="M1782">
        <f t="shared" si="292"/>
        <v>10.65</v>
      </c>
      <c r="N1782">
        <f t="shared" si="293"/>
        <v>0.52249999999999996</v>
      </c>
      <c r="O1782">
        <f t="shared" si="294"/>
        <v>6.2625000000000002</v>
      </c>
      <c r="P1782">
        <f t="shared" si="295"/>
        <v>8.1818181818181817</v>
      </c>
      <c r="Q1782">
        <f t="shared" si="296"/>
        <v>11.203703703703704</v>
      </c>
      <c r="R1782">
        <f t="shared" si="297"/>
        <v>99.916666666666671</v>
      </c>
      <c r="S1782" t="str">
        <f t="shared" si="298"/>
        <v>Satisfactory</v>
      </c>
      <c r="T1782" t="str">
        <f t="shared" si="299"/>
        <v>PM2.5</v>
      </c>
      <c r="U1782">
        <v>25.96</v>
      </c>
      <c r="V1782">
        <v>88.33</v>
      </c>
    </row>
    <row r="1783" spans="1:22" x14ac:dyDescent="0.3">
      <c r="A1783" s="2" t="s">
        <v>15</v>
      </c>
      <c r="B1783">
        <v>560026</v>
      </c>
      <c r="C1783" s="4">
        <v>45340</v>
      </c>
      <c r="D1783">
        <v>65.52</v>
      </c>
      <c r="E1783">
        <v>111.26</v>
      </c>
      <c r="F1783">
        <v>8.41</v>
      </c>
      <c r="G1783">
        <v>2.11</v>
      </c>
      <c r="H1783">
        <v>4.66</v>
      </c>
      <c r="I1783">
        <v>0.67</v>
      </c>
      <c r="J1783">
        <v>10.89</v>
      </c>
      <c r="K1783">
        <f t="shared" si="290"/>
        <v>118.39999999999998</v>
      </c>
      <c r="L1783">
        <f t="shared" si="291"/>
        <v>107.50666666666667</v>
      </c>
      <c r="M1783">
        <f t="shared" si="292"/>
        <v>10.512499999999999</v>
      </c>
      <c r="N1783">
        <f t="shared" si="293"/>
        <v>0.52749999999999997</v>
      </c>
      <c r="O1783">
        <f t="shared" si="294"/>
        <v>5.8250000000000002</v>
      </c>
      <c r="P1783">
        <f t="shared" si="295"/>
        <v>7.6136363636363642</v>
      </c>
      <c r="Q1783">
        <f t="shared" si="296"/>
        <v>10.083333333333334</v>
      </c>
      <c r="R1783">
        <f t="shared" si="297"/>
        <v>118.39999999999998</v>
      </c>
      <c r="S1783" t="str">
        <f t="shared" si="298"/>
        <v>Moderate</v>
      </c>
      <c r="T1783" t="str">
        <f t="shared" si="299"/>
        <v>PM2.5</v>
      </c>
      <c r="U1783">
        <v>26.5</v>
      </c>
      <c r="V1783">
        <v>88.17</v>
      </c>
    </row>
    <row r="1784" spans="1:22" x14ac:dyDescent="0.3">
      <c r="A1784" s="2" t="s">
        <v>15</v>
      </c>
      <c r="B1784">
        <v>560026</v>
      </c>
      <c r="C1784" s="4">
        <v>45341</v>
      </c>
      <c r="D1784">
        <v>56.25</v>
      </c>
      <c r="E1784">
        <v>91.43</v>
      </c>
      <c r="F1784">
        <v>8.44</v>
      </c>
      <c r="G1784">
        <v>2.09</v>
      </c>
      <c r="H1784">
        <v>4.26</v>
      </c>
      <c r="I1784">
        <v>0.62</v>
      </c>
      <c r="J1784">
        <v>10.92</v>
      </c>
      <c r="K1784">
        <f t="shared" si="290"/>
        <v>93.75</v>
      </c>
      <c r="L1784">
        <f t="shared" si="291"/>
        <v>91.43</v>
      </c>
      <c r="M1784">
        <f t="shared" si="292"/>
        <v>10.55</v>
      </c>
      <c r="N1784">
        <f t="shared" si="293"/>
        <v>0.52249999999999996</v>
      </c>
      <c r="O1784">
        <f t="shared" si="294"/>
        <v>5.3250000000000002</v>
      </c>
      <c r="P1784">
        <f t="shared" si="295"/>
        <v>7.045454545454545</v>
      </c>
      <c r="Q1784">
        <f t="shared" si="296"/>
        <v>10.111111111111111</v>
      </c>
      <c r="R1784">
        <f t="shared" si="297"/>
        <v>93.75</v>
      </c>
      <c r="S1784" t="str">
        <f t="shared" si="298"/>
        <v>Satisfactory</v>
      </c>
      <c r="T1784" t="str">
        <f t="shared" si="299"/>
        <v>PM2.5</v>
      </c>
      <c r="U1784">
        <v>26.4</v>
      </c>
      <c r="V1784">
        <v>88.11</v>
      </c>
    </row>
    <row r="1785" spans="1:22" x14ac:dyDescent="0.3">
      <c r="A1785" s="2" t="s">
        <v>15</v>
      </c>
      <c r="B1785">
        <v>560026</v>
      </c>
      <c r="C1785" s="4">
        <v>45342</v>
      </c>
      <c r="D1785">
        <v>67.819999999999993</v>
      </c>
      <c r="E1785">
        <v>100.79</v>
      </c>
      <c r="F1785">
        <v>8.7799999999999994</v>
      </c>
      <c r="G1785">
        <v>2.02</v>
      </c>
      <c r="H1785">
        <v>4.38</v>
      </c>
      <c r="I1785">
        <v>0.63</v>
      </c>
      <c r="J1785">
        <v>11.31</v>
      </c>
      <c r="K1785">
        <f t="shared" si="290"/>
        <v>126.06666666666665</v>
      </c>
      <c r="L1785">
        <f t="shared" si="291"/>
        <v>100.52666666666667</v>
      </c>
      <c r="M1785">
        <f t="shared" si="292"/>
        <v>10.974999999999998</v>
      </c>
      <c r="N1785">
        <f t="shared" si="293"/>
        <v>0.505</v>
      </c>
      <c r="O1785">
        <f t="shared" si="294"/>
        <v>5.4749999999999996</v>
      </c>
      <c r="P1785">
        <f t="shared" si="295"/>
        <v>7.1590909090909092</v>
      </c>
      <c r="Q1785">
        <f t="shared" si="296"/>
        <v>10.472222222222223</v>
      </c>
      <c r="R1785">
        <f t="shared" si="297"/>
        <v>126.06666666666665</v>
      </c>
      <c r="S1785" t="str">
        <f t="shared" si="298"/>
        <v>Moderate</v>
      </c>
      <c r="T1785" t="str">
        <f t="shared" si="299"/>
        <v>PM2.5</v>
      </c>
      <c r="U1785">
        <v>26.86</v>
      </c>
      <c r="V1785">
        <v>88.62</v>
      </c>
    </row>
    <row r="1786" spans="1:22" x14ac:dyDescent="0.3">
      <c r="A1786" s="2" t="s">
        <v>15</v>
      </c>
      <c r="B1786">
        <v>560026</v>
      </c>
      <c r="C1786" s="4">
        <v>45343</v>
      </c>
      <c r="D1786">
        <v>75.78</v>
      </c>
      <c r="E1786">
        <v>110.79</v>
      </c>
      <c r="F1786">
        <v>8.67</v>
      </c>
      <c r="G1786">
        <v>2.11</v>
      </c>
      <c r="H1786">
        <v>4.55</v>
      </c>
      <c r="I1786">
        <v>0.66</v>
      </c>
      <c r="J1786">
        <v>15.11</v>
      </c>
      <c r="K1786">
        <f t="shared" si="290"/>
        <v>152.6</v>
      </c>
      <c r="L1786">
        <f t="shared" si="291"/>
        <v>107.19333333333334</v>
      </c>
      <c r="M1786">
        <f t="shared" si="292"/>
        <v>10.8375</v>
      </c>
      <c r="N1786">
        <f t="shared" si="293"/>
        <v>0.52749999999999997</v>
      </c>
      <c r="O1786">
        <f t="shared" si="294"/>
        <v>5.6875</v>
      </c>
      <c r="P1786">
        <f t="shared" si="295"/>
        <v>7.5</v>
      </c>
      <c r="Q1786">
        <f t="shared" si="296"/>
        <v>13.99074074074074</v>
      </c>
      <c r="R1786">
        <f t="shared" si="297"/>
        <v>152.6</v>
      </c>
      <c r="S1786" t="str">
        <f t="shared" si="298"/>
        <v>Moderate</v>
      </c>
      <c r="T1786" t="str">
        <f t="shared" si="299"/>
        <v>PM2.5</v>
      </c>
      <c r="U1786">
        <v>27.43</v>
      </c>
      <c r="V1786">
        <v>88.68</v>
      </c>
    </row>
    <row r="1787" spans="1:22" x14ac:dyDescent="0.3">
      <c r="A1787" s="2" t="s">
        <v>15</v>
      </c>
      <c r="B1787">
        <v>560026</v>
      </c>
      <c r="C1787" s="4">
        <v>45344</v>
      </c>
      <c r="D1787">
        <v>79.150000000000006</v>
      </c>
      <c r="E1787">
        <v>112.83</v>
      </c>
      <c r="F1787">
        <v>8.74</v>
      </c>
      <c r="G1787">
        <v>2.1</v>
      </c>
      <c r="H1787">
        <v>4.1399999999999997</v>
      </c>
      <c r="I1787">
        <v>0.6</v>
      </c>
      <c r="J1787">
        <v>16.600000000000001</v>
      </c>
      <c r="K1787">
        <f t="shared" si="290"/>
        <v>163.83333333333334</v>
      </c>
      <c r="L1787">
        <f t="shared" si="291"/>
        <v>108.55333333333333</v>
      </c>
      <c r="M1787">
        <f t="shared" si="292"/>
        <v>10.925000000000001</v>
      </c>
      <c r="N1787">
        <f t="shared" si="293"/>
        <v>0.52500000000000002</v>
      </c>
      <c r="O1787">
        <f t="shared" si="294"/>
        <v>5.1749999999999989</v>
      </c>
      <c r="P1787">
        <f t="shared" si="295"/>
        <v>6.8181818181818175</v>
      </c>
      <c r="Q1787">
        <f t="shared" si="296"/>
        <v>15.370370370370372</v>
      </c>
      <c r="R1787">
        <f t="shared" si="297"/>
        <v>163.83333333333334</v>
      </c>
      <c r="S1787" t="str">
        <f t="shared" si="298"/>
        <v>Moderate</v>
      </c>
      <c r="T1787" t="str">
        <f t="shared" si="299"/>
        <v>PM2.5</v>
      </c>
      <c r="U1787">
        <v>27.67</v>
      </c>
      <c r="V1787">
        <v>88.71</v>
      </c>
    </row>
    <row r="1788" spans="1:22" x14ac:dyDescent="0.3">
      <c r="A1788" s="2" t="s">
        <v>15</v>
      </c>
      <c r="B1788">
        <v>560026</v>
      </c>
      <c r="C1788" s="4">
        <v>45345</v>
      </c>
      <c r="D1788">
        <v>43.61</v>
      </c>
      <c r="E1788">
        <v>109</v>
      </c>
      <c r="F1788">
        <v>8.82</v>
      </c>
      <c r="G1788">
        <v>2.08</v>
      </c>
      <c r="H1788">
        <v>3.87</v>
      </c>
      <c r="I1788">
        <v>0.56000000000000005</v>
      </c>
      <c r="J1788">
        <v>15.82</v>
      </c>
      <c r="K1788">
        <f t="shared" si="290"/>
        <v>72.683333333333337</v>
      </c>
      <c r="L1788">
        <f t="shared" si="291"/>
        <v>106</v>
      </c>
      <c r="M1788">
        <f t="shared" si="292"/>
        <v>11.025</v>
      </c>
      <c r="N1788">
        <f t="shared" si="293"/>
        <v>0.52</v>
      </c>
      <c r="O1788">
        <f t="shared" si="294"/>
        <v>4.8375000000000004</v>
      </c>
      <c r="P1788">
        <f t="shared" si="295"/>
        <v>6.3636363636363642</v>
      </c>
      <c r="Q1788">
        <f t="shared" si="296"/>
        <v>14.648148148148149</v>
      </c>
      <c r="R1788">
        <f t="shared" si="297"/>
        <v>106</v>
      </c>
      <c r="S1788" t="str">
        <f t="shared" si="298"/>
        <v>Moderate</v>
      </c>
      <c r="T1788" t="str">
        <f t="shared" si="299"/>
        <v>PM10</v>
      </c>
      <c r="U1788">
        <v>28.05</v>
      </c>
      <c r="V1788">
        <v>88.68</v>
      </c>
    </row>
    <row r="1789" spans="1:22" x14ac:dyDescent="0.3">
      <c r="A1789" s="2" t="s">
        <v>15</v>
      </c>
      <c r="B1789">
        <v>560026</v>
      </c>
      <c r="C1789" s="4">
        <v>45346</v>
      </c>
      <c r="D1789">
        <v>68.44</v>
      </c>
      <c r="E1789">
        <v>86.76</v>
      </c>
      <c r="F1789">
        <v>8.2899999999999991</v>
      </c>
      <c r="G1789">
        <v>2.15</v>
      </c>
      <c r="H1789">
        <v>4.05</v>
      </c>
      <c r="I1789">
        <v>0.57999999999999996</v>
      </c>
      <c r="J1789">
        <v>13.84</v>
      </c>
      <c r="K1789">
        <f t="shared" si="290"/>
        <v>128.13333333333333</v>
      </c>
      <c r="L1789">
        <f t="shared" si="291"/>
        <v>86.76</v>
      </c>
      <c r="M1789">
        <f t="shared" si="292"/>
        <v>10.362499999999999</v>
      </c>
      <c r="N1789">
        <f t="shared" si="293"/>
        <v>0.53749999999999998</v>
      </c>
      <c r="O1789">
        <f t="shared" si="294"/>
        <v>5.0625</v>
      </c>
      <c r="P1789">
        <f t="shared" si="295"/>
        <v>6.5909090909090899</v>
      </c>
      <c r="Q1789">
        <f t="shared" si="296"/>
        <v>12.814814814814815</v>
      </c>
      <c r="R1789">
        <f t="shared" si="297"/>
        <v>128.13333333333333</v>
      </c>
      <c r="S1789" t="str">
        <f t="shared" si="298"/>
        <v>Moderate</v>
      </c>
      <c r="T1789" t="str">
        <f t="shared" si="299"/>
        <v>PM2.5</v>
      </c>
      <c r="U1789">
        <v>27.62</v>
      </c>
      <c r="V1789">
        <v>88.51</v>
      </c>
    </row>
    <row r="1790" spans="1:22" x14ac:dyDescent="0.3">
      <c r="A1790" s="2" t="s">
        <v>15</v>
      </c>
      <c r="B1790">
        <v>560026</v>
      </c>
      <c r="C1790" s="4">
        <v>45347</v>
      </c>
      <c r="D1790">
        <v>207.17</v>
      </c>
      <c r="E1790">
        <v>79.94</v>
      </c>
      <c r="F1790">
        <v>8.19</v>
      </c>
      <c r="G1790">
        <v>2.1</v>
      </c>
      <c r="H1790">
        <v>4.7</v>
      </c>
      <c r="I1790">
        <v>0.68</v>
      </c>
      <c r="J1790">
        <v>18.64</v>
      </c>
      <c r="K1790">
        <f t="shared" si="290"/>
        <v>367.05384615384617</v>
      </c>
      <c r="L1790">
        <f t="shared" si="291"/>
        <v>79.94</v>
      </c>
      <c r="M1790">
        <f t="shared" si="292"/>
        <v>10.237500000000001</v>
      </c>
      <c r="N1790">
        <f t="shared" si="293"/>
        <v>0.52500000000000002</v>
      </c>
      <c r="O1790">
        <f t="shared" si="294"/>
        <v>5.875</v>
      </c>
      <c r="P1790">
        <f t="shared" si="295"/>
        <v>7.7272727272727275</v>
      </c>
      <c r="Q1790">
        <f t="shared" si="296"/>
        <v>17.25925925925926</v>
      </c>
      <c r="R1790">
        <f t="shared" si="297"/>
        <v>367.05384615384617</v>
      </c>
      <c r="S1790" t="str">
        <f t="shared" si="298"/>
        <v>Very Poor</v>
      </c>
      <c r="T1790" t="str">
        <f t="shared" si="299"/>
        <v>PM2.5</v>
      </c>
      <c r="U1790">
        <v>26.99</v>
      </c>
      <c r="V1790">
        <v>88.88</v>
      </c>
    </row>
    <row r="1791" spans="1:22" x14ac:dyDescent="0.3">
      <c r="A1791" s="2" t="s">
        <v>15</v>
      </c>
      <c r="B1791">
        <v>560026</v>
      </c>
      <c r="C1791" s="4">
        <v>45348</v>
      </c>
      <c r="D1791">
        <v>24.95</v>
      </c>
      <c r="E1791">
        <v>62.41</v>
      </c>
      <c r="F1791">
        <v>8.49</v>
      </c>
      <c r="G1791">
        <v>2.06</v>
      </c>
      <c r="H1791">
        <v>4.1399999999999997</v>
      </c>
      <c r="I1791">
        <v>0.6</v>
      </c>
      <c r="J1791">
        <v>9.1199999999999992</v>
      </c>
      <c r="K1791">
        <f t="shared" si="290"/>
        <v>41.583333333333336</v>
      </c>
      <c r="L1791">
        <f t="shared" si="291"/>
        <v>62.41</v>
      </c>
      <c r="M1791">
        <f t="shared" si="292"/>
        <v>10.612500000000001</v>
      </c>
      <c r="N1791">
        <f t="shared" si="293"/>
        <v>0.51500000000000001</v>
      </c>
      <c r="O1791">
        <f t="shared" si="294"/>
        <v>5.1749999999999989</v>
      </c>
      <c r="P1791">
        <f t="shared" si="295"/>
        <v>6.8181818181818175</v>
      </c>
      <c r="Q1791">
        <f t="shared" si="296"/>
        <v>8.4444444444444446</v>
      </c>
      <c r="R1791">
        <f t="shared" si="297"/>
        <v>62.41</v>
      </c>
      <c r="S1791" t="str">
        <f t="shared" si="298"/>
        <v>Satisfactory</v>
      </c>
      <c r="T1791" t="str">
        <f t="shared" si="299"/>
        <v>PM10</v>
      </c>
      <c r="U1791">
        <v>25.63</v>
      </c>
      <c r="V1791">
        <v>88.92</v>
      </c>
    </row>
    <row r="1792" spans="1:22" x14ac:dyDescent="0.3">
      <c r="A1792" s="2" t="s">
        <v>15</v>
      </c>
      <c r="B1792">
        <v>560026</v>
      </c>
      <c r="C1792" s="4">
        <v>45349</v>
      </c>
      <c r="D1792">
        <v>32.11</v>
      </c>
      <c r="E1792">
        <v>80.31</v>
      </c>
      <c r="F1792">
        <v>8.36</v>
      </c>
      <c r="G1792">
        <v>2.09</v>
      </c>
      <c r="H1792">
        <v>3.79</v>
      </c>
      <c r="I1792">
        <v>0.55000000000000004</v>
      </c>
      <c r="J1792">
        <v>12.98</v>
      </c>
      <c r="K1792">
        <f t="shared" si="290"/>
        <v>53.516666666666666</v>
      </c>
      <c r="L1792">
        <f t="shared" si="291"/>
        <v>80.31</v>
      </c>
      <c r="M1792">
        <f t="shared" si="292"/>
        <v>10.45</v>
      </c>
      <c r="N1792">
        <f t="shared" si="293"/>
        <v>0.52249999999999996</v>
      </c>
      <c r="O1792">
        <f t="shared" si="294"/>
        <v>4.7374999999999998</v>
      </c>
      <c r="P1792">
        <f t="shared" si="295"/>
        <v>6.25</v>
      </c>
      <c r="Q1792">
        <f t="shared" si="296"/>
        <v>12.018518518518519</v>
      </c>
      <c r="R1792">
        <f t="shared" si="297"/>
        <v>80.31</v>
      </c>
      <c r="S1792" t="str">
        <f t="shared" si="298"/>
        <v>Satisfactory</v>
      </c>
      <c r="T1792" t="str">
        <f t="shared" si="299"/>
        <v>PM10</v>
      </c>
      <c r="U1792">
        <v>25.52</v>
      </c>
      <c r="V1792">
        <v>88.86</v>
      </c>
    </row>
    <row r="1793" spans="1:22" x14ac:dyDescent="0.3">
      <c r="A1793" s="2" t="s">
        <v>15</v>
      </c>
      <c r="B1793">
        <v>560026</v>
      </c>
      <c r="C1793" s="4">
        <v>45350</v>
      </c>
      <c r="D1793">
        <v>33.229999999999997</v>
      </c>
      <c r="E1793">
        <v>82.89</v>
      </c>
      <c r="F1793">
        <v>8.7100000000000009</v>
      </c>
      <c r="G1793">
        <v>2.13</v>
      </c>
      <c r="H1793">
        <v>4.18</v>
      </c>
      <c r="I1793">
        <v>0.6</v>
      </c>
      <c r="J1793">
        <v>12.26</v>
      </c>
      <c r="K1793">
        <f t="shared" si="290"/>
        <v>55.383333333333326</v>
      </c>
      <c r="L1793">
        <f t="shared" si="291"/>
        <v>82.89</v>
      </c>
      <c r="M1793">
        <f t="shared" si="292"/>
        <v>10.887500000000001</v>
      </c>
      <c r="N1793">
        <f t="shared" si="293"/>
        <v>0.53249999999999997</v>
      </c>
      <c r="O1793">
        <f t="shared" si="294"/>
        <v>5.2249999999999996</v>
      </c>
      <c r="P1793">
        <f t="shared" si="295"/>
        <v>6.8181818181818175</v>
      </c>
      <c r="Q1793">
        <f t="shared" si="296"/>
        <v>11.351851851851851</v>
      </c>
      <c r="R1793">
        <f t="shared" si="297"/>
        <v>82.89</v>
      </c>
      <c r="S1793" t="str">
        <f t="shared" si="298"/>
        <v>Satisfactory</v>
      </c>
      <c r="T1793" t="str">
        <f t="shared" si="299"/>
        <v>PM10</v>
      </c>
      <c r="U1793">
        <v>26.31</v>
      </c>
      <c r="V1793">
        <v>89.05</v>
      </c>
    </row>
    <row r="1794" spans="1:22" x14ac:dyDescent="0.3">
      <c r="A1794" s="2" t="s">
        <v>15</v>
      </c>
      <c r="B1794">
        <v>560026</v>
      </c>
      <c r="C1794" s="4">
        <v>45351</v>
      </c>
      <c r="D1794">
        <v>35.75</v>
      </c>
      <c r="E1794">
        <v>89.48</v>
      </c>
      <c r="F1794">
        <v>8.4700000000000006</v>
      </c>
      <c r="G1794">
        <v>2.13</v>
      </c>
      <c r="H1794">
        <v>4.13</v>
      </c>
      <c r="I1794">
        <v>0.6</v>
      </c>
      <c r="J1794">
        <v>13.53</v>
      </c>
      <c r="K1794">
        <f t="shared" si="290"/>
        <v>59.583333333333336</v>
      </c>
      <c r="L1794">
        <f t="shared" si="291"/>
        <v>89.48</v>
      </c>
      <c r="M1794">
        <f t="shared" si="292"/>
        <v>10.587500000000002</v>
      </c>
      <c r="N1794">
        <f t="shared" si="293"/>
        <v>0.53249999999999997</v>
      </c>
      <c r="O1794">
        <f t="shared" si="294"/>
        <v>5.1624999999999996</v>
      </c>
      <c r="P1794">
        <f t="shared" si="295"/>
        <v>6.8181818181818175</v>
      </c>
      <c r="Q1794">
        <f t="shared" si="296"/>
        <v>12.527777777777777</v>
      </c>
      <c r="R1794">
        <f t="shared" si="297"/>
        <v>89.48</v>
      </c>
      <c r="S1794" t="str">
        <f t="shared" si="298"/>
        <v>Satisfactory</v>
      </c>
      <c r="T1794" t="str">
        <f t="shared" si="299"/>
        <v>PM10</v>
      </c>
      <c r="U1794">
        <v>26.6</v>
      </c>
      <c r="V1794">
        <v>88.63</v>
      </c>
    </row>
    <row r="1795" spans="1:22" x14ac:dyDescent="0.3">
      <c r="A1795" s="2" t="s">
        <v>15</v>
      </c>
      <c r="B1795">
        <v>560026</v>
      </c>
      <c r="C1795" s="4">
        <v>45352</v>
      </c>
      <c r="D1795">
        <v>32.21</v>
      </c>
      <c r="E1795">
        <v>80.41</v>
      </c>
      <c r="F1795">
        <v>8.41</v>
      </c>
      <c r="G1795">
        <v>2.15</v>
      </c>
      <c r="H1795">
        <v>4.22</v>
      </c>
      <c r="I1795">
        <v>0.61</v>
      </c>
      <c r="J1795">
        <v>11.6</v>
      </c>
      <c r="K1795">
        <f t="shared" si="290"/>
        <v>53.683333333333337</v>
      </c>
      <c r="L1795">
        <f t="shared" si="291"/>
        <v>80.41</v>
      </c>
      <c r="M1795">
        <f t="shared" si="292"/>
        <v>10.512499999999999</v>
      </c>
      <c r="N1795">
        <f t="shared" si="293"/>
        <v>0.53749999999999998</v>
      </c>
      <c r="O1795">
        <f t="shared" si="294"/>
        <v>5.2750000000000004</v>
      </c>
      <c r="P1795">
        <f t="shared" si="295"/>
        <v>6.9318181818181817</v>
      </c>
      <c r="Q1795">
        <f t="shared" si="296"/>
        <v>10.74074074074074</v>
      </c>
      <c r="R1795">
        <f t="shared" si="297"/>
        <v>80.41</v>
      </c>
      <c r="S1795" t="str">
        <f t="shared" si="298"/>
        <v>Satisfactory</v>
      </c>
      <c r="T1795" t="str">
        <f t="shared" si="299"/>
        <v>PM10</v>
      </c>
      <c r="U1795">
        <v>26.71</v>
      </c>
      <c r="V1795">
        <v>88.8</v>
      </c>
    </row>
    <row r="1796" spans="1:22" x14ac:dyDescent="0.3">
      <c r="A1796" s="2" t="s">
        <v>15</v>
      </c>
      <c r="B1796">
        <v>560026</v>
      </c>
      <c r="C1796" s="4">
        <v>45353</v>
      </c>
      <c r="D1796">
        <v>97.81</v>
      </c>
      <c r="E1796">
        <v>86.12</v>
      </c>
      <c r="F1796">
        <v>8.51</v>
      </c>
      <c r="G1796">
        <v>2.09</v>
      </c>
      <c r="H1796">
        <v>4.01</v>
      </c>
      <c r="I1796">
        <v>0.57999999999999996</v>
      </c>
      <c r="J1796">
        <v>11.17</v>
      </c>
      <c r="K1796">
        <f t="shared" si="290"/>
        <v>226.03333333333333</v>
      </c>
      <c r="L1796">
        <f t="shared" si="291"/>
        <v>86.12</v>
      </c>
      <c r="M1796">
        <f t="shared" si="292"/>
        <v>10.637499999999999</v>
      </c>
      <c r="N1796">
        <f t="shared" si="293"/>
        <v>0.52249999999999996</v>
      </c>
      <c r="O1796">
        <f t="shared" si="294"/>
        <v>5.0125000000000002</v>
      </c>
      <c r="P1796">
        <f t="shared" si="295"/>
        <v>6.5909090909090899</v>
      </c>
      <c r="Q1796">
        <f t="shared" si="296"/>
        <v>10.342592592592593</v>
      </c>
      <c r="R1796">
        <f t="shared" si="297"/>
        <v>226.03333333333333</v>
      </c>
      <c r="S1796" t="str">
        <f t="shared" si="298"/>
        <v>Poor</v>
      </c>
      <c r="T1796" t="str">
        <f t="shared" si="299"/>
        <v>PM2.5</v>
      </c>
      <c r="U1796">
        <v>27.02</v>
      </c>
      <c r="V1796">
        <v>88.72</v>
      </c>
    </row>
    <row r="1797" spans="1:22" x14ac:dyDescent="0.3">
      <c r="A1797" s="2" t="s">
        <v>15</v>
      </c>
      <c r="B1797">
        <v>560026</v>
      </c>
      <c r="C1797" s="4">
        <v>45354</v>
      </c>
      <c r="D1797">
        <v>48.29</v>
      </c>
      <c r="E1797">
        <v>120.85</v>
      </c>
      <c r="F1797">
        <v>8.68</v>
      </c>
      <c r="G1797">
        <v>2.06</v>
      </c>
      <c r="H1797">
        <v>6.43</v>
      </c>
      <c r="I1797">
        <v>0.93</v>
      </c>
      <c r="J1797">
        <v>16.41</v>
      </c>
      <c r="K1797">
        <f t="shared" si="290"/>
        <v>80.483333333333334</v>
      </c>
      <c r="L1797">
        <f t="shared" si="291"/>
        <v>113.89999999999999</v>
      </c>
      <c r="M1797">
        <f t="shared" si="292"/>
        <v>10.85</v>
      </c>
      <c r="N1797">
        <f t="shared" si="293"/>
        <v>0.51500000000000001</v>
      </c>
      <c r="O1797">
        <f t="shared" si="294"/>
        <v>8.0374999999999996</v>
      </c>
      <c r="P1797">
        <f t="shared" si="295"/>
        <v>10.568181818181818</v>
      </c>
      <c r="Q1797">
        <f t="shared" si="296"/>
        <v>15.194444444444445</v>
      </c>
      <c r="R1797">
        <f t="shared" si="297"/>
        <v>113.89999999999999</v>
      </c>
      <c r="S1797" t="str">
        <f t="shared" si="298"/>
        <v>Moderate</v>
      </c>
      <c r="T1797" t="str">
        <f t="shared" si="299"/>
        <v>PM10</v>
      </c>
      <c r="U1797">
        <v>27.57</v>
      </c>
      <c r="V1797">
        <v>88.04</v>
      </c>
    </row>
    <row r="1798" spans="1:22" x14ac:dyDescent="0.3">
      <c r="A1798" s="2" t="s">
        <v>15</v>
      </c>
      <c r="B1798">
        <v>560026</v>
      </c>
      <c r="C1798" s="4">
        <v>45355</v>
      </c>
      <c r="D1798">
        <v>76.459999999999994</v>
      </c>
      <c r="E1798">
        <v>105.33</v>
      </c>
      <c r="F1798">
        <v>8.49</v>
      </c>
      <c r="G1798">
        <v>2.1</v>
      </c>
      <c r="H1798">
        <v>5.28</v>
      </c>
      <c r="I1798">
        <v>0.76</v>
      </c>
      <c r="J1798">
        <v>11.38</v>
      </c>
      <c r="K1798">
        <f t="shared" si="290"/>
        <v>154.86666666666665</v>
      </c>
      <c r="L1798">
        <f t="shared" si="291"/>
        <v>103.55333333333333</v>
      </c>
      <c r="M1798">
        <f t="shared" si="292"/>
        <v>10.612500000000001</v>
      </c>
      <c r="N1798">
        <f t="shared" si="293"/>
        <v>0.52500000000000002</v>
      </c>
      <c r="O1798">
        <f t="shared" si="294"/>
        <v>6.6</v>
      </c>
      <c r="P1798">
        <f t="shared" si="295"/>
        <v>8.6363636363636367</v>
      </c>
      <c r="Q1798">
        <f t="shared" si="296"/>
        <v>10.537037037037038</v>
      </c>
      <c r="R1798">
        <f t="shared" si="297"/>
        <v>154.86666666666665</v>
      </c>
      <c r="S1798" t="str">
        <f t="shared" si="298"/>
        <v>Moderate</v>
      </c>
      <c r="T1798" t="str">
        <f t="shared" si="299"/>
        <v>PM2.5</v>
      </c>
      <c r="U1798">
        <v>28.18</v>
      </c>
      <c r="V1798">
        <v>87.12</v>
      </c>
    </row>
    <row r="1799" spans="1:22" x14ac:dyDescent="0.3">
      <c r="A1799" s="2" t="s">
        <v>15</v>
      </c>
      <c r="B1799">
        <v>560026</v>
      </c>
      <c r="C1799" s="4">
        <v>45356</v>
      </c>
      <c r="D1799">
        <v>68.42</v>
      </c>
      <c r="E1799">
        <v>94.22</v>
      </c>
      <c r="F1799">
        <v>8.64</v>
      </c>
      <c r="G1799">
        <v>2.11</v>
      </c>
      <c r="H1799">
        <v>4.66</v>
      </c>
      <c r="I1799">
        <v>0.67</v>
      </c>
      <c r="J1799">
        <v>10.37</v>
      </c>
      <c r="K1799">
        <f t="shared" si="290"/>
        <v>128.06666666666666</v>
      </c>
      <c r="L1799">
        <f t="shared" si="291"/>
        <v>94.22</v>
      </c>
      <c r="M1799">
        <f t="shared" si="292"/>
        <v>10.8</v>
      </c>
      <c r="N1799">
        <f t="shared" si="293"/>
        <v>0.52749999999999997</v>
      </c>
      <c r="O1799">
        <f t="shared" si="294"/>
        <v>5.8250000000000002</v>
      </c>
      <c r="P1799">
        <f t="shared" si="295"/>
        <v>7.6136363636363642</v>
      </c>
      <c r="Q1799">
        <f t="shared" si="296"/>
        <v>9.6018518518518512</v>
      </c>
      <c r="R1799">
        <f t="shared" si="297"/>
        <v>128.06666666666666</v>
      </c>
      <c r="S1799" t="str">
        <f t="shared" si="298"/>
        <v>Moderate</v>
      </c>
      <c r="T1799" t="str">
        <f t="shared" si="299"/>
        <v>PM2.5</v>
      </c>
      <c r="U1799">
        <v>28.76</v>
      </c>
      <c r="V1799">
        <v>87</v>
      </c>
    </row>
    <row r="1800" spans="1:22" x14ac:dyDescent="0.3">
      <c r="A1800" s="2" t="s">
        <v>15</v>
      </c>
      <c r="B1800">
        <v>560026</v>
      </c>
      <c r="C1800" s="4">
        <v>45357</v>
      </c>
      <c r="D1800">
        <v>76.37</v>
      </c>
      <c r="E1800">
        <v>109.74</v>
      </c>
      <c r="F1800">
        <v>8.68</v>
      </c>
      <c r="G1800">
        <v>2.1</v>
      </c>
      <c r="H1800">
        <v>5.68</v>
      </c>
      <c r="I1800">
        <v>0.82</v>
      </c>
      <c r="J1800">
        <v>13.64</v>
      </c>
      <c r="K1800">
        <f t="shared" ref="K1800:K1863" si="300">IF(ISTEXT(D1800),0,IF(D1800&lt;=30,D1800*50/30,IF(AND(D1800&gt;30,D1800&lt;=60),50+(D1800-30)*50/30,IF(AND(D1800&gt;60,D1800&lt;=90),100+(D1800-60)*100/30,IF(AND(D1800&gt;90,D1800&lt;=120),200+(D1800-90)*(100/30),IF(AND(D1800&gt;120,D1800&lt;=250),300+(D1800-120)*(100/130),IF(D1800&gt;250,400+(D1800-250)*(100/130))))))))</f>
        <v>154.56666666666669</v>
      </c>
      <c r="L1800">
        <f t="shared" ref="L1800:L1863" si="301">IF(ISTEXT(E1800),0,IF(E1800&lt;=50,E1800,IF(AND(E1800&gt;50,E1800&lt;=100),E1800,IF(AND(E1800&gt;100,E1800&lt;=250),100+(E1800-100)*100/150,IF(AND(E1800&gt;250,E1800&lt;=350),200+(E1800-250),IF(AND(E1800&gt;350,E1800&lt;=430),300+(E1800-350)*(100/80),IF(E1800&gt;430,400+(E1800-430)*(100/80))))))))</f>
        <v>106.49333333333333</v>
      </c>
      <c r="M1800">
        <f t="shared" ref="M1800:M1863" si="302">IF(ISTEXT(F1800),0,IF(F1800&lt;=40,F1800*50/40,IF(AND(F1800&gt;40,F1800&lt;=80),50+(F1800-40)*50/40,IF(AND(F1800&gt;80,F1800&lt;=180),100+(F1800-80)*100/100,IF(AND(F1800&gt;180,F1800&lt;=280),200+(F1800-180)*(100/100),IF(AND(F1800&gt;280,F1800&lt;=400),300+(F1800-280)*(100/120),IF(F1800&gt;400,400+(F1800-400)*(100/120))))))))</f>
        <v>10.85</v>
      </c>
      <c r="N1800">
        <f t="shared" ref="N1800:N1863" si="303">IF(ISTEXT(G1800),0,IF(G1800&lt;=200,G1800*50/200,IF(AND(G1800&gt;200,G1800&lt;=400),50+(G1800-200)*50/200,IF(AND(G1800&gt;400,G1800&lt;=800),100+(G1800-400)*100/400,IF(AND(G1800&gt;800,G1800&lt;=1200),200+(G1800-800)*(100/400),IF(AND(G1800&gt;1200,G1800&lt;=1800),300+(G1800-1200)*(100/600),IF(G1800&gt;1800,400+(G1800-1800)*(100/600))))))))</f>
        <v>0.52500000000000002</v>
      </c>
      <c r="O1800">
        <f t="shared" ref="O1800:O1863" si="304">IF(ISTEXT(H1800),0,IF(H1800&lt;=40,H1800*50/40,IF(AND(H1800&gt;40,H1800&lt;=80),50+(H1800-40)*50/40,IF(AND(H1800&gt;80,H1800&lt;=380),100+(H1800-80)*100/300,IF(AND(H1800&gt;380,H1800&lt;=800),200+(H1800-380)*(100/420),IF(AND(H1800&gt;800,H1800&lt;=1600),300+(H1800-800)*(100/800),IF(H1800&gt;1600,400+(H1800-1600)*(100/800))))))))</f>
        <v>7.1</v>
      </c>
      <c r="P1800">
        <f t="shared" ref="P1800:P1863" si="305">IF(I1800&lt;=4.4,(50-0)/(4.4-0)*(I1800-0)+0,
IF(I1800&lt;=9.4,(100-51)/(9.4-4.5)*(I1800-4.5)+51,
IF(I1800&lt;=12.4,(150-101)/(12.4-9.5)*(I1800-9.5)+101,
IF(I1800&lt;=15.4,(200-151)/(15.4-12.5)*(I1800-12.5)+151,
IF(I1800&lt;=30.4,(300-201)/(30.4-15.5)*(I1800-15.5)+201,
(500-301)/(50.4-30.5)*(I1800-30.5)+301)))))</f>
        <v>9.3181818181818166</v>
      </c>
      <c r="Q1800">
        <f t="shared" ref="Q1800:Q1863" si="306">IF(J1800&lt;=54,(50-0)/(54-0)*(J1800-0)+0,
IF(J1800&lt;=70,(100-51)/(70-55)*(J1800-55)+51,
IF(J1800&lt;=85,(150-101)/(85-71)*(J1800-71)+101,
IF(J1800&lt;=105,(200-151)/(105-86)*(J1800-86)+151,
IF(J1800&lt;=200,(300-201)/(200-106)*(J1800-106)+201,
(500-301)/(300-201)*(J1800-201)+301)))))</f>
        <v>12.62962962962963</v>
      </c>
      <c r="R1800">
        <f t="shared" ref="R1800:R1863" si="307">MAX(K1800:Q1800)</f>
        <v>154.56666666666669</v>
      </c>
      <c r="S1800" t="str">
        <f t="shared" ref="S1800:S1863" si="308">IF(R1800&lt;=50,"Good",
IF(R1800&lt;=100,"Satisfactory",
IF(R1800&lt;=200,"Moderate",
IF(R1800&lt;=300,"Poor",
IF(R1800&lt;=400,"Very Poor",
"Severe")))))</f>
        <v>Moderate</v>
      </c>
      <c r="T1800" t="str">
        <f t="shared" ref="T1800:T1863" si="309">IF(MAX(K1800:Q1800)=K1800,"PM2.5",
IF(MAX(K1800:Q1800)=L1800,"PM10",
IF(MAX(K1800:Q1800)=M1800,"NO2",
IF(MAX(K1800:Q1800)=N1800,"NH3",
IF(MAX(K1800:Q1800)=O1800,"SO2",
IF(MAX(K1800:Q1800)=P1800,"CO",
IF(MAX(K1800:Q1800)=Q1800,"OZONE","")))))))</f>
        <v>PM2.5</v>
      </c>
      <c r="U1800">
        <v>28.36</v>
      </c>
      <c r="V1800">
        <v>87.09</v>
      </c>
    </row>
    <row r="1801" spans="1:22" x14ac:dyDescent="0.3">
      <c r="A1801" s="2" t="s">
        <v>15</v>
      </c>
      <c r="B1801">
        <v>560026</v>
      </c>
      <c r="C1801" s="4">
        <v>45358</v>
      </c>
      <c r="D1801">
        <v>80.55</v>
      </c>
      <c r="E1801">
        <v>114.92</v>
      </c>
      <c r="F1801">
        <v>8.3800000000000008</v>
      </c>
      <c r="G1801">
        <v>2.14</v>
      </c>
      <c r="H1801">
        <v>5.85</v>
      </c>
      <c r="I1801">
        <v>0.84</v>
      </c>
      <c r="J1801">
        <v>15.76</v>
      </c>
      <c r="K1801">
        <f t="shared" si="300"/>
        <v>168.5</v>
      </c>
      <c r="L1801">
        <f t="shared" si="301"/>
        <v>109.94666666666667</v>
      </c>
      <c r="M1801">
        <f t="shared" si="302"/>
        <v>10.475000000000001</v>
      </c>
      <c r="N1801">
        <f t="shared" si="303"/>
        <v>0.53500000000000003</v>
      </c>
      <c r="O1801">
        <f t="shared" si="304"/>
        <v>7.3125</v>
      </c>
      <c r="P1801">
        <f t="shared" si="305"/>
        <v>9.545454545454545</v>
      </c>
      <c r="Q1801">
        <f t="shared" si="306"/>
        <v>14.592592592592592</v>
      </c>
      <c r="R1801">
        <f t="shared" si="307"/>
        <v>168.5</v>
      </c>
      <c r="S1801" t="str">
        <f t="shared" si="308"/>
        <v>Moderate</v>
      </c>
      <c r="T1801" t="str">
        <f t="shared" si="309"/>
        <v>PM2.5</v>
      </c>
      <c r="U1801">
        <v>28.23</v>
      </c>
      <c r="V1801">
        <v>87.05</v>
      </c>
    </row>
    <row r="1802" spans="1:22" x14ac:dyDescent="0.3">
      <c r="A1802" s="2" t="s">
        <v>15</v>
      </c>
      <c r="B1802">
        <v>560026</v>
      </c>
      <c r="C1802" s="4">
        <v>45359</v>
      </c>
      <c r="D1802">
        <v>79.489999999999995</v>
      </c>
      <c r="E1802">
        <v>105.4</v>
      </c>
      <c r="F1802">
        <v>8.56</v>
      </c>
      <c r="G1802">
        <v>2.09</v>
      </c>
      <c r="H1802">
        <v>6.44</v>
      </c>
      <c r="I1802">
        <v>0.93</v>
      </c>
      <c r="J1802">
        <v>14.47</v>
      </c>
      <c r="K1802">
        <f t="shared" si="300"/>
        <v>164.96666666666664</v>
      </c>
      <c r="L1802">
        <f t="shared" si="301"/>
        <v>103.60000000000001</v>
      </c>
      <c r="M1802">
        <f t="shared" si="302"/>
        <v>10.7</v>
      </c>
      <c r="N1802">
        <f t="shared" si="303"/>
        <v>0.52249999999999996</v>
      </c>
      <c r="O1802">
        <f t="shared" si="304"/>
        <v>8.0500000000000007</v>
      </c>
      <c r="P1802">
        <f t="shared" si="305"/>
        <v>10.568181818181818</v>
      </c>
      <c r="Q1802">
        <f t="shared" si="306"/>
        <v>13.398148148148149</v>
      </c>
      <c r="R1802">
        <f t="shared" si="307"/>
        <v>164.96666666666664</v>
      </c>
      <c r="S1802" t="str">
        <f t="shared" si="308"/>
        <v>Moderate</v>
      </c>
      <c r="T1802" t="str">
        <f t="shared" si="309"/>
        <v>PM2.5</v>
      </c>
      <c r="U1802">
        <v>29.09</v>
      </c>
      <c r="V1802">
        <v>86.96</v>
      </c>
    </row>
    <row r="1803" spans="1:22" x14ac:dyDescent="0.3">
      <c r="A1803" s="2" t="s">
        <v>15</v>
      </c>
      <c r="B1803">
        <v>560026</v>
      </c>
      <c r="C1803" s="4">
        <v>45360</v>
      </c>
      <c r="D1803">
        <v>67.2</v>
      </c>
      <c r="E1803">
        <v>89.1</v>
      </c>
      <c r="F1803">
        <v>8.5399999999999991</v>
      </c>
      <c r="G1803">
        <v>2.1</v>
      </c>
      <c r="H1803">
        <v>5.5</v>
      </c>
      <c r="I1803">
        <v>0.79</v>
      </c>
      <c r="J1803">
        <v>13.05</v>
      </c>
      <c r="K1803">
        <f t="shared" si="300"/>
        <v>124</v>
      </c>
      <c r="L1803">
        <f t="shared" si="301"/>
        <v>89.1</v>
      </c>
      <c r="M1803">
        <f t="shared" si="302"/>
        <v>10.674999999999999</v>
      </c>
      <c r="N1803">
        <f t="shared" si="303"/>
        <v>0.52500000000000002</v>
      </c>
      <c r="O1803">
        <f t="shared" si="304"/>
        <v>6.875</v>
      </c>
      <c r="P1803">
        <f t="shared" si="305"/>
        <v>8.9772727272727266</v>
      </c>
      <c r="Q1803">
        <f t="shared" si="306"/>
        <v>12.083333333333334</v>
      </c>
      <c r="R1803">
        <f t="shared" si="307"/>
        <v>124</v>
      </c>
      <c r="S1803" t="str">
        <f t="shared" si="308"/>
        <v>Moderate</v>
      </c>
      <c r="T1803" t="str">
        <f t="shared" si="309"/>
        <v>PM2.5</v>
      </c>
      <c r="U1803">
        <v>29.68</v>
      </c>
      <c r="V1803">
        <v>86.75</v>
      </c>
    </row>
    <row r="1804" spans="1:22" x14ac:dyDescent="0.3">
      <c r="A1804" s="2" t="s">
        <v>15</v>
      </c>
      <c r="B1804">
        <v>560026</v>
      </c>
      <c r="C1804" s="4">
        <v>45361</v>
      </c>
      <c r="D1804">
        <v>71.87</v>
      </c>
      <c r="E1804">
        <v>87.97</v>
      </c>
      <c r="F1804">
        <v>8.4700000000000006</v>
      </c>
      <c r="G1804">
        <v>2.08</v>
      </c>
      <c r="H1804">
        <v>5.62</v>
      </c>
      <c r="I1804">
        <v>0.81</v>
      </c>
      <c r="J1804">
        <v>12.76</v>
      </c>
      <c r="K1804">
        <f t="shared" si="300"/>
        <v>139.56666666666669</v>
      </c>
      <c r="L1804">
        <f t="shared" si="301"/>
        <v>87.97</v>
      </c>
      <c r="M1804">
        <f t="shared" si="302"/>
        <v>10.587500000000002</v>
      </c>
      <c r="N1804">
        <f t="shared" si="303"/>
        <v>0.52</v>
      </c>
      <c r="O1804">
        <f t="shared" si="304"/>
        <v>7.0250000000000004</v>
      </c>
      <c r="P1804">
        <f t="shared" si="305"/>
        <v>9.204545454545455</v>
      </c>
      <c r="Q1804">
        <f t="shared" si="306"/>
        <v>11.814814814814815</v>
      </c>
      <c r="R1804">
        <f t="shared" si="307"/>
        <v>139.56666666666669</v>
      </c>
      <c r="S1804" t="str">
        <f t="shared" si="308"/>
        <v>Moderate</v>
      </c>
      <c r="T1804" t="str">
        <f t="shared" si="309"/>
        <v>PM2.5</v>
      </c>
      <c r="U1804">
        <v>28.95</v>
      </c>
      <c r="V1804">
        <v>87.01</v>
      </c>
    </row>
    <row r="1805" spans="1:22" x14ac:dyDescent="0.3">
      <c r="A1805" s="2" t="s">
        <v>15</v>
      </c>
      <c r="B1805">
        <v>560026</v>
      </c>
      <c r="C1805" s="4">
        <v>45362</v>
      </c>
      <c r="D1805">
        <v>66.260000000000005</v>
      </c>
      <c r="E1805">
        <v>91.6</v>
      </c>
      <c r="F1805">
        <v>8.27</v>
      </c>
      <c r="G1805">
        <v>2.08</v>
      </c>
      <c r="H1805">
        <v>6.33</v>
      </c>
      <c r="I1805">
        <v>0.91</v>
      </c>
      <c r="J1805">
        <v>13.09</v>
      </c>
      <c r="K1805">
        <f t="shared" si="300"/>
        <v>120.86666666666667</v>
      </c>
      <c r="L1805">
        <f t="shared" si="301"/>
        <v>91.6</v>
      </c>
      <c r="M1805">
        <f t="shared" si="302"/>
        <v>10.3375</v>
      </c>
      <c r="N1805">
        <f t="shared" si="303"/>
        <v>0.52</v>
      </c>
      <c r="O1805">
        <f t="shared" si="304"/>
        <v>7.9124999999999996</v>
      </c>
      <c r="P1805">
        <f t="shared" si="305"/>
        <v>10.340909090909092</v>
      </c>
      <c r="Q1805">
        <f t="shared" si="306"/>
        <v>12.12037037037037</v>
      </c>
      <c r="R1805">
        <f t="shared" si="307"/>
        <v>120.86666666666667</v>
      </c>
      <c r="S1805" t="str">
        <f t="shared" si="308"/>
        <v>Moderate</v>
      </c>
      <c r="T1805" t="str">
        <f t="shared" si="309"/>
        <v>PM2.5</v>
      </c>
      <c r="U1805">
        <v>29.37</v>
      </c>
      <c r="V1805">
        <v>86.8</v>
      </c>
    </row>
    <row r="1806" spans="1:22" x14ac:dyDescent="0.3">
      <c r="A1806" s="2" t="s">
        <v>15</v>
      </c>
      <c r="B1806">
        <v>560026</v>
      </c>
      <c r="C1806" s="4">
        <v>45363</v>
      </c>
      <c r="D1806">
        <v>70.22</v>
      </c>
      <c r="E1806">
        <v>100.59</v>
      </c>
      <c r="F1806">
        <v>8.4499999999999993</v>
      </c>
      <c r="G1806">
        <v>2.1</v>
      </c>
      <c r="H1806">
        <v>5.92</v>
      </c>
      <c r="I1806">
        <v>0.85</v>
      </c>
      <c r="J1806">
        <v>12.88</v>
      </c>
      <c r="K1806">
        <f t="shared" si="300"/>
        <v>134.06666666666666</v>
      </c>
      <c r="L1806">
        <f t="shared" si="301"/>
        <v>100.39333333333333</v>
      </c>
      <c r="M1806">
        <f t="shared" si="302"/>
        <v>10.562499999999998</v>
      </c>
      <c r="N1806">
        <f t="shared" si="303"/>
        <v>0.52500000000000002</v>
      </c>
      <c r="O1806">
        <f t="shared" si="304"/>
        <v>7.4</v>
      </c>
      <c r="P1806">
        <f t="shared" si="305"/>
        <v>9.6590909090909083</v>
      </c>
      <c r="Q1806">
        <f t="shared" si="306"/>
        <v>11.925925925925927</v>
      </c>
      <c r="R1806">
        <f t="shared" si="307"/>
        <v>134.06666666666666</v>
      </c>
      <c r="S1806" t="str">
        <f t="shared" si="308"/>
        <v>Moderate</v>
      </c>
      <c r="T1806" t="str">
        <f t="shared" si="309"/>
        <v>PM2.5</v>
      </c>
      <c r="U1806">
        <v>28.66</v>
      </c>
      <c r="V1806">
        <v>87.22</v>
      </c>
    </row>
    <row r="1807" spans="1:22" x14ac:dyDescent="0.3">
      <c r="A1807" s="2" t="s">
        <v>15</v>
      </c>
      <c r="B1807">
        <v>560026</v>
      </c>
      <c r="C1807" s="4">
        <v>45364</v>
      </c>
      <c r="D1807">
        <v>77.36</v>
      </c>
      <c r="E1807">
        <v>125.28</v>
      </c>
      <c r="F1807">
        <v>8.4700000000000006</v>
      </c>
      <c r="G1807">
        <v>2.09</v>
      </c>
      <c r="H1807">
        <v>5.62</v>
      </c>
      <c r="I1807">
        <v>0.81</v>
      </c>
      <c r="J1807">
        <v>13.53</v>
      </c>
      <c r="K1807">
        <f t="shared" si="300"/>
        <v>157.86666666666667</v>
      </c>
      <c r="L1807">
        <f t="shared" si="301"/>
        <v>116.85333333333332</v>
      </c>
      <c r="M1807">
        <f t="shared" si="302"/>
        <v>10.587500000000002</v>
      </c>
      <c r="N1807">
        <f t="shared" si="303"/>
        <v>0.52249999999999996</v>
      </c>
      <c r="O1807">
        <f t="shared" si="304"/>
        <v>7.0250000000000004</v>
      </c>
      <c r="P1807">
        <f t="shared" si="305"/>
        <v>9.204545454545455</v>
      </c>
      <c r="Q1807">
        <f t="shared" si="306"/>
        <v>12.527777777777777</v>
      </c>
      <c r="R1807">
        <f t="shared" si="307"/>
        <v>157.86666666666667</v>
      </c>
      <c r="S1807" t="str">
        <f t="shared" si="308"/>
        <v>Moderate</v>
      </c>
      <c r="T1807" t="str">
        <f t="shared" si="309"/>
        <v>PM2.5</v>
      </c>
      <c r="U1807">
        <v>28.49</v>
      </c>
      <c r="V1807">
        <v>87.64</v>
      </c>
    </row>
    <row r="1808" spans="1:22" x14ac:dyDescent="0.3">
      <c r="A1808" s="2" t="s">
        <v>15</v>
      </c>
      <c r="B1808">
        <v>560026</v>
      </c>
      <c r="C1808" s="4">
        <v>45365</v>
      </c>
      <c r="D1808">
        <v>67.47</v>
      </c>
      <c r="E1808">
        <v>108.92</v>
      </c>
      <c r="F1808">
        <v>8.8699999999999992</v>
      </c>
      <c r="G1808">
        <v>2.0499999999999998</v>
      </c>
      <c r="H1808">
        <v>4.41</v>
      </c>
      <c r="I1808">
        <v>0.64</v>
      </c>
      <c r="J1808">
        <v>4.8499999999999996</v>
      </c>
      <c r="K1808">
        <f t="shared" si="300"/>
        <v>124.89999999999999</v>
      </c>
      <c r="L1808">
        <f t="shared" si="301"/>
        <v>105.94666666666667</v>
      </c>
      <c r="M1808">
        <f t="shared" si="302"/>
        <v>11.087499999999999</v>
      </c>
      <c r="N1808">
        <f t="shared" si="303"/>
        <v>0.51249999999999996</v>
      </c>
      <c r="O1808">
        <f t="shared" si="304"/>
        <v>5.5125000000000002</v>
      </c>
      <c r="P1808">
        <f t="shared" si="305"/>
        <v>7.2727272727272725</v>
      </c>
      <c r="Q1808">
        <f t="shared" si="306"/>
        <v>4.4907407407407405</v>
      </c>
      <c r="R1808">
        <f t="shared" si="307"/>
        <v>124.89999999999999</v>
      </c>
      <c r="S1808" t="str">
        <f t="shared" si="308"/>
        <v>Moderate</v>
      </c>
      <c r="T1808" t="str">
        <f t="shared" si="309"/>
        <v>PM2.5</v>
      </c>
      <c r="U1808">
        <v>29.02</v>
      </c>
      <c r="V1808">
        <v>87.62</v>
      </c>
    </row>
    <row r="1809" spans="1:22" x14ac:dyDescent="0.3">
      <c r="A1809" s="2" t="s">
        <v>15</v>
      </c>
      <c r="B1809">
        <v>560026</v>
      </c>
      <c r="C1809" s="4">
        <v>45366</v>
      </c>
      <c r="D1809">
        <v>50.79</v>
      </c>
      <c r="E1809">
        <v>82.32</v>
      </c>
      <c r="F1809">
        <v>8.2799999999999994</v>
      </c>
      <c r="G1809">
        <v>2.16</v>
      </c>
      <c r="H1809">
        <v>4.68</v>
      </c>
      <c r="I1809">
        <v>0.67</v>
      </c>
      <c r="J1809">
        <v>8.94</v>
      </c>
      <c r="K1809">
        <f t="shared" si="300"/>
        <v>84.65</v>
      </c>
      <c r="L1809">
        <f t="shared" si="301"/>
        <v>82.32</v>
      </c>
      <c r="M1809">
        <f t="shared" si="302"/>
        <v>10.349999999999998</v>
      </c>
      <c r="N1809">
        <f t="shared" si="303"/>
        <v>0.54</v>
      </c>
      <c r="O1809">
        <f t="shared" si="304"/>
        <v>5.85</v>
      </c>
      <c r="P1809">
        <f t="shared" si="305"/>
        <v>7.6136363636363642</v>
      </c>
      <c r="Q1809">
        <f t="shared" si="306"/>
        <v>8.2777777777777768</v>
      </c>
      <c r="R1809">
        <f t="shared" si="307"/>
        <v>84.65</v>
      </c>
      <c r="S1809" t="str">
        <f t="shared" si="308"/>
        <v>Satisfactory</v>
      </c>
      <c r="T1809" t="str">
        <f t="shared" si="309"/>
        <v>PM2.5</v>
      </c>
      <c r="U1809">
        <v>26.82</v>
      </c>
      <c r="V1809">
        <v>88.1</v>
      </c>
    </row>
    <row r="1810" spans="1:22" x14ac:dyDescent="0.3">
      <c r="A1810" s="2" t="s">
        <v>15</v>
      </c>
      <c r="B1810">
        <v>560026</v>
      </c>
      <c r="C1810" s="4">
        <v>45367</v>
      </c>
      <c r="D1810">
        <v>39.7496978</v>
      </c>
      <c r="E1810">
        <v>77.871126369999999</v>
      </c>
      <c r="F1810">
        <v>10.867292819999999</v>
      </c>
      <c r="G1810">
        <v>4.085276243</v>
      </c>
      <c r="H1810">
        <v>5.2092265189999996</v>
      </c>
      <c r="I1810">
        <v>0.78319327699999997</v>
      </c>
      <c r="J1810">
        <v>25.953591159999998</v>
      </c>
      <c r="K1810">
        <f t="shared" si="300"/>
        <v>66.249496333333326</v>
      </c>
      <c r="L1810">
        <f t="shared" si="301"/>
        <v>77.871126369999999</v>
      </c>
      <c r="M1810">
        <f t="shared" si="302"/>
        <v>13.584116025</v>
      </c>
      <c r="N1810">
        <f t="shared" si="303"/>
        <v>1.02131906075</v>
      </c>
      <c r="O1810">
        <f t="shared" si="304"/>
        <v>6.5115331487499999</v>
      </c>
      <c r="P1810">
        <f t="shared" si="305"/>
        <v>8.8999236022727271</v>
      </c>
      <c r="Q1810">
        <f t="shared" si="306"/>
        <v>24.031102925925925</v>
      </c>
      <c r="R1810">
        <f t="shared" si="307"/>
        <v>77.871126369999999</v>
      </c>
      <c r="S1810" t="str">
        <f t="shared" si="308"/>
        <v>Satisfactory</v>
      </c>
      <c r="T1810" t="str">
        <f t="shared" si="309"/>
        <v>PM10</v>
      </c>
    </row>
    <row r="1811" spans="1:22" x14ac:dyDescent="0.3">
      <c r="A1811" s="2" t="s">
        <v>15</v>
      </c>
      <c r="B1811">
        <v>560026</v>
      </c>
      <c r="C1811" s="4">
        <v>45368</v>
      </c>
      <c r="D1811">
        <v>67</v>
      </c>
      <c r="E1811">
        <v>98.83</v>
      </c>
      <c r="F1811">
        <v>8.5299999999999994</v>
      </c>
      <c r="G1811">
        <v>2.0699999999999998</v>
      </c>
      <c r="H1811">
        <v>4.96</v>
      </c>
      <c r="I1811">
        <v>0.71</v>
      </c>
      <c r="J1811">
        <v>27.39</v>
      </c>
      <c r="K1811">
        <f t="shared" si="300"/>
        <v>123.33333333333333</v>
      </c>
      <c r="L1811">
        <f t="shared" si="301"/>
        <v>98.83</v>
      </c>
      <c r="M1811">
        <f t="shared" si="302"/>
        <v>10.662499999999998</v>
      </c>
      <c r="N1811">
        <f t="shared" si="303"/>
        <v>0.51749999999999996</v>
      </c>
      <c r="O1811">
        <f t="shared" si="304"/>
        <v>6.2</v>
      </c>
      <c r="P1811">
        <f t="shared" si="305"/>
        <v>8.0681818181818183</v>
      </c>
      <c r="Q1811">
        <f t="shared" si="306"/>
        <v>25.361111111111111</v>
      </c>
      <c r="R1811">
        <f t="shared" si="307"/>
        <v>123.33333333333333</v>
      </c>
      <c r="S1811" t="str">
        <f t="shared" si="308"/>
        <v>Moderate</v>
      </c>
      <c r="T1811" t="str">
        <f t="shared" si="309"/>
        <v>PM2.5</v>
      </c>
      <c r="U1811">
        <v>29.99</v>
      </c>
      <c r="V1811">
        <v>87.5</v>
      </c>
    </row>
    <row r="1812" spans="1:22" x14ac:dyDescent="0.3">
      <c r="A1812" s="2" t="s">
        <v>15</v>
      </c>
      <c r="B1812">
        <v>560026</v>
      </c>
      <c r="C1812" s="4">
        <v>45369</v>
      </c>
      <c r="D1812">
        <v>63</v>
      </c>
      <c r="E1812">
        <v>106.74</v>
      </c>
      <c r="F1812">
        <v>8.67</v>
      </c>
      <c r="G1812">
        <v>2.13</v>
      </c>
      <c r="H1812">
        <v>5.63</v>
      </c>
      <c r="I1812">
        <v>0.81</v>
      </c>
      <c r="J1812">
        <v>27.95</v>
      </c>
      <c r="K1812">
        <f t="shared" si="300"/>
        <v>110</v>
      </c>
      <c r="L1812">
        <f t="shared" si="301"/>
        <v>104.49333333333333</v>
      </c>
      <c r="M1812">
        <f t="shared" si="302"/>
        <v>10.8375</v>
      </c>
      <c r="N1812">
        <f t="shared" si="303"/>
        <v>0.53249999999999997</v>
      </c>
      <c r="O1812">
        <f t="shared" si="304"/>
        <v>7.0374999999999996</v>
      </c>
      <c r="P1812">
        <f t="shared" si="305"/>
        <v>9.204545454545455</v>
      </c>
      <c r="Q1812">
        <f t="shared" si="306"/>
        <v>25.87962962962963</v>
      </c>
      <c r="R1812">
        <f t="shared" si="307"/>
        <v>110</v>
      </c>
      <c r="S1812" t="str">
        <f t="shared" si="308"/>
        <v>Moderate</v>
      </c>
      <c r="T1812" t="str">
        <f t="shared" si="309"/>
        <v>PM2.5</v>
      </c>
      <c r="U1812">
        <v>27.19</v>
      </c>
      <c r="V1812">
        <v>88.49</v>
      </c>
    </row>
    <row r="1813" spans="1:22" x14ac:dyDescent="0.3">
      <c r="A1813" s="2" t="s">
        <v>15</v>
      </c>
      <c r="B1813">
        <v>560026</v>
      </c>
      <c r="C1813" s="4">
        <v>45370</v>
      </c>
      <c r="D1813">
        <v>59.15</v>
      </c>
      <c r="E1813">
        <v>100.45</v>
      </c>
      <c r="F1813">
        <v>8.83</v>
      </c>
      <c r="G1813">
        <v>1.97</v>
      </c>
      <c r="H1813">
        <v>3.41</v>
      </c>
      <c r="I1813">
        <v>0.49</v>
      </c>
      <c r="J1813">
        <v>26.71</v>
      </c>
      <c r="K1813">
        <f t="shared" si="300"/>
        <v>98.583333333333343</v>
      </c>
      <c r="L1813">
        <f t="shared" si="301"/>
        <v>100.3</v>
      </c>
      <c r="M1813">
        <f t="shared" si="302"/>
        <v>11.0375</v>
      </c>
      <c r="N1813">
        <f t="shared" si="303"/>
        <v>0.49249999999999999</v>
      </c>
      <c r="O1813">
        <f t="shared" si="304"/>
        <v>4.2625000000000002</v>
      </c>
      <c r="P1813">
        <f t="shared" si="305"/>
        <v>5.5681818181818183</v>
      </c>
      <c r="Q1813">
        <f t="shared" si="306"/>
        <v>24.731481481481481</v>
      </c>
      <c r="R1813">
        <f t="shared" si="307"/>
        <v>100.3</v>
      </c>
      <c r="S1813" t="str">
        <f t="shared" si="308"/>
        <v>Moderate</v>
      </c>
      <c r="T1813" t="str">
        <f t="shared" si="309"/>
        <v>PM10</v>
      </c>
      <c r="U1813">
        <v>24.95</v>
      </c>
      <c r="V1813">
        <v>88.95</v>
      </c>
    </row>
    <row r="1814" spans="1:22" x14ac:dyDescent="0.3">
      <c r="A1814" s="2" t="s">
        <v>15</v>
      </c>
      <c r="B1814">
        <v>560026</v>
      </c>
      <c r="C1814" s="4">
        <v>45371</v>
      </c>
      <c r="D1814">
        <v>78.510000000000005</v>
      </c>
      <c r="E1814">
        <v>132.44</v>
      </c>
      <c r="F1814">
        <v>10.867292819999999</v>
      </c>
      <c r="G1814">
        <v>4.085276243</v>
      </c>
      <c r="H1814">
        <v>5.2092265189999996</v>
      </c>
      <c r="I1814">
        <v>0.78319327699999997</v>
      </c>
      <c r="J1814">
        <v>25.953591159999998</v>
      </c>
      <c r="K1814">
        <f t="shared" si="300"/>
        <v>161.70000000000002</v>
      </c>
      <c r="L1814">
        <f t="shared" si="301"/>
        <v>121.62666666666667</v>
      </c>
      <c r="M1814">
        <f t="shared" si="302"/>
        <v>13.584116025</v>
      </c>
      <c r="N1814">
        <f t="shared" si="303"/>
        <v>1.02131906075</v>
      </c>
      <c r="O1814">
        <f t="shared" si="304"/>
        <v>6.5115331487499999</v>
      </c>
      <c r="P1814">
        <f t="shared" si="305"/>
        <v>8.8999236022727271</v>
      </c>
      <c r="Q1814">
        <f t="shared" si="306"/>
        <v>24.031102925925925</v>
      </c>
      <c r="R1814">
        <f t="shared" si="307"/>
        <v>161.70000000000002</v>
      </c>
      <c r="S1814" t="str">
        <f t="shared" si="308"/>
        <v>Moderate</v>
      </c>
      <c r="T1814" t="str">
        <f t="shared" si="309"/>
        <v>PM2.5</v>
      </c>
      <c r="U1814">
        <v>31.63</v>
      </c>
      <c r="V1814">
        <v>87.65</v>
      </c>
    </row>
    <row r="1815" spans="1:22" x14ac:dyDescent="0.3">
      <c r="A1815" s="2" t="s">
        <v>15</v>
      </c>
      <c r="B1815">
        <v>560026</v>
      </c>
      <c r="C1815" s="4">
        <v>45372</v>
      </c>
      <c r="D1815">
        <v>44.06</v>
      </c>
      <c r="E1815">
        <v>90.26</v>
      </c>
      <c r="F1815">
        <v>7.49</v>
      </c>
      <c r="G1815">
        <v>2.11</v>
      </c>
      <c r="H1815">
        <v>4.79</v>
      </c>
      <c r="I1815">
        <v>0.69</v>
      </c>
      <c r="J1815">
        <v>27.58</v>
      </c>
      <c r="K1815">
        <f t="shared" si="300"/>
        <v>73.433333333333337</v>
      </c>
      <c r="L1815">
        <f t="shared" si="301"/>
        <v>90.26</v>
      </c>
      <c r="M1815">
        <f t="shared" si="302"/>
        <v>9.3625000000000007</v>
      </c>
      <c r="N1815">
        <f t="shared" si="303"/>
        <v>0.52749999999999997</v>
      </c>
      <c r="O1815">
        <f t="shared" si="304"/>
        <v>5.9874999999999998</v>
      </c>
      <c r="P1815">
        <f t="shared" si="305"/>
        <v>7.8409090909090899</v>
      </c>
      <c r="Q1815">
        <f t="shared" si="306"/>
        <v>25.537037037037035</v>
      </c>
      <c r="R1815">
        <f t="shared" si="307"/>
        <v>90.26</v>
      </c>
      <c r="S1815" t="str">
        <f t="shared" si="308"/>
        <v>Satisfactory</v>
      </c>
      <c r="T1815" t="str">
        <f t="shared" si="309"/>
        <v>PM10</v>
      </c>
      <c r="U1815">
        <v>25.74</v>
      </c>
      <c r="V1815">
        <v>88.08</v>
      </c>
    </row>
    <row r="1816" spans="1:22" x14ac:dyDescent="0.3">
      <c r="A1816" s="2" t="s">
        <v>15</v>
      </c>
      <c r="B1816">
        <v>560026</v>
      </c>
      <c r="C1816" s="4">
        <v>45373</v>
      </c>
      <c r="D1816">
        <v>46.3</v>
      </c>
      <c r="E1816">
        <v>118.96</v>
      </c>
      <c r="F1816">
        <v>10.867292819999999</v>
      </c>
      <c r="G1816">
        <v>4.085276243</v>
      </c>
      <c r="H1816">
        <v>5.2092265189999996</v>
      </c>
      <c r="I1816">
        <v>0.78319327699999997</v>
      </c>
      <c r="J1816">
        <v>25.953591159999998</v>
      </c>
      <c r="K1816">
        <f t="shared" si="300"/>
        <v>77.166666666666657</v>
      </c>
      <c r="L1816">
        <f t="shared" si="301"/>
        <v>112.64</v>
      </c>
      <c r="M1816">
        <f t="shared" si="302"/>
        <v>13.584116025</v>
      </c>
      <c r="N1816">
        <f t="shared" si="303"/>
        <v>1.02131906075</v>
      </c>
      <c r="O1816">
        <f t="shared" si="304"/>
        <v>6.5115331487499999</v>
      </c>
      <c r="P1816">
        <f t="shared" si="305"/>
        <v>8.8999236022727271</v>
      </c>
      <c r="Q1816">
        <f t="shared" si="306"/>
        <v>24.031102925925925</v>
      </c>
      <c r="R1816">
        <f t="shared" si="307"/>
        <v>112.64</v>
      </c>
      <c r="S1816" t="str">
        <f t="shared" si="308"/>
        <v>Moderate</v>
      </c>
      <c r="T1816" t="str">
        <f t="shared" si="309"/>
        <v>PM10</v>
      </c>
      <c r="U1816">
        <v>27.69</v>
      </c>
      <c r="V1816">
        <v>88.79</v>
      </c>
    </row>
    <row r="1817" spans="1:22" x14ac:dyDescent="0.3">
      <c r="A1817" s="2" t="s">
        <v>15</v>
      </c>
      <c r="B1817">
        <v>560026</v>
      </c>
      <c r="C1817" s="4">
        <v>45374</v>
      </c>
      <c r="D1817">
        <v>55.12</v>
      </c>
      <c r="E1817">
        <v>189.69</v>
      </c>
      <c r="F1817">
        <v>10.867292819999999</v>
      </c>
      <c r="G1817">
        <v>4.085276243</v>
      </c>
      <c r="H1817">
        <v>5.2092265189999996</v>
      </c>
      <c r="I1817">
        <v>0.78319327699999997</v>
      </c>
      <c r="J1817">
        <v>25.953591159999998</v>
      </c>
      <c r="K1817">
        <f t="shared" si="300"/>
        <v>91.86666666666666</v>
      </c>
      <c r="L1817">
        <f t="shared" si="301"/>
        <v>159.79333333333335</v>
      </c>
      <c r="M1817">
        <f t="shared" si="302"/>
        <v>13.584116025</v>
      </c>
      <c r="N1817">
        <f t="shared" si="303"/>
        <v>1.02131906075</v>
      </c>
      <c r="O1817">
        <f t="shared" si="304"/>
        <v>6.5115331487499999</v>
      </c>
      <c r="P1817">
        <f t="shared" si="305"/>
        <v>8.8999236022727271</v>
      </c>
      <c r="Q1817">
        <f t="shared" si="306"/>
        <v>24.031102925925925</v>
      </c>
      <c r="R1817">
        <f t="shared" si="307"/>
        <v>159.79333333333335</v>
      </c>
      <c r="S1817" t="str">
        <f t="shared" si="308"/>
        <v>Moderate</v>
      </c>
      <c r="T1817" t="str">
        <f t="shared" si="309"/>
        <v>PM10</v>
      </c>
      <c r="U1817">
        <v>28.72</v>
      </c>
      <c r="V1817">
        <v>88.47</v>
      </c>
    </row>
    <row r="1818" spans="1:22" x14ac:dyDescent="0.3">
      <c r="A1818" s="2" t="s">
        <v>15</v>
      </c>
      <c r="B1818">
        <v>560026</v>
      </c>
      <c r="C1818" s="4">
        <v>45375</v>
      </c>
      <c r="D1818">
        <v>59.63</v>
      </c>
      <c r="E1818">
        <v>158.22999999999999</v>
      </c>
      <c r="F1818">
        <v>6.58</v>
      </c>
      <c r="G1818">
        <v>2.36</v>
      </c>
      <c r="H1818">
        <v>5.16</v>
      </c>
      <c r="I1818">
        <v>0.74</v>
      </c>
      <c r="J1818">
        <v>23.53</v>
      </c>
      <c r="K1818">
        <f t="shared" si="300"/>
        <v>99.38333333333334</v>
      </c>
      <c r="L1818">
        <f t="shared" si="301"/>
        <v>138.82</v>
      </c>
      <c r="M1818">
        <f t="shared" si="302"/>
        <v>8.2249999999999996</v>
      </c>
      <c r="N1818">
        <f t="shared" si="303"/>
        <v>0.59</v>
      </c>
      <c r="O1818">
        <f t="shared" si="304"/>
        <v>6.45</v>
      </c>
      <c r="P1818">
        <f t="shared" si="305"/>
        <v>8.4090909090909083</v>
      </c>
      <c r="Q1818">
        <f t="shared" si="306"/>
        <v>21.787037037037038</v>
      </c>
      <c r="R1818">
        <f t="shared" si="307"/>
        <v>138.82</v>
      </c>
      <c r="S1818" t="str">
        <f t="shared" si="308"/>
        <v>Moderate</v>
      </c>
      <c r="T1818" t="str">
        <f t="shared" si="309"/>
        <v>PM10</v>
      </c>
      <c r="U1818">
        <v>28.92</v>
      </c>
      <c r="V1818">
        <v>88.49</v>
      </c>
    </row>
    <row r="1819" spans="1:22" x14ac:dyDescent="0.3">
      <c r="A1819" s="2" t="s">
        <v>15</v>
      </c>
      <c r="B1819">
        <v>560026</v>
      </c>
      <c r="C1819" s="4">
        <v>45376</v>
      </c>
      <c r="D1819">
        <v>57.68</v>
      </c>
      <c r="E1819">
        <v>137.97999999999999</v>
      </c>
      <c r="F1819">
        <v>8.27</v>
      </c>
      <c r="G1819">
        <v>1.98</v>
      </c>
      <c r="H1819">
        <v>3.97</v>
      </c>
      <c r="I1819">
        <v>0.56999999999999995</v>
      </c>
      <c r="J1819">
        <v>27.45</v>
      </c>
      <c r="K1819">
        <f t="shared" si="300"/>
        <v>96.133333333333326</v>
      </c>
      <c r="L1819">
        <f t="shared" si="301"/>
        <v>125.32</v>
      </c>
      <c r="M1819">
        <f t="shared" si="302"/>
        <v>10.3375</v>
      </c>
      <c r="N1819">
        <f t="shared" si="303"/>
        <v>0.495</v>
      </c>
      <c r="O1819">
        <f t="shared" si="304"/>
        <v>4.9625000000000004</v>
      </c>
      <c r="P1819">
        <f t="shared" si="305"/>
        <v>6.4772727272727266</v>
      </c>
      <c r="Q1819">
        <f t="shared" si="306"/>
        <v>25.416666666666668</v>
      </c>
      <c r="R1819">
        <f t="shared" si="307"/>
        <v>125.32</v>
      </c>
      <c r="S1819" t="str">
        <f t="shared" si="308"/>
        <v>Moderate</v>
      </c>
      <c r="T1819" t="str">
        <f t="shared" si="309"/>
        <v>PM10</v>
      </c>
      <c r="U1819">
        <v>28.84</v>
      </c>
      <c r="V1819">
        <v>87.16</v>
      </c>
    </row>
    <row r="1820" spans="1:22" x14ac:dyDescent="0.3">
      <c r="A1820" s="2" t="s">
        <v>15</v>
      </c>
      <c r="B1820">
        <v>560026</v>
      </c>
      <c r="C1820" s="4">
        <v>45377</v>
      </c>
      <c r="D1820">
        <v>61.14</v>
      </c>
      <c r="E1820">
        <v>130.82</v>
      </c>
      <c r="F1820">
        <v>8.48</v>
      </c>
      <c r="G1820">
        <v>2.1</v>
      </c>
      <c r="H1820">
        <v>5.01</v>
      </c>
      <c r="I1820">
        <v>0.72</v>
      </c>
      <c r="J1820">
        <v>27.06</v>
      </c>
      <c r="K1820">
        <f t="shared" si="300"/>
        <v>103.8</v>
      </c>
      <c r="L1820">
        <f t="shared" si="301"/>
        <v>120.54666666666665</v>
      </c>
      <c r="M1820">
        <f t="shared" si="302"/>
        <v>10.6</v>
      </c>
      <c r="N1820">
        <f t="shared" si="303"/>
        <v>0.52500000000000002</v>
      </c>
      <c r="O1820">
        <f t="shared" si="304"/>
        <v>6.2625000000000002</v>
      </c>
      <c r="P1820">
        <f t="shared" si="305"/>
        <v>8.1818181818181817</v>
      </c>
      <c r="Q1820">
        <f t="shared" si="306"/>
        <v>25.055555555555554</v>
      </c>
      <c r="R1820">
        <f t="shared" si="307"/>
        <v>120.54666666666665</v>
      </c>
      <c r="S1820" t="str">
        <f t="shared" si="308"/>
        <v>Moderate</v>
      </c>
      <c r="T1820" t="str">
        <f t="shared" si="309"/>
        <v>PM10</v>
      </c>
      <c r="U1820">
        <v>29.08</v>
      </c>
      <c r="V1820">
        <v>86.96</v>
      </c>
    </row>
    <row r="1821" spans="1:22" x14ac:dyDescent="0.3">
      <c r="A1821" s="2" t="s">
        <v>15</v>
      </c>
      <c r="B1821">
        <v>560026</v>
      </c>
      <c r="C1821" s="4">
        <v>45378</v>
      </c>
      <c r="D1821">
        <v>54.9</v>
      </c>
      <c r="E1821">
        <v>96.51</v>
      </c>
      <c r="F1821">
        <v>8.0500000000000007</v>
      </c>
      <c r="G1821">
        <v>2.14</v>
      </c>
      <c r="H1821">
        <v>5.62</v>
      </c>
      <c r="I1821">
        <v>0.81</v>
      </c>
      <c r="J1821">
        <v>23.45</v>
      </c>
      <c r="K1821">
        <f t="shared" si="300"/>
        <v>91.5</v>
      </c>
      <c r="L1821">
        <f t="shared" si="301"/>
        <v>96.51</v>
      </c>
      <c r="M1821">
        <f t="shared" si="302"/>
        <v>10.062500000000002</v>
      </c>
      <c r="N1821">
        <f t="shared" si="303"/>
        <v>0.53500000000000003</v>
      </c>
      <c r="O1821">
        <f t="shared" si="304"/>
        <v>7.0250000000000004</v>
      </c>
      <c r="P1821">
        <f t="shared" si="305"/>
        <v>9.204545454545455</v>
      </c>
      <c r="Q1821">
        <f t="shared" si="306"/>
        <v>21.712962962962962</v>
      </c>
      <c r="R1821">
        <f t="shared" si="307"/>
        <v>96.51</v>
      </c>
      <c r="S1821" t="str">
        <f t="shared" si="308"/>
        <v>Satisfactory</v>
      </c>
      <c r="T1821" t="str">
        <f t="shared" si="309"/>
        <v>PM10</v>
      </c>
      <c r="U1821">
        <v>28.83</v>
      </c>
      <c r="V1821">
        <v>87.04</v>
      </c>
    </row>
    <row r="1822" spans="1:22" x14ac:dyDescent="0.3">
      <c r="A1822" s="2" t="s">
        <v>15</v>
      </c>
      <c r="B1822">
        <v>560026</v>
      </c>
      <c r="C1822" s="4">
        <v>45379</v>
      </c>
      <c r="D1822">
        <v>63.1</v>
      </c>
      <c r="E1822">
        <v>95.65</v>
      </c>
      <c r="F1822">
        <v>8.18</v>
      </c>
      <c r="G1822">
        <v>2.11</v>
      </c>
      <c r="H1822">
        <v>4.97</v>
      </c>
      <c r="I1822">
        <v>0.72</v>
      </c>
      <c r="J1822">
        <v>21.04</v>
      </c>
      <c r="K1822">
        <f t="shared" si="300"/>
        <v>110.33333333333334</v>
      </c>
      <c r="L1822">
        <f t="shared" si="301"/>
        <v>95.65</v>
      </c>
      <c r="M1822">
        <f t="shared" si="302"/>
        <v>10.225</v>
      </c>
      <c r="N1822">
        <f t="shared" si="303"/>
        <v>0.52749999999999997</v>
      </c>
      <c r="O1822">
        <f t="shared" si="304"/>
        <v>6.2125000000000004</v>
      </c>
      <c r="P1822">
        <f t="shared" si="305"/>
        <v>8.1818181818181817</v>
      </c>
      <c r="Q1822">
        <f t="shared" si="306"/>
        <v>19.481481481481481</v>
      </c>
      <c r="R1822">
        <f t="shared" si="307"/>
        <v>110.33333333333334</v>
      </c>
      <c r="S1822" t="str">
        <f t="shared" si="308"/>
        <v>Moderate</v>
      </c>
      <c r="T1822" t="str">
        <f t="shared" si="309"/>
        <v>PM2.5</v>
      </c>
      <c r="U1822">
        <v>29.35</v>
      </c>
      <c r="V1822">
        <v>86.88</v>
      </c>
    </row>
    <row r="1823" spans="1:22" x14ac:dyDescent="0.3">
      <c r="A1823" s="2" t="s">
        <v>15</v>
      </c>
      <c r="B1823">
        <v>560026</v>
      </c>
      <c r="C1823" s="4">
        <v>45380</v>
      </c>
      <c r="D1823">
        <v>62.15</v>
      </c>
      <c r="E1823">
        <v>87.52</v>
      </c>
      <c r="F1823">
        <v>8.91</v>
      </c>
      <c r="G1823">
        <v>2.12</v>
      </c>
      <c r="H1823">
        <v>4.82</v>
      </c>
      <c r="I1823">
        <v>0.7</v>
      </c>
      <c r="J1823">
        <v>29.31</v>
      </c>
      <c r="K1823">
        <f t="shared" si="300"/>
        <v>107.16666666666666</v>
      </c>
      <c r="L1823">
        <f t="shared" si="301"/>
        <v>87.52</v>
      </c>
      <c r="M1823">
        <f t="shared" si="302"/>
        <v>11.137499999999999</v>
      </c>
      <c r="N1823">
        <f t="shared" si="303"/>
        <v>0.53</v>
      </c>
      <c r="O1823">
        <f t="shared" si="304"/>
        <v>6.0250000000000004</v>
      </c>
      <c r="P1823">
        <f t="shared" si="305"/>
        <v>7.9545454545454541</v>
      </c>
      <c r="Q1823">
        <f t="shared" si="306"/>
        <v>27.138888888888889</v>
      </c>
      <c r="R1823">
        <f t="shared" si="307"/>
        <v>107.16666666666666</v>
      </c>
      <c r="S1823" t="str">
        <f t="shared" si="308"/>
        <v>Moderate</v>
      </c>
      <c r="T1823" t="str">
        <f t="shared" si="309"/>
        <v>PM2.5</v>
      </c>
      <c r="U1823">
        <v>28.87</v>
      </c>
      <c r="V1823">
        <v>87.09</v>
      </c>
    </row>
    <row r="1824" spans="1:22" x14ac:dyDescent="0.3">
      <c r="A1824" s="2" t="s">
        <v>15</v>
      </c>
      <c r="B1824">
        <v>560026</v>
      </c>
      <c r="C1824" s="4">
        <v>45381</v>
      </c>
      <c r="D1824">
        <v>55.01</v>
      </c>
      <c r="E1824">
        <v>93.6</v>
      </c>
      <c r="F1824">
        <v>8.7899999999999991</v>
      </c>
      <c r="G1824">
        <v>2.08</v>
      </c>
      <c r="H1824">
        <v>5.1100000000000003</v>
      </c>
      <c r="I1824">
        <v>0.74</v>
      </c>
      <c r="J1824">
        <v>29.33</v>
      </c>
      <c r="K1824">
        <f t="shared" si="300"/>
        <v>91.683333333333337</v>
      </c>
      <c r="L1824">
        <f t="shared" si="301"/>
        <v>93.6</v>
      </c>
      <c r="M1824">
        <f t="shared" si="302"/>
        <v>10.987499999999999</v>
      </c>
      <c r="N1824">
        <f t="shared" si="303"/>
        <v>0.52</v>
      </c>
      <c r="O1824">
        <f t="shared" si="304"/>
        <v>6.3875000000000011</v>
      </c>
      <c r="P1824">
        <f t="shared" si="305"/>
        <v>8.4090909090909083</v>
      </c>
      <c r="Q1824">
        <f t="shared" si="306"/>
        <v>27.157407407407405</v>
      </c>
      <c r="R1824">
        <f t="shared" si="307"/>
        <v>93.6</v>
      </c>
      <c r="S1824" t="str">
        <f t="shared" si="308"/>
        <v>Satisfactory</v>
      </c>
      <c r="T1824" t="str">
        <f t="shared" si="309"/>
        <v>PM10</v>
      </c>
      <c r="U1824">
        <v>30.16</v>
      </c>
      <c r="V1824">
        <v>86.75</v>
      </c>
    </row>
    <row r="1825" spans="1:22" x14ac:dyDescent="0.3">
      <c r="A1825" s="2" t="s">
        <v>15</v>
      </c>
      <c r="B1825">
        <v>560026</v>
      </c>
      <c r="C1825" s="4">
        <v>45382</v>
      </c>
      <c r="D1825">
        <v>55.55</v>
      </c>
      <c r="E1825">
        <v>84.54</v>
      </c>
      <c r="F1825">
        <v>8.11</v>
      </c>
      <c r="G1825">
        <v>2.12</v>
      </c>
      <c r="H1825">
        <v>5.0199999999999996</v>
      </c>
      <c r="I1825">
        <v>0.72</v>
      </c>
      <c r="J1825">
        <v>30.72</v>
      </c>
      <c r="K1825">
        <f t="shared" si="300"/>
        <v>92.583333333333329</v>
      </c>
      <c r="L1825">
        <f t="shared" si="301"/>
        <v>84.54</v>
      </c>
      <c r="M1825">
        <f t="shared" si="302"/>
        <v>10.137499999999999</v>
      </c>
      <c r="N1825">
        <f t="shared" si="303"/>
        <v>0.53</v>
      </c>
      <c r="O1825">
        <f t="shared" si="304"/>
        <v>6.2749999999999995</v>
      </c>
      <c r="P1825">
        <f t="shared" si="305"/>
        <v>8.1818181818181817</v>
      </c>
      <c r="Q1825">
        <f t="shared" si="306"/>
        <v>28.444444444444443</v>
      </c>
      <c r="R1825">
        <f t="shared" si="307"/>
        <v>92.583333333333329</v>
      </c>
      <c r="S1825" t="str">
        <f t="shared" si="308"/>
        <v>Satisfactory</v>
      </c>
      <c r="T1825" t="str">
        <f t="shared" si="309"/>
        <v>PM2.5</v>
      </c>
      <c r="U1825">
        <v>29.55</v>
      </c>
      <c r="V1825">
        <v>86.89</v>
      </c>
    </row>
    <row r="1826" spans="1:22" x14ac:dyDescent="0.3">
      <c r="A1826" s="2" t="s">
        <v>15</v>
      </c>
      <c r="B1826">
        <v>560026</v>
      </c>
      <c r="C1826" s="4">
        <v>45383</v>
      </c>
      <c r="D1826">
        <v>51.2</v>
      </c>
      <c r="E1826">
        <v>88.17</v>
      </c>
      <c r="F1826">
        <v>8.61</v>
      </c>
      <c r="G1826">
        <v>2.06</v>
      </c>
      <c r="H1826">
        <v>5.24</v>
      </c>
      <c r="I1826">
        <v>0.76</v>
      </c>
      <c r="J1826">
        <v>31.06</v>
      </c>
      <c r="K1826">
        <f t="shared" si="300"/>
        <v>85.333333333333343</v>
      </c>
      <c r="L1826">
        <f t="shared" si="301"/>
        <v>88.17</v>
      </c>
      <c r="M1826">
        <f t="shared" si="302"/>
        <v>10.762499999999999</v>
      </c>
      <c r="N1826">
        <f t="shared" si="303"/>
        <v>0.51500000000000001</v>
      </c>
      <c r="O1826">
        <f t="shared" si="304"/>
        <v>6.55</v>
      </c>
      <c r="P1826">
        <f t="shared" si="305"/>
        <v>8.6363636363636367</v>
      </c>
      <c r="Q1826">
        <f t="shared" si="306"/>
        <v>28.75925925925926</v>
      </c>
      <c r="R1826">
        <f t="shared" si="307"/>
        <v>88.17</v>
      </c>
      <c r="S1826" t="str">
        <f t="shared" si="308"/>
        <v>Satisfactory</v>
      </c>
      <c r="T1826" t="str">
        <f t="shared" si="309"/>
        <v>PM10</v>
      </c>
      <c r="U1826">
        <v>29.5</v>
      </c>
      <c r="V1826">
        <v>86.8</v>
      </c>
    </row>
    <row r="1827" spans="1:22" x14ac:dyDescent="0.3">
      <c r="A1827" s="2" t="s">
        <v>15</v>
      </c>
      <c r="B1827">
        <v>560026</v>
      </c>
      <c r="C1827" s="4">
        <v>45384</v>
      </c>
      <c r="D1827">
        <v>54.43</v>
      </c>
      <c r="E1827">
        <v>84.31</v>
      </c>
      <c r="F1827">
        <v>8.56</v>
      </c>
      <c r="G1827">
        <v>2.27</v>
      </c>
      <c r="H1827">
        <v>4.79</v>
      </c>
      <c r="I1827">
        <v>0.69</v>
      </c>
      <c r="J1827">
        <v>20.61</v>
      </c>
      <c r="K1827">
        <f t="shared" si="300"/>
        <v>90.716666666666669</v>
      </c>
      <c r="L1827">
        <f t="shared" si="301"/>
        <v>84.31</v>
      </c>
      <c r="M1827">
        <f t="shared" si="302"/>
        <v>10.7</v>
      </c>
      <c r="N1827">
        <f t="shared" si="303"/>
        <v>0.5675</v>
      </c>
      <c r="O1827">
        <f t="shared" si="304"/>
        <v>5.9874999999999998</v>
      </c>
      <c r="P1827">
        <f t="shared" si="305"/>
        <v>7.8409090909090899</v>
      </c>
      <c r="Q1827">
        <f t="shared" si="306"/>
        <v>19.083333333333332</v>
      </c>
      <c r="R1827">
        <f t="shared" si="307"/>
        <v>90.716666666666669</v>
      </c>
      <c r="S1827" t="str">
        <f t="shared" si="308"/>
        <v>Satisfactory</v>
      </c>
      <c r="T1827" t="str">
        <f t="shared" si="309"/>
        <v>PM2.5</v>
      </c>
      <c r="U1827">
        <v>30.53</v>
      </c>
      <c r="V1827">
        <v>86.59</v>
      </c>
    </row>
    <row r="1828" spans="1:22" x14ac:dyDescent="0.3">
      <c r="A1828" s="2" t="s">
        <v>15</v>
      </c>
      <c r="B1828">
        <v>560026</v>
      </c>
      <c r="C1828" s="4">
        <v>45385</v>
      </c>
      <c r="D1828">
        <v>50.99</v>
      </c>
      <c r="E1828">
        <v>79.510000000000005</v>
      </c>
      <c r="F1828">
        <v>8.52</v>
      </c>
      <c r="G1828">
        <v>2.0699999999999998</v>
      </c>
      <c r="H1828">
        <v>4.0199999999999996</v>
      </c>
      <c r="I1828">
        <v>0.57999999999999996</v>
      </c>
      <c r="J1828">
        <v>17.28</v>
      </c>
      <c r="K1828">
        <f t="shared" si="300"/>
        <v>84.983333333333334</v>
      </c>
      <c r="L1828">
        <f t="shared" si="301"/>
        <v>79.510000000000005</v>
      </c>
      <c r="M1828">
        <f t="shared" si="302"/>
        <v>10.65</v>
      </c>
      <c r="N1828">
        <f t="shared" si="303"/>
        <v>0.51749999999999996</v>
      </c>
      <c r="O1828">
        <f t="shared" si="304"/>
        <v>5.0249999999999995</v>
      </c>
      <c r="P1828">
        <f t="shared" si="305"/>
        <v>6.5909090909090899</v>
      </c>
      <c r="Q1828">
        <f t="shared" si="306"/>
        <v>16</v>
      </c>
      <c r="R1828">
        <f t="shared" si="307"/>
        <v>84.983333333333334</v>
      </c>
      <c r="S1828" t="str">
        <f t="shared" si="308"/>
        <v>Satisfactory</v>
      </c>
      <c r="T1828" t="str">
        <f t="shared" si="309"/>
        <v>PM2.5</v>
      </c>
      <c r="U1828">
        <v>30.38</v>
      </c>
      <c r="V1828">
        <v>86.65</v>
      </c>
    </row>
    <row r="1829" spans="1:22" x14ac:dyDescent="0.3">
      <c r="A1829" s="2" t="s">
        <v>15</v>
      </c>
      <c r="B1829">
        <v>560026</v>
      </c>
      <c r="C1829" s="4">
        <v>45386</v>
      </c>
      <c r="D1829">
        <v>43.33</v>
      </c>
      <c r="E1829">
        <v>66.650000000000006</v>
      </c>
      <c r="F1829">
        <v>8.15</v>
      </c>
      <c r="G1829">
        <v>2.16</v>
      </c>
      <c r="H1829">
        <v>4.99</v>
      </c>
      <c r="I1829">
        <v>0.72</v>
      </c>
      <c r="J1829">
        <v>16.239999999999998</v>
      </c>
      <c r="K1829">
        <f t="shared" si="300"/>
        <v>72.216666666666669</v>
      </c>
      <c r="L1829">
        <f t="shared" si="301"/>
        <v>66.650000000000006</v>
      </c>
      <c r="M1829">
        <f t="shared" si="302"/>
        <v>10.1875</v>
      </c>
      <c r="N1829">
        <f t="shared" si="303"/>
        <v>0.54</v>
      </c>
      <c r="O1829">
        <f t="shared" si="304"/>
        <v>6.2374999999999998</v>
      </c>
      <c r="P1829">
        <f t="shared" si="305"/>
        <v>8.1818181818181817</v>
      </c>
      <c r="Q1829">
        <f t="shared" si="306"/>
        <v>15.037037037037036</v>
      </c>
      <c r="R1829">
        <f t="shared" si="307"/>
        <v>72.216666666666669</v>
      </c>
      <c r="S1829" t="str">
        <f t="shared" si="308"/>
        <v>Satisfactory</v>
      </c>
      <c r="T1829" t="str">
        <f t="shared" si="309"/>
        <v>PM2.5</v>
      </c>
      <c r="U1829">
        <v>30.7</v>
      </c>
      <c r="V1829">
        <v>86.6</v>
      </c>
    </row>
    <row r="1830" spans="1:22" x14ac:dyDescent="0.3">
      <c r="A1830" s="2" t="s">
        <v>15</v>
      </c>
      <c r="B1830">
        <v>560026</v>
      </c>
      <c r="C1830" s="4">
        <v>45387</v>
      </c>
      <c r="D1830">
        <v>51.45</v>
      </c>
      <c r="E1830">
        <v>79.52</v>
      </c>
      <c r="F1830">
        <v>8.73</v>
      </c>
      <c r="G1830">
        <v>2.0699999999999998</v>
      </c>
      <c r="H1830">
        <v>5.4</v>
      </c>
      <c r="I1830">
        <v>0.78</v>
      </c>
      <c r="J1830">
        <v>14.77</v>
      </c>
      <c r="K1830">
        <f t="shared" si="300"/>
        <v>85.75</v>
      </c>
      <c r="L1830">
        <f t="shared" si="301"/>
        <v>79.52</v>
      </c>
      <c r="M1830">
        <f t="shared" si="302"/>
        <v>10.9125</v>
      </c>
      <c r="N1830">
        <f t="shared" si="303"/>
        <v>0.51749999999999996</v>
      </c>
      <c r="O1830">
        <f t="shared" si="304"/>
        <v>6.75</v>
      </c>
      <c r="P1830">
        <f t="shared" si="305"/>
        <v>8.8636363636363633</v>
      </c>
      <c r="Q1830">
        <f t="shared" si="306"/>
        <v>13.675925925925926</v>
      </c>
      <c r="R1830">
        <f t="shared" si="307"/>
        <v>85.75</v>
      </c>
      <c r="S1830" t="str">
        <f t="shared" si="308"/>
        <v>Satisfactory</v>
      </c>
      <c r="T1830" t="str">
        <f t="shared" si="309"/>
        <v>PM2.5</v>
      </c>
      <c r="U1830">
        <v>30.92</v>
      </c>
      <c r="V1830">
        <v>86.44</v>
      </c>
    </row>
    <row r="1831" spans="1:22" x14ac:dyDescent="0.3">
      <c r="A1831" s="2" t="s">
        <v>15</v>
      </c>
      <c r="B1831">
        <v>560026</v>
      </c>
      <c r="C1831" s="4">
        <v>45388</v>
      </c>
      <c r="D1831">
        <v>59.03</v>
      </c>
      <c r="E1831">
        <v>97.15</v>
      </c>
      <c r="F1831">
        <v>8.74</v>
      </c>
      <c r="G1831">
        <v>2.11</v>
      </c>
      <c r="H1831">
        <v>6.48</v>
      </c>
      <c r="I1831">
        <v>0.93</v>
      </c>
      <c r="J1831">
        <v>17.27</v>
      </c>
      <c r="K1831">
        <f t="shared" si="300"/>
        <v>98.383333333333326</v>
      </c>
      <c r="L1831">
        <f t="shared" si="301"/>
        <v>97.15</v>
      </c>
      <c r="M1831">
        <f t="shared" si="302"/>
        <v>10.925000000000001</v>
      </c>
      <c r="N1831">
        <f t="shared" si="303"/>
        <v>0.52749999999999997</v>
      </c>
      <c r="O1831">
        <f t="shared" si="304"/>
        <v>8.1</v>
      </c>
      <c r="P1831">
        <f t="shared" si="305"/>
        <v>10.568181818181818</v>
      </c>
      <c r="Q1831">
        <f t="shared" si="306"/>
        <v>15.99074074074074</v>
      </c>
      <c r="R1831">
        <f t="shared" si="307"/>
        <v>98.383333333333326</v>
      </c>
      <c r="S1831" t="str">
        <f t="shared" si="308"/>
        <v>Satisfactory</v>
      </c>
      <c r="T1831" t="str">
        <f t="shared" si="309"/>
        <v>PM2.5</v>
      </c>
      <c r="U1831">
        <v>31.1</v>
      </c>
      <c r="V1831">
        <v>86.43</v>
      </c>
    </row>
    <row r="1832" spans="1:22" x14ac:dyDescent="0.3">
      <c r="A1832" s="2" t="s">
        <v>15</v>
      </c>
      <c r="B1832">
        <v>560026</v>
      </c>
      <c r="C1832" s="4">
        <v>45389</v>
      </c>
      <c r="D1832">
        <v>52.19</v>
      </c>
      <c r="E1832">
        <v>79.13</v>
      </c>
      <c r="F1832">
        <v>8.4499999999999993</v>
      </c>
      <c r="G1832">
        <v>2.1</v>
      </c>
      <c r="H1832">
        <v>6.52</v>
      </c>
      <c r="I1832">
        <v>0.94</v>
      </c>
      <c r="J1832">
        <v>12.19</v>
      </c>
      <c r="K1832">
        <f t="shared" si="300"/>
        <v>86.983333333333334</v>
      </c>
      <c r="L1832">
        <f t="shared" si="301"/>
        <v>79.13</v>
      </c>
      <c r="M1832">
        <f t="shared" si="302"/>
        <v>10.562499999999998</v>
      </c>
      <c r="N1832">
        <f t="shared" si="303"/>
        <v>0.52500000000000002</v>
      </c>
      <c r="O1832">
        <f t="shared" si="304"/>
        <v>8.15</v>
      </c>
      <c r="P1832">
        <f t="shared" si="305"/>
        <v>10.681818181818182</v>
      </c>
      <c r="Q1832">
        <f t="shared" si="306"/>
        <v>11.287037037037036</v>
      </c>
      <c r="R1832">
        <f t="shared" si="307"/>
        <v>86.983333333333334</v>
      </c>
      <c r="S1832" t="str">
        <f t="shared" si="308"/>
        <v>Satisfactory</v>
      </c>
      <c r="T1832" t="str">
        <f t="shared" si="309"/>
        <v>PM2.5</v>
      </c>
      <c r="U1832">
        <v>30.64</v>
      </c>
      <c r="V1832">
        <v>86.59</v>
      </c>
    </row>
    <row r="1833" spans="1:22" x14ac:dyDescent="0.3">
      <c r="A1833" s="2" t="s">
        <v>15</v>
      </c>
      <c r="B1833">
        <v>560026</v>
      </c>
      <c r="C1833" s="4">
        <v>45390</v>
      </c>
      <c r="D1833">
        <v>58.51</v>
      </c>
      <c r="E1833">
        <v>83.55</v>
      </c>
      <c r="F1833">
        <v>8.48</v>
      </c>
      <c r="G1833">
        <v>2.1</v>
      </c>
      <c r="H1833">
        <v>6.04</v>
      </c>
      <c r="I1833">
        <v>0.87</v>
      </c>
      <c r="J1833">
        <v>14.49</v>
      </c>
      <c r="K1833">
        <f t="shared" si="300"/>
        <v>97.516666666666666</v>
      </c>
      <c r="L1833">
        <f t="shared" si="301"/>
        <v>83.55</v>
      </c>
      <c r="M1833">
        <f t="shared" si="302"/>
        <v>10.6</v>
      </c>
      <c r="N1833">
        <f t="shared" si="303"/>
        <v>0.52500000000000002</v>
      </c>
      <c r="O1833">
        <f t="shared" si="304"/>
        <v>7.55</v>
      </c>
      <c r="P1833">
        <f t="shared" si="305"/>
        <v>9.8863636363636367</v>
      </c>
      <c r="Q1833">
        <f t="shared" si="306"/>
        <v>13.416666666666666</v>
      </c>
      <c r="R1833">
        <f t="shared" si="307"/>
        <v>97.516666666666666</v>
      </c>
      <c r="S1833" t="str">
        <f t="shared" si="308"/>
        <v>Satisfactory</v>
      </c>
      <c r="T1833" t="str">
        <f t="shared" si="309"/>
        <v>PM2.5</v>
      </c>
      <c r="U1833">
        <v>30.26</v>
      </c>
      <c r="V1833">
        <v>86.77</v>
      </c>
    </row>
    <row r="1834" spans="1:22" x14ac:dyDescent="0.3">
      <c r="A1834" s="2" t="s">
        <v>15</v>
      </c>
      <c r="B1834">
        <v>560026</v>
      </c>
      <c r="C1834" s="4">
        <v>45391</v>
      </c>
      <c r="D1834">
        <v>49.19</v>
      </c>
      <c r="E1834">
        <v>78.42</v>
      </c>
      <c r="F1834">
        <v>8.44</v>
      </c>
      <c r="G1834">
        <v>2.1</v>
      </c>
      <c r="H1834">
        <v>6.17</v>
      </c>
      <c r="I1834">
        <v>0.89</v>
      </c>
      <c r="J1834">
        <v>25.76</v>
      </c>
      <c r="K1834">
        <f t="shared" si="300"/>
        <v>81.983333333333334</v>
      </c>
      <c r="L1834">
        <f t="shared" si="301"/>
        <v>78.42</v>
      </c>
      <c r="M1834">
        <f t="shared" si="302"/>
        <v>10.55</v>
      </c>
      <c r="N1834">
        <f t="shared" si="303"/>
        <v>0.52500000000000002</v>
      </c>
      <c r="O1834">
        <f t="shared" si="304"/>
        <v>7.7125000000000004</v>
      </c>
      <c r="P1834">
        <f t="shared" si="305"/>
        <v>10.113636363636363</v>
      </c>
      <c r="Q1834">
        <f t="shared" si="306"/>
        <v>23.851851851851855</v>
      </c>
      <c r="R1834">
        <f t="shared" si="307"/>
        <v>81.983333333333334</v>
      </c>
      <c r="S1834" t="str">
        <f t="shared" si="308"/>
        <v>Satisfactory</v>
      </c>
      <c r="T1834" t="str">
        <f t="shared" si="309"/>
        <v>PM2.5</v>
      </c>
      <c r="U1834">
        <v>29.67</v>
      </c>
      <c r="V1834">
        <v>87.05</v>
      </c>
    </row>
    <row r="1835" spans="1:22" x14ac:dyDescent="0.3">
      <c r="A1835" s="2" t="s">
        <v>15</v>
      </c>
      <c r="B1835">
        <v>560026</v>
      </c>
      <c r="C1835" s="4">
        <v>45392</v>
      </c>
      <c r="D1835">
        <v>64.930000000000007</v>
      </c>
      <c r="E1835">
        <v>103.35</v>
      </c>
      <c r="F1835">
        <v>8.33</v>
      </c>
      <c r="G1835">
        <v>2.1</v>
      </c>
      <c r="H1835">
        <v>5.75</v>
      </c>
      <c r="I1835">
        <v>0.83</v>
      </c>
      <c r="J1835">
        <v>28.71</v>
      </c>
      <c r="K1835">
        <f t="shared" si="300"/>
        <v>116.43333333333335</v>
      </c>
      <c r="L1835">
        <f t="shared" si="301"/>
        <v>102.23333333333333</v>
      </c>
      <c r="M1835">
        <f t="shared" si="302"/>
        <v>10.4125</v>
      </c>
      <c r="N1835">
        <f t="shared" si="303"/>
        <v>0.52500000000000002</v>
      </c>
      <c r="O1835">
        <f t="shared" si="304"/>
        <v>7.1875</v>
      </c>
      <c r="P1835">
        <f t="shared" si="305"/>
        <v>9.4318181818181817</v>
      </c>
      <c r="Q1835">
        <f t="shared" si="306"/>
        <v>26.583333333333336</v>
      </c>
      <c r="R1835">
        <f t="shared" si="307"/>
        <v>116.43333333333335</v>
      </c>
      <c r="S1835" t="str">
        <f t="shared" si="308"/>
        <v>Moderate</v>
      </c>
      <c r="T1835" t="str">
        <f t="shared" si="309"/>
        <v>PM2.5</v>
      </c>
      <c r="U1835">
        <v>29.45</v>
      </c>
      <c r="V1835">
        <v>87.15</v>
      </c>
    </row>
    <row r="1836" spans="1:22" x14ac:dyDescent="0.3">
      <c r="A1836" s="2" t="s">
        <v>15</v>
      </c>
      <c r="B1836">
        <v>560026</v>
      </c>
      <c r="C1836" s="4">
        <v>45393</v>
      </c>
      <c r="D1836">
        <v>41.71</v>
      </c>
      <c r="E1836">
        <v>65.510000000000005</v>
      </c>
      <c r="F1836">
        <v>8.4600000000000009</v>
      </c>
      <c r="G1836">
        <v>2.1</v>
      </c>
      <c r="H1836">
        <v>6.14</v>
      </c>
      <c r="I1836">
        <v>0.89</v>
      </c>
      <c r="J1836">
        <v>27.94</v>
      </c>
      <c r="K1836">
        <f t="shared" si="300"/>
        <v>69.516666666666666</v>
      </c>
      <c r="L1836">
        <f t="shared" si="301"/>
        <v>65.510000000000005</v>
      </c>
      <c r="M1836">
        <f t="shared" si="302"/>
        <v>10.575000000000001</v>
      </c>
      <c r="N1836">
        <f t="shared" si="303"/>
        <v>0.52500000000000002</v>
      </c>
      <c r="O1836">
        <f t="shared" si="304"/>
        <v>7.6749999999999998</v>
      </c>
      <c r="P1836">
        <f t="shared" si="305"/>
        <v>10.113636363636363</v>
      </c>
      <c r="Q1836">
        <f t="shared" si="306"/>
        <v>25.87037037037037</v>
      </c>
      <c r="R1836">
        <f t="shared" si="307"/>
        <v>69.516666666666666</v>
      </c>
      <c r="S1836" t="str">
        <f t="shared" si="308"/>
        <v>Satisfactory</v>
      </c>
      <c r="T1836" t="str">
        <f t="shared" si="309"/>
        <v>PM2.5</v>
      </c>
      <c r="U1836">
        <v>29.78</v>
      </c>
      <c r="V1836">
        <v>87.05</v>
      </c>
    </row>
    <row r="1837" spans="1:22" x14ac:dyDescent="0.3">
      <c r="A1837" s="2" t="s">
        <v>15</v>
      </c>
      <c r="B1837">
        <v>560026</v>
      </c>
      <c r="C1837" s="4">
        <v>45394</v>
      </c>
      <c r="D1837">
        <v>35.14</v>
      </c>
      <c r="E1837">
        <v>63.74</v>
      </c>
      <c r="F1837">
        <v>8.4499999999999993</v>
      </c>
      <c r="G1837">
        <v>2.1</v>
      </c>
      <c r="H1837">
        <v>6.99</v>
      </c>
      <c r="I1837">
        <v>1.01</v>
      </c>
      <c r="J1837">
        <v>26.56</v>
      </c>
      <c r="K1837">
        <f t="shared" si="300"/>
        <v>58.566666666666663</v>
      </c>
      <c r="L1837">
        <f t="shared" si="301"/>
        <v>63.74</v>
      </c>
      <c r="M1837">
        <f t="shared" si="302"/>
        <v>10.562499999999998</v>
      </c>
      <c r="N1837">
        <f t="shared" si="303"/>
        <v>0.52500000000000002</v>
      </c>
      <c r="O1837">
        <f t="shared" si="304"/>
        <v>8.7375000000000007</v>
      </c>
      <c r="P1837">
        <f t="shared" si="305"/>
        <v>11.477272727272727</v>
      </c>
      <c r="Q1837">
        <f t="shared" si="306"/>
        <v>24.592592592592592</v>
      </c>
      <c r="R1837">
        <f t="shared" si="307"/>
        <v>63.74</v>
      </c>
      <c r="S1837" t="str">
        <f t="shared" si="308"/>
        <v>Satisfactory</v>
      </c>
      <c r="T1837" t="str">
        <f t="shared" si="309"/>
        <v>PM10</v>
      </c>
      <c r="U1837">
        <v>29.19</v>
      </c>
      <c r="V1837">
        <v>87.17</v>
      </c>
    </row>
    <row r="1838" spans="1:22" x14ac:dyDescent="0.3">
      <c r="A1838" s="2" t="s">
        <v>15</v>
      </c>
      <c r="B1838">
        <v>560026</v>
      </c>
      <c r="C1838" s="4">
        <v>45395</v>
      </c>
      <c r="D1838">
        <v>38.54</v>
      </c>
      <c r="E1838">
        <v>57.89</v>
      </c>
      <c r="F1838">
        <v>8.44</v>
      </c>
      <c r="G1838">
        <v>2.1</v>
      </c>
      <c r="H1838">
        <v>5.71</v>
      </c>
      <c r="I1838">
        <v>0.82</v>
      </c>
      <c r="J1838">
        <v>27.52</v>
      </c>
      <c r="K1838">
        <f t="shared" si="300"/>
        <v>64.233333333333334</v>
      </c>
      <c r="L1838">
        <f t="shared" si="301"/>
        <v>57.89</v>
      </c>
      <c r="M1838">
        <f t="shared" si="302"/>
        <v>10.55</v>
      </c>
      <c r="N1838">
        <f t="shared" si="303"/>
        <v>0.52500000000000002</v>
      </c>
      <c r="O1838">
        <f t="shared" si="304"/>
        <v>7.1375000000000002</v>
      </c>
      <c r="P1838">
        <f t="shared" si="305"/>
        <v>9.3181818181818166</v>
      </c>
      <c r="Q1838">
        <f t="shared" si="306"/>
        <v>25.481481481481481</v>
      </c>
      <c r="R1838">
        <f t="shared" si="307"/>
        <v>64.233333333333334</v>
      </c>
      <c r="S1838" t="str">
        <f t="shared" si="308"/>
        <v>Satisfactory</v>
      </c>
      <c r="T1838" t="str">
        <f t="shared" si="309"/>
        <v>PM2.5</v>
      </c>
      <c r="U1838">
        <v>29.05</v>
      </c>
      <c r="V1838">
        <v>87.21</v>
      </c>
    </row>
    <row r="1839" spans="1:22" x14ac:dyDescent="0.3">
      <c r="A1839" s="2" t="s">
        <v>15</v>
      </c>
      <c r="B1839">
        <v>560026</v>
      </c>
      <c r="C1839" s="4">
        <v>45396</v>
      </c>
      <c r="D1839">
        <v>45.71</v>
      </c>
      <c r="E1839">
        <v>69.37</v>
      </c>
      <c r="F1839">
        <v>8.4600000000000009</v>
      </c>
      <c r="G1839">
        <v>2.1</v>
      </c>
      <c r="H1839">
        <v>5.84</v>
      </c>
      <c r="I1839">
        <v>0.84</v>
      </c>
      <c r="J1839">
        <v>29.57</v>
      </c>
      <c r="K1839">
        <f t="shared" si="300"/>
        <v>76.183333333333337</v>
      </c>
      <c r="L1839">
        <f t="shared" si="301"/>
        <v>69.37</v>
      </c>
      <c r="M1839">
        <f t="shared" si="302"/>
        <v>10.575000000000001</v>
      </c>
      <c r="N1839">
        <f t="shared" si="303"/>
        <v>0.52500000000000002</v>
      </c>
      <c r="O1839">
        <f t="shared" si="304"/>
        <v>7.3</v>
      </c>
      <c r="P1839">
        <f t="shared" si="305"/>
        <v>9.545454545454545</v>
      </c>
      <c r="Q1839">
        <f t="shared" si="306"/>
        <v>27.37962962962963</v>
      </c>
      <c r="R1839">
        <f t="shared" si="307"/>
        <v>76.183333333333337</v>
      </c>
      <c r="S1839" t="str">
        <f t="shared" si="308"/>
        <v>Satisfactory</v>
      </c>
      <c r="T1839" t="str">
        <f t="shared" si="309"/>
        <v>PM2.5</v>
      </c>
      <c r="U1839">
        <v>29.46</v>
      </c>
      <c r="V1839">
        <v>87.1</v>
      </c>
    </row>
    <row r="1840" spans="1:22" x14ac:dyDescent="0.3">
      <c r="A1840" s="2" t="s">
        <v>15</v>
      </c>
      <c r="B1840">
        <v>560026</v>
      </c>
      <c r="C1840" s="4">
        <v>45397</v>
      </c>
      <c r="D1840">
        <v>39.619999999999997</v>
      </c>
      <c r="E1840">
        <v>69.930000000000007</v>
      </c>
      <c r="F1840">
        <v>8.43</v>
      </c>
      <c r="G1840">
        <v>2.1</v>
      </c>
      <c r="H1840">
        <v>6.18</v>
      </c>
      <c r="I1840">
        <v>0.89</v>
      </c>
      <c r="J1840">
        <v>28.46</v>
      </c>
      <c r="K1840">
        <f t="shared" si="300"/>
        <v>66.033333333333331</v>
      </c>
      <c r="L1840">
        <f t="shared" si="301"/>
        <v>69.930000000000007</v>
      </c>
      <c r="M1840">
        <f t="shared" si="302"/>
        <v>10.5375</v>
      </c>
      <c r="N1840">
        <f t="shared" si="303"/>
        <v>0.52500000000000002</v>
      </c>
      <c r="O1840">
        <f t="shared" si="304"/>
        <v>7.7249999999999996</v>
      </c>
      <c r="P1840">
        <f t="shared" si="305"/>
        <v>10.113636363636363</v>
      </c>
      <c r="Q1840">
        <f t="shared" si="306"/>
        <v>26.351851851851851</v>
      </c>
      <c r="R1840">
        <f t="shared" si="307"/>
        <v>69.930000000000007</v>
      </c>
      <c r="S1840" t="str">
        <f t="shared" si="308"/>
        <v>Satisfactory</v>
      </c>
      <c r="T1840" t="str">
        <f t="shared" si="309"/>
        <v>PM10</v>
      </c>
      <c r="U1840">
        <v>29.63</v>
      </c>
      <c r="V1840">
        <v>87.09</v>
      </c>
    </row>
    <row r="1841" spans="1:22" x14ac:dyDescent="0.3">
      <c r="A1841" s="2" t="s">
        <v>15</v>
      </c>
      <c r="B1841">
        <v>560026</v>
      </c>
      <c r="C1841" s="4">
        <v>45398</v>
      </c>
      <c r="D1841">
        <v>42.56</v>
      </c>
      <c r="E1841">
        <v>74.62</v>
      </c>
      <c r="F1841">
        <v>8.44</v>
      </c>
      <c r="G1841">
        <v>2.1</v>
      </c>
      <c r="H1841">
        <v>6.16</v>
      </c>
      <c r="I1841">
        <v>0.89</v>
      </c>
      <c r="J1841">
        <v>29.12</v>
      </c>
      <c r="K1841">
        <f t="shared" si="300"/>
        <v>70.933333333333337</v>
      </c>
      <c r="L1841">
        <f t="shared" si="301"/>
        <v>74.62</v>
      </c>
      <c r="M1841">
        <f t="shared" si="302"/>
        <v>10.55</v>
      </c>
      <c r="N1841">
        <f t="shared" si="303"/>
        <v>0.52500000000000002</v>
      </c>
      <c r="O1841">
        <f t="shared" si="304"/>
        <v>7.7</v>
      </c>
      <c r="P1841">
        <f t="shared" si="305"/>
        <v>10.113636363636363</v>
      </c>
      <c r="Q1841">
        <f t="shared" si="306"/>
        <v>26.962962962962965</v>
      </c>
      <c r="R1841">
        <f t="shared" si="307"/>
        <v>74.62</v>
      </c>
      <c r="S1841" t="str">
        <f t="shared" si="308"/>
        <v>Satisfactory</v>
      </c>
      <c r="T1841" t="str">
        <f t="shared" si="309"/>
        <v>PM10</v>
      </c>
      <c r="U1841">
        <v>30.36</v>
      </c>
      <c r="V1841">
        <v>86.96</v>
      </c>
    </row>
    <row r="1842" spans="1:22" x14ac:dyDescent="0.3">
      <c r="A1842" s="2" t="s">
        <v>15</v>
      </c>
      <c r="B1842">
        <v>560026</v>
      </c>
      <c r="C1842" s="4">
        <v>45399</v>
      </c>
      <c r="D1842">
        <v>57.35</v>
      </c>
      <c r="E1842">
        <v>88.47</v>
      </c>
      <c r="F1842">
        <v>8.44</v>
      </c>
      <c r="G1842">
        <v>2.1</v>
      </c>
      <c r="H1842">
        <v>6.29</v>
      </c>
      <c r="I1842">
        <v>0.91</v>
      </c>
      <c r="J1842">
        <v>29.58</v>
      </c>
      <c r="K1842">
        <f t="shared" si="300"/>
        <v>95.583333333333343</v>
      </c>
      <c r="L1842">
        <f t="shared" si="301"/>
        <v>88.47</v>
      </c>
      <c r="M1842">
        <f t="shared" si="302"/>
        <v>10.55</v>
      </c>
      <c r="N1842">
        <f t="shared" si="303"/>
        <v>0.52500000000000002</v>
      </c>
      <c r="O1842">
        <f t="shared" si="304"/>
        <v>7.8624999999999998</v>
      </c>
      <c r="P1842">
        <f t="shared" si="305"/>
        <v>10.340909090909092</v>
      </c>
      <c r="Q1842">
        <f t="shared" si="306"/>
        <v>27.388888888888886</v>
      </c>
      <c r="R1842">
        <f t="shared" si="307"/>
        <v>95.583333333333343</v>
      </c>
      <c r="S1842" t="str">
        <f t="shared" si="308"/>
        <v>Satisfactory</v>
      </c>
      <c r="T1842" t="str">
        <f t="shared" si="309"/>
        <v>PM2.5</v>
      </c>
      <c r="U1842">
        <v>30.34</v>
      </c>
      <c r="V1842">
        <v>86.89</v>
      </c>
    </row>
    <row r="1843" spans="1:22" x14ac:dyDescent="0.3">
      <c r="A1843" s="2" t="s">
        <v>15</v>
      </c>
      <c r="B1843">
        <v>560026</v>
      </c>
      <c r="C1843" s="4">
        <v>45400</v>
      </c>
      <c r="D1843">
        <v>64.489999999999995</v>
      </c>
      <c r="E1843">
        <v>90.04</v>
      </c>
      <c r="F1843">
        <v>8.44</v>
      </c>
      <c r="G1843">
        <v>2.1</v>
      </c>
      <c r="H1843">
        <v>5.37</v>
      </c>
      <c r="I1843">
        <v>0.77</v>
      </c>
      <c r="J1843">
        <v>26.48</v>
      </c>
      <c r="K1843">
        <f t="shared" si="300"/>
        <v>114.96666666666665</v>
      </c>
      <c r="L1843">
        <f t="shared" si="301"/>
        <v>90.04</v>
      </c>
      <c r="M1843">
        <f t="shared" si="302"/>
        <v>10.55</v>
      </c>
      <c r="N1843">
        <f t="shared" si="303"/>
        <v>0.52500000000000002</v>
      </c>
      <c r="O1843">
        <f t="shared" si="304"/>
        <v>6.7125000000000004</v>
      </c>
      <c r="P1843">
        <f t="shared" si="305"/>
        <v>8.75</v>
      </c>
      <c r="Q1843">
        <f t="shared" si="306"/>
        <v>24.518518518518519</v>
      </c>
      <c r="R1843">
        <f t="shared" si="307"/>
        <v>114.96666666666665</v>
      </c>
      <c r="S1843" t="str">
        <f t="shared" si="308"/>
        <v>Moderate</v>
      </c>
      <c r="T1843" t="str">
        <f t="shared" si="309"/>
        <v>PM2.5</v>
      </c>
      <c r="U1843">
        <v>31.31</v>
      </c>
      <c r="V1843">
        <v>86.57</v>
      </c>
    </row>
    <row r="1844" spans="1:22" x14ac:dyDescent="0.3">
      <c r="A1844" s="2" t="s">
        <v>15</v>
      </c>
      <c r="B1844">
        <v>560026</v>
      </c>
      <c r="C1844" s="4">
        <v>45401</v>
      </c>
      <c r="D1844">
        <v>58.08</v>
      </c>
      <c r="E1844">
        <v>85.87</v>
      </c>
      <c r="F1844">
        <v>8.4499999999999993</v>
      </c>
      <c r="G1844">
        <v>2.1</v>
      </c>
      <c r="H1844">
        <v>5.69</v>
      </c>
      <c r="I1844">
        <v>0.82</v>
      </c>
      <c r="J1844">
        <v>28.21</v>
      </c>
      <c r="K1844">
        <f t="shared" si="300"/>
        <v>96.8</v>
      </c>
      <c r="L1844">
        <f t="shared" si="301"/>
        <v>85.87</v>
      </c>
      <c r="M1844">
        <f t="shared" si="302"/>
        <v>10.562499999999998</v>
      </c>
      <c r="N1844">
        <f t="shared" si="303"/>
        <v>0.52500000000000002</v>
      </c>
      <c r="O1844">
        <f t="shared" si="304"/>
        <v>7.1124999999999998</v>
      </c>
      <c r="P1844">
        <f t="shared" si="305"/>
        <v>9.3181818181818166</v>
      </c>
      <c r="Q1844">
        <f t="shared" si="306"/>
        <v>26.12037037037037</v>
      </c>
      <c r="R1844">
        <f t="shared" si="307"/>
        <v>96.8</v>
      </c>
      <c r="S1844" t="str">
        <f t="shared" si="308"/>
        <v>Satisfactory</v>
      </c>
      <c r="T1844" t="str">
        <f t="shared" si="309"/>
        <v>PM2.5</v>
      </c>
      <c r="U1844">
        <v>30.27</v>
      </c>
      <c r="V1844">
        <v>86.96</v>
      </c>
    </row>
    <row r="1845" spans="1:22" x14ac:dyDescent="0.3">
      <c r="A1845" s="2" t="s">
        <v>15</v>
      </c>
      <c r="B1845">
        <v>560026</v>
      </c>
      <c r="C1845" s="4">
        <v>45402</v>
      </c>
      <c r="D1845">
        <v>53.12</v>
      </c>
      <c r="E1845">
        <v>101.64</v>
      </c>
      <c r="F1845">
        <v>8.4499999999999993</v>
      </c>
      <c r="G1845">
        <v>2.1</v>
      </c>
      <c r="H1845">
        <v>5.63</v>
      </c>
      <c r="I1845">
        <v>0.81</v>
      </c>
      <c r="J1845">
        <v>27.81</v>
      </c>
      <c r="K1845">
        <f t="shared" si="300"/>
        <v>88.533333333333331</v>
      </c>
      <c r="L1845">
        <f t="shared" si="301"/>
        <v>101.09333333333333</v>
      </c>
      <c r="M1845">
        <f t="shared" si="302"/>
        <v>10.562499999999998</v>
      </c>
      <c r="N1845">
        <f t="shared" si="303"/>
        <v>0.52500000000000002</v>
      </c>
      <c r="O1845">
        <f t="shared" si="304"/>
        <v>7.0374999999999996</v>
      </c>
      <c r="P1845">
        <f t="shared" si="305"/>
        <v>9.204545454545455</v>
      </c>
      <c r="Q1845">
        <f t="shared" si="306"/>
        <v>25.75</v>
      </c>
      <c r="R1845">
        <f t="shared" si="307"/>
        <v>101.09333333333333</v>
      </c>
      <c r="S1845" t="str">
        <f t="shared" si="308"/>
        <v>Moderate</v>
      </c>
      <c r="T1845" t="str">
        <f t="shared" si="309"/>
        <v>PM10</v>
      </c>
      <c r="U1845">
        <v>28.41</v>
      </c>
      <c r="V1845">
        <v>87.47</v>
      </c>
    </row>
    <row r="1846" spans="1:22" x14ac:dyDescent="0.3">
      <c r="A1846" s="2" t="s">
        <v>15</v>
      </c>
      <c r="B1846">
        <v>560026</v>
      </c>
      <c r="C1846" s="4">
        <v>45403</v>
      </c>
      <c r="D1846">
        <v>59.04</v>
      </c>
      <c r="E1846">
        <v>99</v>
      </c>
      <c r="F1846">
        <v>8.4700000000000006</v>
      </c>
      <c r="G1846">
        <v>2.1</v>
      </c>
      <c r="H1846">
        <v>4.55</v>
      </c>
      <c r="I1846">
        <v>0.66</v>
      </c>
      <c r="J1846">
        <v>28.01</v>
      </c>
      <c r="K1846">
        <f t="shared" si="300"/>
        <v>98.4</v>
      </c>
      <c r="L1846">
        <f t="shared" si="301"/>
        <v>99</v>
      </c>
      <c r="M1846">
        <f t="shared" si="302"/>
        <v>10.587500000000002</v>
      </c>
      <c r="N1846">
        <f t="shared" si="303"/>
        <v>0.52500000000000002</v>
      </c>
      <c r="O1846">
        <f t="shared" si="304"/>
        <v>5.6875</v>
      </c>
      <c r="P1846">
        <f t="shared" si="305"/>
        <v>7.5</v>
      </c>
      <c r="Q1846">
        <f t="shared" si="306"/>
        <v>25.935185185185187</v>
      </c>
      <c r="R1846">
        <f t="shared" si="307"/>
        <v>99</v>
      </c>
      <c r="S1846" t="str">
        <f t="shared" si="308"/>
        <v>Satisfactory</v>
      </c>
      <c r="T1846" t="str">
        <f t="shared" si="309"/>
        <v>PM10</v>
      </c>
      <c r="U1846">
        <v>31.33</v>
      </c>
      <c r="V1846">
        <v>86.66</v>
      </c>
    </row>
    <row r="1847" spans="1:22" x14ac:dyDescent="0.3">
      <c r="A1847" s="2" t="s">
        <v>15</v>
      </c>
      <c r="B1847">
        <v>560026</v>
      </c>
      <c r="C1847" s="4">
        <v>45404</v>
      </c>
      <c r="D1847">
        <v>52.34</v>
      </c>
      <c r="E1847">
        <v>76.650000000000006</v>
      </c>
      <c r="F1847">
        <v>8.44</v>
      </c>
      <c r="G1847">
        <v>2.1</v>
      </c>
      <c r="H1847">
        <v>5.73</v>
      </c>
      <c r="I1847">
        <v>0.83</v>
      </c>
      <c r="J1847">
        <v>28.49</v>
      </c>
      <c r="K1847">
        <f t="shared" si="300"/>
        <v>87.233333333333348</v>
      </c>
      <c r="L1847">
        <f t="shared" si="301"/>
        <v>76.650000000000006</v>
      </c>
      <c r="M1847">
        <f t="shared" si="302"/>
        <v>10.55</v>
      </c>
      <c r="N1847">
        <f t="shared" si="303"/>
        <v>0.52500000000000002</v>
      </c>
      <c r="O1847">
        <f t="shared" si="304"/>
        <v>7.1624999999999996</v>
      </c>
      <c r="P1847">
        <f t="shared" si="305"/>
        <v>9.4318181818181817</v>
      </c>
      <c r="Q1847">
        <f t="shared" si="306"/>
        <v>26.37962962962963</v>
      </c>
      <c r="R1847">
        <f t="shared" si="307"/>
        <v>87.233333333333348</v>
      </c>
      <c r="S1847" t="str">
        <f t="shared" si="308"/>
        <v>Satisfactory</v>
      </c>
      <c r="T1847" t="str">
        <f t="shared" si="309"/>
        <v>PM2.5</v>
      </c>
      <c r="U1847">
        <v>31.02</v>
      </c>
      <c r="V1847">
        <v>86.68</v>
      </c>
    </row>
    <row r="1848" spans="1:22" x14ac:dyDescent="0.3">
      <c r="A1848" s="2" t="s">
        <v>15</v>
      </c>
      <c r="B1848">
        <v>560026</v>
      </c>
      <c r="C1848" s="4">
        <v>45405</v>
      </c>
      <c r="D1848">
        <v>50.62</v>
      </c>
      <c r="E1848">
        <v>75.709999999999994</v>
      </c>
      <c r="F1848">
        <v>8.41</v>
      </c>
      <c r="G1848">
        <v>2.1</v>
      </c>
      <c r="H1848">
        <v>5.29</v>
      </c>
      <c r="I1848">
        <v>0.64</v>
      </c>
      <c r="J1848">
        <v>29.88</v>
      </c>
      <c r="K1848">
        <f t="shared" si="300"/>
        <v>84.36666666666666</v>
      </c>
      <c r="L1848">
        <f t="shared" si="301"/>
        <v>75.709999999999994</v>
      </c>
      <c r="M1848">
        <f t="shared" si="302"/>
        <v>10.512499999999999</v>
      </c>
      <c r="N1848">
        <f t="shared" si="303"/>
        <v>0.52500000000000002</v>
      </c>
      <c r="O1848">
        <f t="shared" si="304"/>
        <v>6.6124999999999998</v>
      </c>
      <c r="P1848">
        <f t="shared" si="305"/>
        <v>7.2727272727272725</v>
      </c>
      <c r="Q1848">
        <f t="shared" si="306"/>
        <v>27.666666666666664</v>
      </c>
      <c r="R1848">
        <f t="shared" si="307"/>
        <v>84.36666666666666</v>
      </c>
      <c r="S1848" t="str">
        <f t="shared" si="308"/>
        <v>Satisfactory</v>
      </c>
      <c r="T1848" t="str">
        <f t="shared" si="309"/>
        <v>PM2.5</v>
      </c>
      <c r="U1848">
        <v>31.21</v>
      </c>
      <c r="V1848">
        <v>86.67</v>
      </c>
    </row>
    <row r="1849" spans="1:22" x14ac:dyDescent="0.3">
      <c r="A1849" s="2" t="s">
        <v>15</v>
      </c>
      <c r="B1849">
        <v>560026</v>
      </c>
      <c r="C1849" s="4">
        <v>45406</v>
      </c>
      <c r="D1849">
        <v>46.42</v>
      </c>
      <c r="E1849">
        <v>72.680000000000007</v>
      </c>
      <c r="F1849">
        <v>8.41</v>
      </c>
      <c r="G1849">
        <v>2.1</v>
      </c>
      <c r="H1849">
        <v>5.52</v>
      </c>
      <c r="I1849">
        <v>0.6</v>
      </c>
      <c r="J1849">
        <v>31.73</v>
      </c>
      <c r="K1849">
        <f t="shared" si="300"/>
        <v>77.366666666666674</v>
      </c>
      <c r="L1849">
        <f t="shared" si="301"/>
        <v>72.680000000000007</v>
      </c>
      <c r="M1849">
        <f t="shared" si="302"/>
        <v>10.512499999999999</v>
      </c>
      <c r="N1849">
        <f t="shared" si="303"/>
        <v>0.52500000000000002</v>
      </c>
      <c r="O1849">
        <f t="shared" si="304"/>
        <v>6.9</v>
      </c>
      <c r="P1849">
        <f t="shared" si="305"/>
        <v>6.8181818181818175</v>
      </c>
      <c r="Q1849">
        <f t="shared" si="306"/>
        <v>29.37962962962963</v>
      </c>
      <c r="R1849">
        <f t="shared" si="307"/>
        <v>77.366666666666674</v>
      </c>
      <c r="S1849" t="str">
        <f t="shared" si="308"/>
        <v>Satisfactory</v>
      </c>
      <c r="T1849" t="str">
        <f t="shared" si="309"/>
        <v>PM2.5</v>
      </c>
      <c r="U1849">
        <v>30.87</v>
      </c>
      <c r="V1849">
        <v>86.72</v>
      </c>
    </row>
    <row r="1850" spans="1:22" x14ac:dyDescent="0.3">
      <c r="A1850" s="2" t="s">
        <v>15</v>
      </c>
      <c r="B1850">
        <v>560026</v>
      </c>
      <c r="C1850" s="4">
        <v>45407</v>
      </c>
      <c r="D1850">
        <v>56.98</v>
      </c>
      <c r="E1850">
        <v>85.4</v>
      </c>
      <c r="F1850">
        <v>8.4</v>
      </c>
      <c r="G1850">
        <v>2.09</v>
      </c>
      <c r="H1850">
        <v>5.27</v>
      </c>
      <c r="I1850">
        <v>0.87</v>
      </c>
      <c r="J1850">
        <v>32.33</v>
      </c>
      <c r="K1850">
        <f t="shared" si="300"/>
        <v>94.966666666666669</v>
      </c>
      <c r="L1850">
        <f t="shared" si="301"/>
        <v>85.4</v>
      </c>
      <c r="M1850">
        <f t="shared" si="302"/>
        <v>10.5</v>
      </c>
      <c r="N1850">
        <f t="shared" si="303"/>
        <v>0.52249999999999996</v>
      </c>
      <c r="O1850">
        <f t="shared" si="304"/>
        <v>6.5875000000000004</v>
      </c>
      <c r="P1850">
        <f t="shared" si="305"/>
        <v>9.8863636363636367</v>
      </c>
      <c r="Q1850">
        <f t="shared" si="306"/>
        <v>29.935185185185183</v>
      </c>
      <c r="R1850">
        <f t="shared" si="307"/>
        <v>94.966666666666669</v>
      </c>
      <c r="S1850" t="str">
        <f t="shared" si="308"/>
        <v>Satisfactory</v>
      </c>
      <c r="T1850" t="str">
        <f t="shared" si="309"/>
        <v>PM2.5</v>
      </c>
      <c r="U1850">
        <v>31.59</v>
      </c>
      <c r="V1850">
        <v>86.57</v>
      </c>
    </row>
    <row r="1851" spans="1:22" x14ac:dyDescent="0.3">
      <c r="A1851" s="2" t="s">
        <v>15</v>
      </c>
      <c r="B1851">
        <v>560026</v>
      </c>
      <c r="C1851" s="4">
        <v>45408</v>
      </c>
      <c r="D1851">
        <v>60.99</v>
      </c>
      <c r="E1851">
        <v>81.95</v>
      </c>
      <c r="F1851">
        <v>8.44</v>
      </c>
      <c r="G1851">
        <v>2.1</v>
      </c>
      <c r="H1851">
        <v>5.86</v>
      </c>
      <c r="I1851">
        <v>0.69</v>
      </c>
      <c r="J1851">
        <v>30.67</v>
      </c>
      <c r="K1851">
        <f t="shared" si="300"/>
        <v>103.30000000000001</v>
      </c>
      <c r="L1851">
        <f t="shared" si="301"/>
        <v>81.95</v>
      </c>
      <c r="M1851">
        <f t="shared" si="302"/>
        <v>10.55</v>
      </c>
      <c r="N1851">
        <f t="shared" si="303"/>
        <v>0.52500000000000002</v>
      </c>
      <c r="O1851">
        <f t="shared" si="304"/>
        <v>7.3250000000000002</v>
      </c>
      <c r="P1851">
        <f t="shared" si="305"/>
        <v>7.8409090909090899</v>
      </c>
      <c r="Q1851">
        <f t="shared" si="306"/>
        <v>28.398148148148149</v>
      </c>
      <c r="R1851">
        <f t="shared" si="307"/>
        <v>103.30000000000001</v>
      </c>
      <c r="S1851" t="str">
        <f t="shared" si="308"/>
        <v>Moderate</v>
      </c>
      <c r="T1851" t="str">
        <f t="shared" si="309"/>
        <v>PM2.5</v>
      </c>
      <c r="U1851">
        <v>31.25</v>
      </c>
      <c r="V1851">
        <v>86.68</v>
      </c>
    </row>
    <row r="1852" spans="1:22" x14ac:dyDescent="0.3">
      <c r="A1852" s="2" t="s">
        <v>15</v>
      </c>
      <c r="B1852">
        <v>560026</v>
      </c>
      <c r="C1852" s="4">
        <v>45409</v>
      </c>
      <c r="D1852">
        <v>65.33</v>
      </c>
      <c r="E1852">
        <v>94.95</v>
      </c>
      <c r="F1852">
        <v>8.5399999999999991</v>
      </c>
      <c r="G1852">
        <v>2.1</v>
      </c>
      <c r="H1852">
        <v>6.53</v>
      </c>
      <c r="I1852">
        <v>0.72</v>
      </c>
      <c r="J1852">
        <v>30.33</v>
      </c>
      <c r="K1852">
        <f t="shared" si="300"/>
        <v>117.76666666666665</v>
      </c>
      <c r="L1852">
        <f t="shared" si="301"/>
        <v>94.95</v>
      </c>
      <c r="M1852">
        <f t="shared" si="302"/>
        <v>10.674999999999999</v>
      </c>
      <c r="N1852">
        <f t="shared" si="303"/>
        <v>0.52500000000000002</v>
      </c>
      <c r="O1852">
        <f t="shared" si="304"/>
        <v>8.1624999999999996</v>
      </c>
      <c r="P1852">
        <f t="shared" si="305"/>
        <v>8.1818181818181817</v>
      </c>
      <c r="Q1852">
        <f t="shared" si="306"/>
        <v>28.083333333333332</v>
      </c>
      <c r="R1852">
        <f t="shared" si="307"/>
        <v>117.76666666666665</v>
      </c>
      <c r="S1852" t="str">
        <f t="shared" si="308"/>
        <v>Moderate</v>
      </c>
      <c r="T1852" t="str">
        <f t="shared" si="309"/>
        <v>PM2.5</v>
      </c>
      <c r="U1852">
        <v>31.51</v>
      </c>
      <c r="V1852">
        <v>86.61</v>
      </c>
    </row>
    <row r="1853" spans="1:22" x14ac:dyDescent="0.3">
      <c r="A1853" s="2" t="s">
        <v>15</v>
      </c>
      <c r="B1853">
        <v>560026</v>
      </c>
      <c r="C1853" s="4">
        <v>45410</v>
      </c>
      <c r="D1853">
        <v>50.78</v>
      </c>
      <c r="E1853">
        <v>71.47</v>
      </c>
      <c r="F1853">
        <v>8.48</v>
      </c>
      <c r="G1853">
        <v>2.1</v>
      </c>
      <c r="H1853">
        <v>5.28</v>
      </c>
      <c r="I1853">
        <v>0.68</v>
      </c>
      <c r="J1853">
        <v>31.26</v>
      </c>
      <c r="K1853">
        <f t="shared" si="300"/>
        <v>84.633333333333326</v>
      </c>
      <c r="L1853">
        <f t="shared" si="301"/>
        <v>71.47</v>
      </c>
      <c r="M1853">
        <f t="shared" si="302"/>
        <v>10.6</v>
      </c>
      <c r="N1853">
        <f t="shared" si="303"/>
        <v>0.52500000000000002</v>
      </c>
      <c r="O1853">
        <f t="shared" si="304"/>
        <v>6.6</v>
      </c>
      <c r="P1853">
        <f t="shared" si="305"/>
        <v>7.7272727272727275</v>
      </c>
      <c r="Q1853">
        <f t="shared" si="306"/>
        <v>28.944444444444446</v>
      </c>
      <c r="R1853">
        <f t="shared" si="307"/>
        <v>84.633333333333326</v>
      </c>
      <c r="S1853" t="str">
        <f t="shared" si="308"/>
        <v>Satisfactory</v>
      </c>
      <c r="T1853" t="str">
        <f t="shared" si="309"/>
        <v>PM2.5</v>
      </c>
      <c r="U1853">
        <v>32.200000000000003</v>
      </c>
      <c r="V1853">
        <v>86.3</v>
      </c>
    </row>
    <row r="1854" spans="1:22" x14ac:dyDescent="0.3">
      <c r="A1854" s="2" t="s">
        <v>15</v>
      </c>
      <c r="B1854">
        <v>560026</v>
      </c>
      <c r="C1854" s="4">
        <v>45411</v>
      </c>
      <c r="D1854">
        <v>40.200000000000003</v>
      </c>
      <c r="E1854">
        <v>63.81</v>
      </c>
      <c r="F1854">
        <v>8.4600000000000009</v>
      </c>
      <c r="G1854">
        <v>2.1</v>
      </c>
      <c r="H1854">
        <v>5.19</v>
      </c>
      <c r="I1854">
        <v>0.65</v>
      </c>
      <c r="J1854">
        <v>28.15</v>
      </c>
      <c r="K1854">
        <f t="shared" si="300"/>
        <v>67</v>
      </c>
      <c r="L1854">
        <f t="shared" si="301"/>
        <v>63.81</v>
      </c>
      <c r="M1854">
        <f t="shared" si="302"/>
        <v>10.575000000000001</v>
      </c>
      <c r="N1854">
        <f t="shared" si="303"/>
        <v>0.52500000000000002</v>
      </c>
      <c r="O1854">
        <f t="shared" si="304"/>
        <v>6.4874999999999998</v>
      </c>
      <c r="P1854">
        <f t="shared" si="305"/>
        <v>7.3863636363636367</v>
      </c>
      <c r="Q1854">
        <f t="shared" si="306"/>
        <v>26.064814814814813</v>
      </c>
      <c r="R1854">
        <f t="shared" si="307"/>
        <v>67</v>
      </c>
      <c r="S1854" t="str">
        <f t="shared" si="308"/>
        <v>Satisfactory</v>
      </c>
      <c r="T1854" t="str">
        <f t="shared" si="309"/>
        <v>PM2.5</v>
      </c>
      <c r="U1854">
        <v>31.39</v>
      </c>
      <c r="V1854">
        <v>86.5</v>
      </c>
    </row>
    <row r="1855" spans="1:22" x14ac:dyDescent="0.3">
      <c r="A1855" s="2" t="s">
        <v>15</v>
      </c>
      <c r="B1855">
        <v>560026</v>
      </c>
      <c r="C1855" s="4">
        <v>45412</v>
      </c>
      <c r="D1855">
        <v>40.479999999999997</v>
      </c>
      <c r="E1855">
        <v>66.650000000000006</v>
      </c>
      <c r="F1855">
        <v>8.4600000000000009</v>
      </c>
      <c r="G1855">
        <v>2.1</v>
      </c>
      <c r="H1855">
        <v>5</v>
      </c>
      <c r="I1855">
        <v>0.6</v>
      </c>
      <c r="J1855">
        <v>28.02</v>
      </c>
      <c r="K1855">
        <f t="shared" si="300"/>
        <v>67.466666666666669</v>
      </c>
      <c r="L1855">
        <f t="shared" si="301"/>
        <v>66.650000000000006</v>
      </c>
      <c r="M1855">
        <f t="shared" si="302"/>
        <v>10.575000000000001</v>
      </c>
      <c r="N1855">
        <f t="shared" si="303"/>
        <v>0.52500000000000002</v>
      </c>
      <c r="O1855">
        <f t="shared" si="304"/>
        <v>6.25</v>
      </c>
      <c r="P1855">
        <f t="shared" si="305"/>
        <v>6.8181818181818175</v>
      </c>
      <c r="Q1855">
        <f t="shared" si="306"/>
        <v>25.944444444444443</v>
      </c>
      <c r="R1855">
        <f t="shared" si="307"/>
        <v>67.466666666666669</v>
      </c>
      <c r="S1855" t="str">
        <f t="shared" si="308"/>
        <v>Satisfactory</v>
      </c>
      <c r="T1855" t="str">
        <f t="shared" si="309"/>
        <v>PM2.5</v>
      </c>
      <c r="U1855">
        <v>32.21</v>
      </c>
      <c r="V1855">
        <v>86.38</v>
      </c>
    </row>
    <row r="1856" spans="1:22" x14ac:dyDescent="0.3">
      <c r="A1856" s="2" t="s">
        <v>15</v>
      </c>
      <c r="B1856">
        <v>560026</v>
      </c>
      <c r="C1856" s="4">
        <v>45413</v>
      </c>
      <c r="D1856">
        <v>56.52</v>
      </c>
      <c r="E1856">
        <v>96.52</v>
      </c>
      <c r="F1856">
        <v>8.51</v>
      </c>
      <c r="G1856">
        <v>2.09</v>
      </c>
      <c r="H1856">
        <v>5.39</v>
      </c>
      <c r="I1856">
        <v>1.1000000000000001</v>
      </c>
      <c r="J1856">
        <v>25.9</v>
      </c>
      <c r="K1856">
        <f t="shared" si="300"/>
        <v>94.200000000000017</v>
      </c>
      <c r="L1856">
        <f t="shared" si="301"/>
        <v>96.52</v>
      </c>
      <c r="M1856">
        <f t="shared" si="302"/>
        <v>10.637499999999999</v>
      </c>
      <c r="N1856">
        <f t="shared" si="303"/>
        <v>0.52249999999999996</v>
      </c>
      <c r="O1856">
        <f t="shared" si="304"/>
        <v>6.7374999999999998</v>
      </c>
      <c r="P1856">
        <f t="shared" si="305"/>
        <v>12.5</v>
      </c>
      <c r="Q1856">
        <f t="shared" si="306"/>
        <v>23.981481481481481</v>
      </c>
      <c r="R1856">
        <f t="shared" si="307"/>
        <v>96.52</v>
      </c>
      <c r="S1856" t="str">
        <f t="shared" si="308"/>
        <v>Satisfactory</v>
      </c>
      <c r="T1856" t="str">
        <f t="shared" si="309"/>
        <v>PM10</v>
      </c>
      <c r="U1856">
        <v>31.66</v>
      </c>
      <c r="V1856">
        <v>86.42</v>
      </c>
    </row>
    <row r="1857" spans="1:22" x14ac:dyDescent="0.3">
      <c r="A1857" s="2" t="s">
        <v>15</v>
      </c>
      <c r="B1857">
        <v>560026</v>
      </c>
      <c r="C1857" s="4">
        <v>45414</v>
      </c>
      <c r="D1857">
        <v>59.41</v>
      </c>
      <c r="E1857">
        <v>102.29</v>
      </c>
      <c r="F1857">
        <v>8.43</v>
      </c>
      <c r="G1857">
        <v>2.09</v>
      </c>
      <c r="H1857">
        <v>4.83</v>
      </c>
      <c r="I1857">
        <v>0.88</v>
      </c>
      <c r="J1857">
        <v>26.72</v>
      </c>
      <c r="K1857">
        <f t="shared" si="300"/>
        <v>99.016666666666652</v>
      </c>
      <c r="L1857">
        <f t="shared" si="301"/>
        <v>101.52666666666667</v>
      </c>
      <c r="M1857">
        <f t="shared" si="302"/>
        <v>10.5375</v>
      </c>
      <c r="N1857">
        <f t="shared" si="303"/>
        <v>0.52249999999999996</v>
      </c>
      <c r="O1857">
        <f t="shared" si="304"/>
        <v>6.0374999999999996</v>
      </c>
      <c r="P1857">
        <f t="shared" si="305"/>
        <v>10</v>
      </c>
      <c r="Q1857">
        <f t="shared" si="306"/>
        <v>24.74074074074074</v>
      </c>
      <c r="R1857">
        <f t="shared" si="307"/>
        <v>101.52666666666667</v>
      </c>
      <c r="S1857" t="str">
        <f t="shared" si="308"/>
        <v>Moderate</v>
      </c>
      <c r="T1857" t="str">
        <f t="shared" si="309"/>
        <v>PM10</v>
      </c>
      <c r="U1857">
        <v>31.09</v>
      </c>
      <c r="V1857">
        <v>86.54</v>
      </c>
    </row>
    <row r="1858" spans="1:22" x14ac:dyDescent="0.3">
      <c r="A1858" s="2" t="s">
        <v>15</v>
      </c>
      <c r="B1858">
        <v>560026</v>
      </c>
      <c r="C1858" s="4">
        <v>45415</v>
      </c>
      <c r="D1858">
        <v>53.02</v>
      </c>
      <c r="E1858">
        <v>86.43</v>
      </c>
      <c r="F1858">
        <v>8.44</v>
      </c>
      <c r="G1858">
        <v>2.1</v>
      </c>
      <c r="H1858">
        <v>6.1</v>
      </c>
      <c r="I1858">
        <v>0.87</v>
      </c>
      <c r="J1858">
        <v>25.94</v>
      </c>
      <c r="K1858">
        <f t="shared" si="300"/>
        <v>88.366666666666674</v>
      </c>
      <c r="L1858">
        <f t="shared" si="301"/>
        <v>86.43</v>
      </c>
      <c r="M1858">
        <f t="shared" si="302"/>
        <v>10.55</v>
      </c>
      <c r="N1858">
        <f t="shared" si="303"/>
        <v>0.52500000000000002</v>
      </c>
      <c r="O1858">
        <f t="shared" si="304"/>
        <v>7.625</v>
      </c>
      <c r="P1858">
        <f t="shared" si="305"/>
        <v>9.8863636363636367</v>
      </c>
      <c r="Q1858">
        <f t="shared" si="306"/>
        <v>24.018518518518519</v>
      </c>
      <c r="R1858">
        <f t="shared" si="307"/>
        <v>88.366666666666674</v>
      </c>
      <c r="S1858" t="str">
        <f t="shared" si="308"/>
        <v>Satisfactory</v>
      </c>
      <c r="T1858" t="str">
        <f t="shared" si="309"/>
        <v>PM2.5</v>
      </c>
      <c r="U1858">
        <v>28.33</v>
      </c>
      <c r="V1858">
        <v>87.24</v>
      </c>
    </row>
    <row r="1859" spans="1:22" x14ac:dyDescent="0.3">
      <c r="A1859" s="2" t="s">
        <v>15</v>
      </c>
      <c r="B1859">
        <v>560026</v>
      </c>
      <c r="C1859" s="4">
        <v>45416</v>
      </c>
      <c r="D1859">
        <v>56.02</v>
      </c>
      <c r="E1859">
        <v>89.02</v>
      </c>
      <c r="F1859">
        <v>8.4700000000000006</v>
      </c>
      <c r="G1859">
        <v>2.1</v>
      </c>
      <c r="H1859">
        <v>5.43</v>
      </c>
      <c r="I1859">
        <v>1.3</v>
      </c>
      <c r="J1859">
        <v>26.76</v>
      </c>
      <c r="K1859">
        <f t="shared" si="300"/>
        <v>93.366666666666674</v>
      </c>
      <c r="L1859">
        <f t="shared" si="301"/>
        <v>89.02</v>
      </c>
      <c r="M1859">
        <f t="shared" si="302"/>
        <v>10.587500000000002</v>
      </c>
      <c r="N1859">
        <f t="shared" si="303"/>
        <v>0.52500000000000002</v>
      </c>
      <c r="O1859">
        <f t="shared" si="304"/>
        <v>6.7874999999999996</v>
      </c>
      <c r="P1859">
        <f t="shared" si="305"/>
        <v>14.772727272727273</v>
      </c>
      <c r="Q1859">
        <f t="shared" si="306"/>
        <v>24.777777777777779</v>
      </c>
      <c r="R1859">
        <f t="shared" si="307"/>
        <v>93.366666666666674</v>
      </c>
      <c r="S1859" t="str">
        <f t="shared" si="308"/>
        <v>Satisfactory</v>
      </c>
      <c r="T1859" t="str">
        <f t="shared" si="309"/>
        <v>PM2.5</v>
      </c>
      <c r="U1859">
        <v>30.08</v>
      </c>
      <c r="V1859">
        <v>86.28</v>
      </c>
    </row>
    <row r="1860" spans="1:22" x14ac:dyDescent="0.3">
      <c r="A1860" s="2" t="s">
        <v>15</v>
      </c>
      <c r="B1860">
        <v>560026</v>
      </c>
      <c r="C1860" s="4">
        <v>45417</v>
      </c>
      <c r="D1860">
        <v>48.98</v>
      </c>
      <c r="E1860">
        <v>82.18</v>
      </c>
      <c r="F1860">
        <v>8.49</v>
      </c>
      <c r="G1860">
        <v>2.1</v>
      </c>
      <c r="H1860">
        <v>5.3</v>
      </c>
      <c r="I1860">
        <v>0.71</v>
      </c>
      <c r="J1860">
        <v>27.29</v>
      </c>
      <c r="K1860">
        <f t="shared" si="300"/>
        <v>81.633333333333326</v>
      </c>
      <c r="L1860">
        <f t="shared" si="301"/>
        <v>82.18</v>
      </c>
      <c r="M1860">
        <f t="shared" si="302"/>
        <v>10.612500000000001</v>
      </c>
      <c r="N1860">
        <f t="shared" si="303"/>
        <v>0.52500000000000002</v>
      </c>
      <c r="O1860">
        <f t="shared" si="304"/>
        <v>6.625</v>
      </c>
      <c r="P1860">
        <f t="shared" si="305"/>
        <v>8.0681818181818183</v>
      </c>
      <c r="Q1860">
        <f t="shared" si="306"/>
        <v>25.268518518518519</v>
      </c>
      <c r="R1860">
        <f t="shared" si="307"/>
        <v>82.18</v>
      </c>
      <c r="S1860" t="str">
        <f t="shared" si="308"/>
        <v>Satisfactory</v>
      </c>
      <c r="T1860" t="str">
        <f t="shared" si="309"/>
        <v>PM10</v>
      </c>
      <c r="U1860">
        <v>30.37</v>
      </c>
      <c r="V1860">
        <v>86.49</v>
      </c>
    </row>
    <row r="1861" spans="1:22" x14ac:dyDescent="0.3">
      <c r="A1861" s="2" t="s">
        <v>15</v>
      </c>
      <c r="B1861">
        <v>560026</v>
      </c>
      <c r="C1861" s="4">
        <v>45418</v>
      </c>
      <c r="D1861">
        <v>51.17</v>
      </c>
      <c r="E1861">
        <v>78.3</v>
      </c>
      <c r="F1861">
        <v>8.4700000000000006</v>
      </c>
      <c r="G1861">
        <v>2.1</v>
      </c>
      <c r="H1861">
        <v>6.29</v>
      </c>
      <c r="I1861">
        <v>0.74</v>
      </c>
      <c r="J1861">
        <v>27.38</v>
      </c>
      <c r="K1861">
        <f t="shared" si="300"/>
        <v>85.283333333333331</v>
      </c>
      <c r="L1861">
        <f t="shared" si="301"/>
        <v>78.3</v>
      </c>
      <c r="M1861">
        <f t="shared" si="302"/>
        <v>10.587500000000002</v>
      </c>
      <c r="N1861">
        <f t="shared" si="303"/>
        <v>0.52500000000000002</v>
      </c>
      <c r="O1861">
        <f t="shared" si="304"/>
        <v>7.8624999999999998</v>
      </c>
      <c r="P1861">
        <f t="shared" si="305"/>
        <v>8.4090909090909083</v>
      </c>
      <c r="Q1861">
        <f t="shared" si="306"/>
        <v>25.351851851851851</v>
      </c>
      <c r="R1861">
        <f t="shared" si="307"/>
        <v>85.283333333333331</v>
      </c>
      <c r="S1861" t="str">
        <f t="shared" si="308"/>
        <v>Satisfactory</v>
      </c>
      <c r="T1861" t="str">
        <f t="shared" si="309"/>
        <v>PM2.5</v>
      </c>
      <c r="U1861">
        <v>29.21</v>
      </c>
      <c r="V1861">
        <v>87.15</v>
      </c>
    </row>
    <row r="1862" spans="1:22" x14ac:dyDescent="0.3">
      <c r="A1862" s="2" t="s">
        <v>15</v>
      </c>
      <c r="B1862">
        <v>560026</v>
      </c>
      <c r="C1862" s="4">
        <v>45419</v>
      </c>
      <c r="D1862">
        <v>33.11</v>
      </c>
      <c r="E1862">
        <v>47.19</v>
      </c>
      <c r="F1862">
        <v>8.49</v>
      </c>
      <c r="G1862">
        <v>2.1</v>
      </c>
      <c r="H1862">
        <v>5.9</v>
      </c>
      <c r="I1862">
        <v>0.6</v>
      </c>
      <c r="J1862">
        <v>28.59</v>
      </c>
      <c r="K1862">
        <f t="shared" si="300"/>
        <v>55.18333333333333</v>
      </c>
      <c r="L1862">
        <f t="shared" si="301"/>
        <v>47.19</v>
      </c>
      <c r="M1862">
        <f t="shared" si="302"/>
        <v>10.612500000000001</v>
      </c>
      <c r="N1862">
        <f t="shared" si="303"/>
        <v>0.52500000000000002</v>
      </c>
      <c r="O1862">
        <f t="shared" si="304"/>
        <v>7.375</v>
      </c>
      <c r="P1862">
        <f t="shared" si="305"/>
        <v>6.8181818181818175</v>
      </c>
      <c r="Q1862">
        <f t="shared" si="306"/>
        <v>26.472222222222221</v>
      </c>
      <c r="R1862">
        <f t="shared" si="307"/>
        <v>55.18333333333333</v>
      </c>
      <c r="S1862" t="str">
        <f t="shared" si="308"/>
        <v>Satisfactory</v>
      </c>
      <c r="T1862" t="str">
        <f t="shared" si="309"/>
        <v>PM2.5</v>
      </c>
      <c r="U1862">
        <v>28.56</v>
      </c>
      <c r="V1862">
        <v>87.16</v>
      </c>
    </row>
    <row r="1863" spans="1:22" x14ac:dyDescent="0.3">
      <c r="A1863" s="2" t="s">
        <v>15</v>
      </c>
      <c r="B1863">
        <v>560026</v>
      </c>
      <c r="C1863" s="4">
        <v>45420</v>
      </c>
      <c r="D1863">
        <v>41.77</v>
      </c>
      <c r="E1863">
        <v>67.06</v>
      </c>
      <c r="F1863">
        <v>8.35</v>
      </c>
      <c r="G1863">
        <v>2.09</v>
      </c>
      <c r="H1863">
        <v>6.92</v>
      </c>
      <c r="I1863">
        <v>0.88</v>
      </c>
      <c r="J1863">
        <v>27.33</v>
      </c>
      <c r="K1863">
        <f t="shared" si="300"/>
        <v>69.616666666666674</v>
      </c>
      <c r="L1863">
        <f t="shared" si="301"/>
        <v>67.06</v>
      </c>
      <c r="M1863">
        <f t="shared" si="302"/>
        <v>10.4375</v>
      </c>
      <c r="N1863">
        <f t="shared" si="303"/>
        <v>0.52249999999999996</v>
      </c>
      <c r="O1863">
        <f t="shared" si="304"/>
        <v>8.65</v>
      </c>
      <c r="P1863">
        <f t="shared" si="305"/>
        <v>10</v>
      </c>
      <c r="Q1863">
        <f t="shared" si="306"/>
        <v>25.305555555555554</v>
      </c>
      <c r="R1863">
        <f t="shared" si="307"/>
        <v>69.616666666666674</v>
      </c>
      <c r="S1863" t="str">
        <f t="shared" si="308"/>
        <v>Satisfactory</v>
      </c>
      <c r="T1863" t="str">
        <f t="shared" si="309"/>
        <v>PM2.5</v>
      </c>
      <c r="U1863">
        <v>27.52</v>
      </c>
      <c r="V1863">
        <v>86.27</v>
      </c>
    </row>
    <row r="1864" spans="1:22" x14ac:dyDescent="0.3">
      <c r="A1864" s="2" t="s">
        <v>15</v>
      </c>
      <c r="B1864">
        <v>560026</v>
      </c>
      <c r="C1864" s="4">
        <v>45421</v>
      </c>
      <c r="D1864">
        <v>52.88</v>
      </c>
      <c r="E1864">
        <v>77.92</v>
      </c>
      <c r="F1864">
        <v>8.4499999999999993</v>
      </c>
      <c r="G1864">
        <v>2.1</v>
      </c>
      <c r="H1864">
        <v>5.08</v>
      </c>
      <c r="I1864">
        <v>1.05</v>
      </c>
      <c r="J1864">
        <v>27.63</v>
      </c>
      <c r="K1864">
        <f t="shared" ref="K1864:K1927" si="310">IF(ISTEXT(D1864),0,IF(D1864&lt;=30,D1864*50/30,IF(AND(D1864&gt;30,D1864&lt;=60),50+(D1864-30)*50/30,IF(AND(D1864&gt;60,D1864&lt;=90),100+(D1864-60)*100/30,IF(AND(D1864&gt;90,D1864&lt;=120),200+(D1864-90)*(100/30),IF(AND(D1864&gt;120,D1864&lt;=250),300+(D1864-120)*(100/130),IF(D1864&gt;250,400+(D1864-250)*(100/130))))))))</f>
        <v>88.13333333333334</v>
      </c>
      <c r="L1864">
        <f t="shared" ref="L1864:L1927" si="311">IF(ISTEXT(E1864),0,IF(E1864&lt;=50,E1864,IF(AND(E1864&gt;50,E1864&lt;=100),E1864,IF(AND(E1864&gt;100,E1864&lt;=250),100+(E1864-100)*100/150,IF(AND(E1864&gt;250,E1864&lt;=350),200+(E1864-250),IF(AND(E1864&gt;350,E1864&lt;=430),300+(E1864-350)*(100/80),IF(E1864&gt;430,400+(E1864-430)*(100/80))))))))</f>
        <v>77.92</v>
      </c>
      <c r="M1864">
        <f t="shared" ref="M1864:M1927" si="312">IF(ISTEXT(F1864),0,IF(F1864&lt;=40,F1864*50/40,IF(AND(F1864&gt;40,F1864&lt;=80),50+(F1864-40)*50/40,IF(AND(F1864&gt;80,F1864&lt;=180),100+(F1864-80)*100/100,IF(AND(F1864&gt;180,F1864&lt;=280),200+(F1864-180)*(100/100),IF(AND(F1864&gt;280,F1864&lt;=400),300+(F1864-280)*(100/120),IF(F1864&gt;400,400+(F1864-400)*(100/120))))))))</f>
        <v>10.562499999999998</v>
      </c>
      <c r="N1864">
        <f t="shared" ref="N1864:N1927" si="313">IF(ISTEXT(G1864),0,IF(G1864&lt;=200,G1864*50/200,IF(AND(G1864&gt;200,G1864&lt;=400),50+(G1864-200)*50/200,IF(AND(G1864&gt;400,G1864&lt;=800),100+(G1864-400)*100/400,IF(AND(G1864&gt;800,G1864&lt;=1200),200+(G1864-800)*(100/400),IF(AND(G1864&gt;1200,G1864&lt;=1800),300+(G1864-1200)*(100/600),IF(G1864&gt;1800,400+(G1864-1800)*(100/600))))))))</f>
        <v>0.52500000000000002</v>
      </c>
      <c r="O1864">
        <f t="shared" ref="O1864:O1927" si="314">IF(ISTEXT(H1864),0,IF(H1864&lt;=40,H1864*50/40,IF(AND(H1864&gt;40,H1864&lt;=80),50+(H1864-40)*50/40,IF(AND(H1864&gt;80,H1864&lt;=380),100+(H1864-80)*100/300,IF(AND(H1864&gt;380,H1864&lt;=800),200+(H1864-380)*(100/420),IF(AND(H1864&gt;800,H1864&lt;=1600),300+(H1864-800)*(100/800),IF(H1864&gt;1600,400+(H1864-1600)*(100/800))))))))</f>
        <v>6.35</v>
      </c>
      <c r="P1864">
        <f t="shared" ref="P1864:P1927" si="315">IF(I1864&lt;=4.4,(50-0)/(4.4-0)*(I1864-0)+0,
IF(I1864&lt;=9.4,(100-51)/(9.4-4.5)*(I1864-4.5)+51,
IF(I1864&lt;=12.4,(150-101)/(12.4-9.5)*(I1864-9.5)+101,
IF(I1864&lt;=15.4,(200-151)/(15.4-12.5)*(I1864-12.5)+151,
IF(I1864&lt;=30.4,(300-201)/(30.4-15.5)*(I1864-15.5)+201,
(500-301)/(50.4-30.5)*(I1864-30.5)+301)))))</f>
        <v>11.931818181818182</v>
      </c>
      <c r="Q1864">
        <f t="shared" ref="Q1864:Q1927" si="316">IF(J1864&lt;=54,(50-0)/(54-0)*(J1864-0)+0,
IF(J1864&lt;=70,(100-51)/(70-55)*(J1864-55)+51,
IF(J1864&lt;=85,(150-101)/(85-71)*(J1864-71)+101,
IF(J1864&lt;=105,(200-151)/(105-86)*(J1864-86)+151,
IF(J1864&lt;=200,(300-201)/(200-106)*(J1864-106)+201,
(500-301)/(300-201)*(J1864-201)+301)))))</f>
        <v>25.583333333333332</v>
      </c>
      <c r="R1864">
        <f t="shared" ref="R1864:R1927" si="317">MAX(K1864:Q1864)</f>
        <v>88.13333333333334</v>
      </c>
      <c r="S1864" t="str">
        <f t="shared" ref="S1864:S1927" si="318">IF(R1864&lt;=50,"Good",
IF(R1864&lt;=100,"Satisfactory",
IF(R1864&lt;=200,"Moderate",
IF(R1864&lt;=300,"Poor",
IF(R1864&lt;=400,"Very Poor",
"Severe")))))</f>
        <v>Satisfactory</v>
      </c>
      <c r="T1864" t="str">
        <f t="shared" ref="T1864:T1927" si="319">IF(MAX(K1864:Q1864)=K1864,"PM2.5",
IF(MAX(K1864:Q1864)=L1864,"PM10",
IF(MAX(K1864:Q1864)=M1864,"NO2",
IF(MAX(K1864:Q1864)=N1864,"NH3",
IF(MAX(K1864:Q1864)=O1864,"SO2",
IF(MAX(K1864:Q1864)=P1864,"CO",
IF(MAX(K1864:Q1864)=Q1864,"OZONE","")))))))</f>
        <v>PM2.5</v>
      </c>
      <c r="U1864">
        <v>27.88</v>
      </c>
      <c r="V1864">
        <v>80.62</v>
      </c>
    </row>
    <row r="1865" spans="1:22" x14ac:dyDescent="0.3">
      <c r="A1865" s="2" t="s">
        <v>15</v>
      </c>
      <c r="B1865">
        <v>560026</v>
      </c>
      <c r="C1865" s="4">
        <v>45422</v>
      </c>
      <c r="D1865">
        <v>52.48</v>
      </c>
      <c r="E1865">
        <v>82.5</v>
      </c>
      <c r="F1865">
        <v>8.4600000000000009</v>
      </c>
      <c r="G1865">
        <v>2.09</v>
      </c>
      <c r="H1865">
        <v>5.17</v>
      </c>
      <c r="I1865">
        <v>0.73</v>
      </c>
      <c r="J1865">
        <v>26.1</v>
      </c>
      <c r="K1865">
        <f t="shared" si="310"/>
        <v>87.466666666666669</v>
      </c>
      <c r="L1865">
        <f t="shared" si="311"/>
        <v>82.5</v>
      </c>
      <c r="M1865">
        <f t="shared" si="312"/>
        <v>10.575000000000001</v>
      </c>
      <c r="N1865">
        <f t="shared" si="313"/>
        <v>0.52249999999999996</v>
      </c>
      <c r="O1865">
        <f t="shared" si="314"/>
        <v>6.4625000000000004</v>
      </c>
      <c r="P1865">
        <f t="shared" si="315"/>
        <v>8.295454545454545</v>
      </c>
      <c r="Q1865">
        <f t="shared" si="316"/>
        <v>24.166666666666668</v>
      </c>
      <c r="R1865">
        <f t="shared" si="317"/>
        <v>87.466666666666669</v>
      </c>
      <c r="S1865" t="str">
        <f t="shared" si="318"/>
        <v>Satisfactory</v>
      </c>
      <c r="T1865" t="str">
        <f t="shared" si="319"/>
        <v>PM2.5</v>
      </c>
      <c r="U1865">
        <v>27.2</v>
      </c>
      <c r="V1865">
        <v>77.09</v>
      </c>
    </row>
    <row r="1866" spans="1:22" x14ac:dyDescent="0.3">
      <c r="A1866" s="2" t="s">
        <v>15</v>
      </c>
      <c r="B1866">
        <v>560026</v>
      </c>
      <c r="C1866" s="4">
        <v>45423</v>
      </c>
      <c r="D1866">
        <v>53.82</v>
      </c>
      <c r="E1866">
        <v>73.87</v>
      </c>
      <c r="F1866">
        <v>8.4499999999999993</v>
      </c>
      <c r="G1866">
        <v>2.1</v>
      </c>
      <c r="H1866">
        <v>4.79</v>
      </c>
      <c r="I1866">
        <v>0.79</v>
      </c>
      <c r="J1866">
        <v>26.48</v>
      </c>
      <c r="K1866">
        <f t="shared" si="310"/>
        <v>89.7</v>
      </c>
      <c r="L1866">
        <f t="shared" si="311"/>
        <v>73.87</v>
      </c>
      <c r="M1866">
        <f t="shared" si="312"/>
        <v>10.562499999999998</v>
      </c>
      <c r="N1866">
        <f t="shared" si="313"/>
        <v>0.52500000000000002</v>
      </c>
      <c r="O1866">
        <f t="shared" si="314"/>
        <v>5.9874999999999998</v>
      </c>
      <c r="P1866">
        <f t="shared" si="315"/>
        <v>8.9772727272727266</v>
      </c>
      <c r="Q1866">
        <f t="shared" si="316"/>
        <v>24.518518518518519</v>
      </c>
      <c r="R1866">
        <f t="shared" si="317"/>
        <v>89.7</v>
      </c>
      <c r="S1866" t="str">
        <f t="shared" si="318"/>
        <v>Satisfactory</v>
      </c>
      <c r="T1866" t="str">
        <f t="shared" si="319"/>
        <v>PM2.5</v>
      </c>
      <c r="U1866">
        <v>27.65</v>
      </c>
      <c r="V1866">
        <v>73.98</v>
      </c>
    </row>
    <row r="1867" spans="1:22" x14ac:dyDescent="0.3">
      <c r="A1867" s="2" t="s">
        <v>15</v>
      </c>
      <c r="B1867">
        <v>560026</v>
      </c>
      <c r="C1867" s="4">
        <v>45424</v>
      </c>
      <c r="D1867">
        <v>42.36</v>
      </c>
      <c r="E1867">
        <v>70.040000000000006</v>
      </c>
      <c r="F1867">
        <v>8.4600000000000009</v>
      </c>
      <c r="G1867">
        <v>2.1</v>
      </c>
      <c r="H1867">
        <v>4.91</v>
      </c>
      <c r="I1867">
        <v>0.83</v>
      </c>
      <c r="J1867">
        <v>26.8</v>
      </c>
      <c r="K1867">
        <f t="shared" si="310"/>
        <v>70.599999999999994</v>
      </c>
      <c r="L1867">
        <f t="shared" si="311"/>
        <v>70.040000000000006</v>
      </c>
      <c r="M1867">
        <f t="shared" si="312"/>
        <v>10.575000000000001</v>
      </c>
      <c r="N1867">
        <f t="shared" si="313"/>
        <v>0.52500000000000002</v>
      </c>
      <c r="O1867">
        <f t="shared" si="314"/>
        <v>6.1375000000000002</v>
      </c>
      <c r="P1867">
        <f t="shared" si="315"/>
        <v>9.4318181818181817</v>
      </c>
      <c r="Q1867">
        <f t="shared" si="316"/>
        <v>24.814814814814817</v>
      </c>
      <c r="R1867">
        <f t="shared" si="317"/>
        <v>70.599999999999994</v>
      </c>
      <c r="S1867" t="str">
        <f t="shared" si="318"/>
        <v>Satisfactory</v>
      </c>
      <c r="T1867" t="str">
        <f t="shared" si="319"/>
        <v>PM2.5</v>
      </c>
      <c r="U1867">
        <v>27.36</v>
      </c>
      <c r="V1867">
        <v>69.39</v>
      </c>
    </row>
    <row r="1868" spans="1:22" x14ac:dyDescent="0.3">
      <c r="A1868" s="2" t="s">
        <v>15</v>
      </c>
      <c r="B1868">
        <v>560026</v>
      </c>
      <c r="C1868" s="4">
        <v>45425</v>
      </c>
      <c r="D1868">
        <v>86.47</v>
      </c>
      <c r="E1868">
        <v>106.29</v>
      </c>
      <c r="F1868">
        <v>8.44</v>
      </c>
      <c r="G1868">
        <v>2.09</v>
      </c>
      <c r="H1868">
        <v>4.95</v>
      </c>
      <c r="I1868">
        <v>0.96</v>
      </c>
      <c r="J1868">
        <v>26.03</v>
      </c>
      <c r="K1868">
        <f t="shared" si="310"/>
        <v>188.23333333333335</v>
      </c>
      <c r="L1868">
        <f t="shared" si="311"/>
        <v>104.19333333333334</v>
      </c>
      <c r="M1868">
        <f t="shared" si="312"/>
        <v>10.55</v>
      </c>
      <c r="N1868">
        <f t="shared" si="313"/>
        <v>0.52249999999999996</v>
      </c>
      <c r="O1868">
        <f t="shared" si="314"/>
        <v>6.1875</v>
      </c>
      <c r="P1868">
        <f t="shared" si="315"/>
        <v>10.909090909090908</v>
      </c>
      <c r="Q1868">
        <f t="shared" si="316"/>
        <v>24.101851851851855</v>
      </c>
      <c r="R1868">
        <f t="shared" si="317"/>
        <v>188.23333333333335</v>
      </c>
      <c r="S1868" t="str">
        <f t="shared" si="318"/>
        <v>Moderate</v>
      </c>
      <c r="T1868" t="str">
        <f t="shared" si="319"/>
        <v>PM2.5</v>
      </c>
      <c r="U1868">
        <v>27.47</v>
      </c>
      <c r="V1868">
        <v>69.62</v>
      </c>
    </row>
    <row r="1869" spans="1:22" x14ac:dyDescent="0.3">
      <c r="A1869" s="2" t="s">
        <v>15</v>
      </c>
      <c r="B1869">
        <v>560026</v>
      </c>
      <c r="C1869" s="4">
        <v>45426</v>
      </c>
      <c r="D1869">
        <v>38.840000000000003</v>
      </c>
      <c r="E1869">
        <v>72.28</v>
      </c>
      <c r="F1869">
        <v>8.4600000000000009</v>
      </c>
      <c r="G1869">
        <v>2.1</v>
      </c>
      <c r="H1869">
        <v>5.08</v>
      </c>
      <c r="I1869">
        <v>0.77</v>
      </c>
      <c r="J1869">
        <v>26.02</v>
      </c>
      <c r="K1869">
        <f t="shared" si="310"/>
        <v>64.733333333333334</v>
      </c>
      <c r="L1869">
        <f t="shared" si="311"/>
        <v>72.28</v>
      </c>
      <c r="M1869">
        <f t="shared" si="312"/>
        <v>10.575000000000001</v>
      </c>
      <c r="N1869">
        <f t="shared" si="313"/>
        <v>0.52500000000000002</v>
      </c>
      <c r="O1869">
        <f t="shared" si="314"/>
        <v>6.35</v>
      </c>
      <c r="P1869">
        <f t="shared" si="315"/>
        <v>8.75</v>
      </c>
      <c r="Q1869">
        <f t="shared" si="316"/>
        <v>24.092592592592592</v>
      </c>
      <c r="R1869">
        <f t="shared" si="317"/>
        <v>72.28</v>
      </c>
      <c r="S1869" t="str">
        <f t="shared" si="318"/>
        <v>Satisfactory</v>
      </c>
      <c r="T1869" t="str">
        <f t="shared" si="319"/>
        <v>PM10</v>
      </c>
      <c r="U1869">
        <v>26.87</v>
      </c>
      <c r="V1869">
        <v>67.27</v>
      </c>
    </row>
    <row r="1870" spans="1:22" x14ac:dyDescent="0.3">
      <c r="A1870" s="2" t="s">
        <v>15</v>
      </c>
      <c r="B1870">
        <v>560026</v>
      </c>
      <c r="C1870" s="4">
        <v>45427</v>
      </c>
      <c r="D1870">
        <v>36.14</v>
      </c>
      <c r="E1870">
        <v>90.28</v>
      </c>
      <c r="F1870">
        <v>8.4600000000000009</v>
      </c>
      <c r="G1870">
        <v>2.31</v>
      </c>
      <c r="H1870">
        <v>5.0199999999999996</v>
      </c>
      <c r="I1870">
        <v>0.88</v>
      </c>
      <c r="J1870">
        <v>24.3</v>
      </c>
      <c r="K1870">
        <f t="shared" si="310"/>
        <v>60.233333333333334</v>
      </c>
      <c r="L1870">
        <f t="shared" si="311"/>
        <v>90.28</v>
      </c>
      <c r="M1870">
        <f t="shared" si="312"/>
        <v>10.575000000000001</v>
      </c>
      <c r="N1870">
        <f t="shared" si="313"/>
        <v>0.57750000000000001</v>
      </c>
      <c r="O1870">
        <f t="shared" si="314"/>
        <v>6.2749999999999995</v>
      </c>
      <c r="P1870">
        <f t="shared" si="315"/>
        <v>10</v>
      </c>
      <c r="Q1870">
        <f t="shared" si="316"/>
        <v>22.5</v>
      </c>
      <c r="R1870">
        <f t="shared" si="317"/>
        <v>90.28</v>
      </c>
      <c r="S1870" t="str">
        <f t="shared" si="318"/>
        <v>Satisfactory</v>
      </c>
      <c r="T1870" t="str">
        <f t="shared" si="319"/>
        <v>PM10</v>
      </c>
      <c r="U1870">
        <v>28.19</v>
      </c>
      <c r="V1870">
        <v>51.32</v>
      </c>
    </row>
    <row r="1871" spans="1:22" x14ac:dyDescent="0.3">
      <c r="A1871" s="2" t="s">
        <v>15</v>
      </c>
      <c r="B1871">
        <v>560026</v>
      </c>
      <c r="C1871" s="4">
        <v>45428</v>
      </c>
      <c r="D1871">
        <v>27.08</v>
      </c>
      <c r="E1871">
        <v>67.790000000000006</v>
      </c>
      <c r="F1871">
        <v>11</v>
      </c>
      <c r="G1871">
        <v>3.52</v>
      </c>
      <c r="H1871">
        <v>3.96</v>
      </c>
      <c r="I1871">
        <v>0.55000000000000004</v>
      </c>
      <c r="J1871">
        <v>11.58</v>
      </c>
      <c r="K1871">
        <f t="shared" si="310"/>
        <v>45.133333333333333</v>
      </c>
      <c r="L1871">
        <f t="shared" si="311"/>
        <v>67.790000000000006</v>
      </c>
      <c r="M1871">
        <f t="shared" si="312"/>
        <v>13.75</v>
      </c>
      <c r="N1871">
        <f t="shared" si="313"/>
        <v>0.88</v>
      </c>
      <c r="O1871">
        <f t="shared" si="314"/>
        <v>4.95</v>
      </c>
      <c r="P1871">
        <f t="shared" si="315"/>
        <v>6.25</v>
      </c>
      <c r="Q1871">
        <f t="shared" si="316"/>
        <v>10.722222222222223</v>
      </c>
      <c r="R1871">
        <f t="shared" si="317"/>
        <v>67.790000000000006</v>
      </c>
      <c r="S1871" t="str">
        <f t="shared" si="318"/>
        <v>Satisfactory</v>
      </c>
      <c r="T1871" t="str">
        <f t="shared" si="319"/>
        <v>PM10</v>
      </c>
      <c r="U1871">
        <v>27.29</v>
      </c>
      <c r="V1871">
        <v>29.23</v>
      </c>
    </row>
    <row r="1872" spans="1:22" x14ac:dyDescent="0.3">
      <c r="A1872" s="2" t="s">
        <v>15</v>
      </c>
      <c r="B1872">
        <v>560026</v>
      </c>
      <c r="C1872" s="4">
        <v>45429</v>
      </c>
      <c r="D1872">
        <v>24.01</v>
      </c>
      <c r="E1872">
        <v>60.09</v>
      </c>
      <c r="F1872">
        <v>12.34</v>
      </c>
      <c r="G1872">
        <v>5.22</v>
      </c>
      <c r="H1872">
        <v>4.57</v>
      </c>
      <c r="I1872">
        <v>0.91</v>
      </c>
      <c r="J1872">
        <v>19.55</v>
      </c>
      <c r="K1872">
        <f t="shared" si="310"/>
        <v>40.016666666666666</v>
      </c>
      <c r="L1872">
        <f t="shared" si="311"/>
        <v>60.09</v>
      </c>
      <c r="M1872">
        <f t="shared" si="312"/>
        <v>15.425000000000001</v>
      </c>
      <c r="N1872">
        <f t="shared" si="313"/>
        <v>1.3049999999999999</v>
      </c>
      <c r="O1872">
        <f t="shared" si="314"/>
        <v>5.7125000000000004</v>
      </c>
      <c r="P1872">
        <f t="shared" si="315"/>
        <v>10.340909090909092</v>
      </c>
      <c r="Q1872">
        <f t="shared" si="316"/>
        <v>18.101851851851851</v>
      </c>
      <c r="R1872">
        <f t="shared" si="317"/>
        <v>60.09</v>
      </c>
      <c r="S1872" t="str">
        <f t="shared" si="318"/>
        <v>Satisfactory</v>
      </c>
      <c r="T1872" t="str">
        <f t="shared" si="319"/>
        <v>PM10</v>
      </c>
      <c r="U1872">
        <v>26.45</v>
      </c>
      <c r="V1872">
        <v>31.85</v>
      </c>
    </row>
    <row r="1873" spans="1:22" x14ac:dyDescent="0.3">
      <c r="A1873" s="2" t="s">
        <v>15</v>
      </c>
      <c r="B1873">
        <v>560026</v>
      </c>
      <c r="C1873" s="4">
        <v>45430</v>
      </c>
      <c r="D1873">
        <v>17.600000000000001</v>
      </c>
      <c r="E1873">
        <v>44.03</v>
      </c>
      <c r="F1873">
        <v>12.38</v>
      </c>
      <c r="G1873">
        <v>5.23</v>
      </c>
      <c r="H1873">
        <v>5.29</v>
      </c>
      <c r="I1873">
        <v>0.61</v>
      </c>
      <c r="J1873">
        <v>17.899999999999999</v>
      </c>
      <c r="K1873">
        <f t="shared" si="310"/>
        <v>29.333333333333336</v>
      </c>
      <c r="L1873">
        <f t="shared" si="311"/>
        <v>44.03</v>
      </c>
      <c r="M1873">
        <f t="shared" si="312"/>
        <v>15.475</v>
      </c>
      <c r="N1873">
        <f t="shared" si="313"/>
        <v>1.3075000000000001</v>
      </c>
      <c r="O1873">
        <f t="shared" si="314"/>
        <v>6.6124999999999998</v>
      </c>
      <c r="P1873">
        <f t="shared" si="315"/>
        <v>6.9318181818181817</v>
      </c>
      <c r="Q1873">
        <f t="shared" si="316"/>
        <v>16.574074074074073</v>
      </c>
      <c r="R1873">
        <f t="shared" si="317"/>
        <v>44.03</v>
      </c>
      <c r="S1873" t="str">
        <f t="shared" si="318"/>
        <v>Good</v>
      </c>
      <c r="T1873" t="str">
        <f t="shared" si="319"/>
        <v>PM10</v>
      </c>
      <c r="U1873">
        <v>26.28</v>
      </c>
      <c r="V1873">
        <v>32.72</v>
      </c>
    </row>
    <row r="1874" spans="1:22" x14ac:dyDescent="0.3">
      <c r="A1874" s="2" t="s">
        <v>15</v>
      </c>
      <c r="B1874">
        <v>560026</v>
      </c>
      <c r="C1874" s="4">
        <v>45431</v>
      </c>
      <c r="D1874">
        <v>16.59</v>
      </c>
      <c r="E1874">
        <v>41.54</v>
      </c>
      <c r="F1874">
        <v>12.25</v>
      </c>
      <c r="G1874">
        <v>5.18</v>
      </c>
      <c r="H1874">
        <v>5.45</v>
      </c>
      <c r="I1874">
        <v>0.71</v>
      </c>
      <c r="J1874">
        <v>24.18</v>
      </c>
      <c r="K1874">
        <f t="shared" si="310"/>
        <v>27.65</v>
      </c>
      <c r="L1874">
        <f t="shared" si="311"/>
        <v>41.54</v>
      </c>
      <c r="M1874">
        <f t="shared" si="312"/>
        <v>15.3125</v>
      </c>
      <c r="N1874">
        <f t="shared" si="313"/>
        <v>1.2949999999999999</v>
      </c>
      <c r="O1874">
        <f t="shared" si="314"/>
        <v>6.8125</v>
      </c>
      <c r="P1874">
        <f t="shared" si="315"/>
        <v>8.0681818181818183</v>
      </c>
      <c r="Q1874">
        <f t="shared" si="316"/>
        <v>22.388888888888889</v>
      </c>
      <c r="R1874">
        <f t="shared" si="317"/>
        <v>41.54</v>
      </c>
      <c r="S1874" t="str">
        <f t="shared" si="318"/>
        <v>Good</v>
      </c>
      <c r="T1874" t="str">
        <f t="shared" si="319"/>
        <v>PM10</v>
      </c>
      <c r="U1874">
        <v>24.92</v>
      </c>
      <c r="V1874">
        <v>31.11</v>
      </c>
    </row>
    <row r="1875" spans="1:22" x14ac:dyDescent="0.3">
      <c r="A1875" s="2" t="s">
        <v>15</v>
      </c>
      <c r="B1875">
        <v>560026</v>
      </c>
      <c r="C1875" s="4">
        <v>45432</v>
      </c>
      <c r="D1875">
        <v>21.12</v>
      </c>
      <c r="E1875">
        <v>52.69</v>
      </c>
      <c r="F1875">
        <v>12.13</v>
      </c>
      <c r="G1875">
        <v>5.17</v>
      </c>
      <c r="H1875">
        <v>5.81</v>
      </c>
      <c r="I1875">
        <v>0.97</v>
      </c>
      <c r="J1875">
        <v>25.22</v>
      </c>
      <c r="K1875">
        <f t="shared" si="310"/>
        <v>35.200000000000003</v>
      </c>
      <c r="L1875">
        <f t="shared" si="311"/>
        <v>52.69</v>
      </c>
      <c r="M1875">
        <f t="shared" si="312"/>
        <v>15.1625</v>
      </c>
      <c r="N1875">
        <f t="shared" si="313"/>
        <v>1.2925</v>
      </c>
      <c r="O1875">
        <f t="shared" si="314"/>
        <v>7.2625000000000002</v>
      </c>
      <c r="P1875">
        <f t="shared" si="315"/>
        <v>11.022727272727272</v>
      </c>
      <c r="Q1875">
        <f t="shared" si="316"/>
        <v>23.351851851851851</v>
      </c>
      <c r="R1875">
        <f t="shared" si="317"/>
        <v>52.69</v>
      </c>
      <c r="S1875" t="str">
        <f t="shared" si="318"/>
        <v>Satisfactory</v>
      </c>
      <c r="T1875" t="str">
        <f t="shared" si="319"/>
        <v>PM10</v>
      </c>
      <c r="U1875">
        <v>25.54</v>
      </c>
      <c r="V1875">
        <v>24.15</v>
      </c>
    </row>
    <row r="1876" spans="1:22" x14ac:dyDescent="0.3">
      <c r="A1876" s="2" t="s">
        <v>15</v>
      </c>
      <c r="B1876">
        <v>560026</v>
      </c>
      <c r="C1876" s="4">
        <v>45433</v>
      </c>
      <c r="D1876">
        <v>24.02</v>
      </c>
      <c r="E1876">
        <v>60.02</v>
      </c>
      <c r="F1876">
        <v>12.23</v>
      </c>
      <c r="G1876">
        <v>5.21</v>
      </c>
      <c r="H1876">
        <v>5.89</v>
      </c>
      <c r="I1876">
        <v>0.91</v>
      </c>
      <c r="J1876">
        <v>25.32</v>
      </c>
      <c r="K1876">
        <f t="shared" si="310"/>
        <v>40.033333333333331</v>
      </c>
      <c r="L1876">
        <f t="shared" si="311"/>
        <v>60.02</v>
      </c>
      <c r="M1876">
        <f t="shared" si="312"/>
        <v>15.2875</v>
      </c>
      <c r="N1876">
        <f t="shared" si="313"/>
        <v>1.3025</v>
      </c>
      <c r="O1876">
        <f t="shared" si="314"/>
        <v>7.3624999999999998</v>
      </c>
      <c r="P1876">
        <f t="shared" si="315"/>
        <v>10.340909090909092</v>
      </c>
      <c r="Q1876">
        <f t="shared" si="316"/>
        <v>23.444444444444446</v>
      </c>
      <c r="R1876">
        <f t="shared" si="317"/>
        <v>60.02</v>
      </c>
      <c r="S1876" t="str">
        <f t="shared" si="318"/>
        <v>Satisfactory</v>
      </c>
      <c r="T1876" t="str">
        <f t="shared" si="319"/>
        <v>PM10</v>
      </c>
      <c r="U1876">
        <v>25.96</v>
      </c>
      <c r="V1876">
        <v>23.09</v>
      </c>
    </row>
    <row r="1877" spans="1:22" x14ac:dyDescent="0.3">
      <c r="A1877" s="2" t="s">
        <v>15</v>
      </c>
      <c r="B1877">
        <v>560026</v>
      </c>
      <c r="C1877" s="4">
        <v>45434</v>
      </c>
      <c r="D1877">
        <v>35.21</v>
      </c>
      <c r="E1877">
        <v>88.2</v>
      </c>
      <c r="F1877">
        <v>12.2</v>
      </c>
      <c r="G1877">
        <v>5.32</v>
      </c>
      <c r="H1877">
        <v>5.78</v>
      </c>
      <c r="I1877">
        <v>1.46</v>
      </c>
      <c r="J1877">
        <v>24.85</v>
      </c>
      <c r="K1877">
        <f t="shared" si="310"/>
        <v>58.683333333333337</v>
      </c>
      <c r="L1877">
        <f t="shared" si="311"/>
        <v>88.2</v>
      </c>
      <c r="M1877">
        <f t="shared" si="312"/>
        <v>15.25</v>
      </c>
      <c r="N1877">
        <f t="shared" si="313"/>
        <v>1.33</v>
      </c>
      <c r="O1877">
        <f t="shared" si="314"/>
        <v>7.2249999999999996</v>
      </c>
      <c r="P1877">
        <f t="shared" si="315"/>
        <v>16.59090909090909</v>
      </c>
      <c r="Q1877">
        <f t="shared" si="316"/>
        <v>23.00925925925926</v>
      </c>
      <c r="R1877">
        <f t="shared" si="317"/>
        <v>88.2</v>
      </c>
      <c r="S1877" t="str">
        <f t="shared" si="318"/>
        <v>Satisfactory</v>
      </c>
      <c r="T1877" t="str">
        <f t="shared" si="319"/>
        <v>PM10</v>
      </c>
      <c r="U1877">
        <v>27.52</v>
      </c>
      <c r="V1877">
        <v>23.91</v>
      </c>
    </row>
    <row r="1878" spans="1:22" x14ac:dyDescent="0.3">
      <c r="A1878" s="2" t="s">
        <v>15</v>
      </c>
      <c r="B1878">
        <v>560026</v>
      </c>
      <c r="C1878" s="4">
        <v>45435</v>
      </c>
      <c r="D1878">
        <v>22.97</v>
      </c>
      <c r="E1878">
        <v>57.22</v>
      </c>
      <c r="F1878">
        <v>12.45</v>
      </c>
      <c r="G1878">
        <v>5.08</v>
      </c>
      <c r="H1878">
        <v>5.85</v>
      </c>
      <c r="I1878">
        <v>0.7</v>
      </c>
      <c r="J1878">
        <v>25.68</v>
      </c>
      <c r="K1878">
        <f t="shared" si="310"/>
        <v>38.283333333333331</v>
      </c>
      <c r="L1878">
        <f t="shared" si="311"/>
        <v>57.22</v>
      </c>
      <c r="M1878">
        <f t="shared" si="312"/>
        <v>15.5625</v>
      </c>
      <c r="N1878">
        <f t="shared" si="313"/>
        <v>1.27</v>
      </c>
      <c r="O1878">
        <f t="shared" si="314"/>
        <v>7.3125</v>
      </c>
      <c r="P1878">
        <f t="shared" si="315"/>
        <v>7.9545454545454541</v>
      </c>
      <c r="Q1878">
        <f t="shared" si="316"/>
        <v>23.777777777777779</v>
      </c>
      <c r="R1878">
        <f t="shared" si="317"/>
        <v>57.22</v>
      </c>
      <c r="S1878" t="str">
        <f t="shared" si="318"/>
        <v>Satisfactory</v>
      </c>
      <c r="T1878" t="str">
        <f t="shared" si="319"/>
        <v>PM10</v>
      </c>
      <c r="U1878">
        <v>28.08</v>
      </c>
      <c r="V1878">
        <v>24.84</v>
      </c>
    </row>
    <row r="1879" spans="1:22" x14ac:dyDescent="0.3">
      <c r="A1879" s="2" t="s">
        <v>15</v>
      </c>
      <c r="B1879">
        <v>560026</v>
      </c>
      <c r="C1879" s="4">
        <v>45436</v>
      </c>
      <c r="D1879">
        <v>25.03</v>
      </c>
      <c r="E1879">
        <v>62.71</v>
      </c>
      <c r="F1879">
        <v>12.25</v>
      </c>
      <c r="G1879">
        <v>5.23</v>
      </c>
      <c r="H1879">
        <v>5.97</v>
      </c>
      <c r="I1879">
        <v>0.72</v>
      </c>
      <c r="J1879">
        <v>26.43</v>
      </c>
      <c r="K1879">
        <f t="shared" si="310"/>
        <v>41.716666666666669</v>
      </c>
      <c r="L1879">
        <f t="shared" si="311"/>
        <v>62.71</v>
      </c>
      <c r="M1879">
        <f t="shared" si="312"/>
        <v>15.3125</v>
      </c>
      <c r="N1879">
        <f t="shared" si="313"/>
        <v>1.3075000000000001</v>
      </c>
      <c r="O1879">
        <f t="shared" si="314"/>
        <v>7.4625000000000004</v>
      </c>
      <c r="P1879">
        <f t="shared" si="315"/>
        <v>8.1818181818181817</v>
      </c>
      <c r="Q1879">
        <f t="shared" si="316"/>
        <v>24.472222222222221</v>
      </c>
      <c r="R1879">
        <f t="shared" si="317"/>
        <v>62.71</v>
      </c>
      <c r="S1879" t="str">
        <f t="shared" si="318"/>
        <v>Satisfactory</v>
      </c>
      <c r="T1879" t="str">
        <f t="shared" si="319"/>
        <v>PM10</v>
      </c>
      <c r="U1879">
        <v>27.31</v>
      </c>
      <c r="V1879">
        <v>27.96</v>
      </c>
    </row>
    <row r="1880" spans="1:22" x14ac:dyDescent="0.3">
      <c r="A1880" s="2" t="s">
        <v>15</v>
      </c>
      <c r="B1880">
        <v>560026</v>
      </c>
      <c r="C1880" s="4">
        <v>45437</v>
      </c>
      <c r="D1880">
        <v>20.149999999999999</v>
      </c>
      <c r="E1880">
        <v>50.53</v>
      </c>
      <c r="F1880">
        <v>12.41</v>
      </c>
      <c r="G1880">
        <v>5.18</v>
      </c>
      <c r="H1880">
        <v>6.48</v>
      </c>
      <c r="I1880">
        <v>0.7</v>
      </c>
      <c r="J1880">
        <v>26.8</v>
      </c>
      <c r="K1880">
        <f t="shared" si="310"/>
        <v>33.583333333333329</v>
      </c>
      <c r="L1880">
        <f t="shared" si="311"/>
        <v>50.53</v>
      </c>
      <c r="M1880">
        <f t="shared" si="312"/>
        <v>15.512499999999999</v>
      </c>
      <c r="N1880">
        <f t="shared" si="313"/>
        <v>1.2949999999999999</v>
      </c>
      <c r="O1880">
        <f t="shared" si="314"/>
        <v>8.1</v>
      </c>
      <c r="P1880">
        <f t="shared" si="315"/>
        <v>7.9545454545454541</v>
      </c>
      <c r="Q1880">
        <f t="shared" si="316"/>
        <v>24.814814814814817</v>
      </c>
      <c r="R1880">
        <f t="shared" si="317"/>
        <v>50.53</v>
      </c>
      <c r="S1880" t="str">
        <f t="shared" si="318"/>
        <v>Satisfactory</v>
      </c>
      <c r="T1880" t="str">
        <f t="shared" si="319"/>
        <v>PM10</v>
      </c>
      <c r="U1880">
        <v>25.32</v>
      </c>
      <c r="V1880">
        <v>28.84</v>
      </c>
    </row>
    <row r="1881" spans="1:22" x14ac:dyDescent="0.3">
      <c r="A1881" s="2" t="s">
        <v>15</v>
      </c>
      <c r="B1881">
        <v>560026</v>
      </c>
      <c r="C1881" s="4">
        <v>45438</v>
      </c>
      <c r="D1881">
        <v>21.49</v>
      </c>
      <c r="E1881">
        <v>53.91</v>
      </c>
      <c r="F1881">
        <v>12.35</v>
      </c>
      <c r="G1881">
        <v>5.25</v>
      </c>
      <c r="H1881">
        <v>6.25</v>
      </c>
      <c r="I1881">
        <v>0.43</v>
      </c>
      <c r="J1881">
        <v>25.52</v>
      </c>
      <c r="K1881">
        <f t="shared" si="310"/>
        <v>35.81666666666667</v>
      </c>
      <c r="L1881">
        <f t="shared" si="311"/>
        <v>53.91</v>
      </c>
      <c r="M1881">
        <f t="shared" si="312"/>
        <v>15.4375</v>
      </c>
      <c r="N1881">
        <f t="shared" si="313"/>
        <v>1.3125</v>
      </c>
      <c r="O1881">
        <f t="shared" si="314"/>
        <v>7.8125</v>
      </c>
      <c r="P1881">
        <f t="shared" si="315"/>
        <v>4.8863636363636358</v>
      </c>
      <c r="Q1881">
        <f t="shared" si="316"/>
        <v>23.62962962962963</v>
      </c>
      <c r="R1881">
        <f t="shared" si="317"/>
        <v>53.91</v>
      </c>
      <c r="S1881" t="str">
        <f t="shared" si="318"/>
        <v>Satisfactory</v>
      </c>
      <c r="T1881" t="str">
        <f t="shared" si="319"/>
        <v>PM10</v>
      </c>
      <c r="U1881">
        <v>25.14</v>
      </c>
      <c r="V1881">
        <v>28.81</v>
      </c>
    </row>
    <row r="1882" spans="1:22" x14ac:dyDescent="0.3">
      <c r="A1882" s="2" t="s">
        <v>15</v>
      </c>
      <c r="B1882">
        <v>560026</v>
      </c>
      <c r="C1882" s="4">
        <v>45439</v>
      </c>
      <c r="D1882">
        <v>27</v>
      </c>
      <c r="E1882">
        <v>67.61</v>
      </c>
      <c r="F1882">
        <v>12.26</v>
      </c>
      <c r="G1882">
        <v>5.25</v>
      </c>
      <c r="H1882">
        <v>5.85</v>
      </c>
      <c r="I1882">
        <v>0.55000000000000004</v>
      </c>
      <c r="J1882">
        <v>24.34</v>
      </c>
      <c r="K1882">
        <f t="shared" si="310"/>
        <v>45</v>
      </c>
      <c r="L1882">
        <f t="shared" si="311"/>
        <v>67.61</v>
      </c>
      <c r="M1882">
        <f t="shared" si="312"/>
        <v>15.324999999999999</v>
      </c>
      <c r="N1882">
        <f t="shared" si="313"/>
        <v>1.3125</v>
      </c>
      <c r="O1882">
        <f t="shared" si="314"/>
        <v>7.3125</v>
      </c>
      <c r="P1882">
        <f t="shared" si="315"/>
        <v>6.25</v>
      </c>
      <c r="Q1882">
        <f t="shared" si="316"/>
        <v>22.537037037037038</v>
      </c>
      <c r="R1882">
        <f t="shared" si="317"/>
        <v>67.61</v>
      </c>
      <c r="S1882" t="str">
        <f t="shared" si="318"/>
        <v>Satisfactory</v>
      </c>
      <c r="T1882" t="str">
        <f t="shared" si="319"/>
        <v>PM10</v>
      </c>
      <c r="U1882">
        <v>26.46</v>
      </c>
      <c r="V1882">
        <v>33.270000000000003</v>
      </c>
    </row>
    <row r="1883" spans="1:22" x14ac:dyDescent="0.3">
      <c r="A1883" s="2" t="s">
        <v>15</v>
      </c>
      <c r="B1883">
        <v>560026</v>
      </c>
      <c r="C1883" s="4">
        <v>45440</v>
      </c>
      <c r="D1883">
        <v>29.06</v>
      </c>
      <c r="E1883">
        <v>72.83</v>
      </c>
      <c r="F1883">
        <v>12.35</v>
      </c>
      <c r="G1883">
        <v>5.21</v>
      </c>
      <c r="H1883">
        <v>5.73</v>
      </c>
      <c r="I1883">
        <v>0.59</v>
      </c>
      <c r="J1883">
        <v>24.88</v>
      </c>
      <c r="K1883">
        <f t="shared" si="310"/>
        <v>48.43333333333333</v>
      </c>
      <c r="L1883">
        <f t="shared" si="311"/>
        <v>72.83</v>
      </c>
      <c r="M1883">
        <f t="shared" si="312"/>
        <v>15.4375</v>
      </c>
      <c r="N1883">
        <f t="shared" si="313"/>
        <v>1.3025</v>
      </c>
      <c r="O1883">
        <f t="shared" si="314"/>
        <v>7.1624999999999996</v>
      </c>
      <c r="P1883">
        <f t="shared" si="315"/>
        <v>6.7045454545454541</v>
      </c>
      <c r="Q1883">
        <f t="shared" si="316"/>
        <v>23.037037037037035</v>
      </c>
      <c r="R1883">
        <f t="shared" si="317"/>
        <v>72.83</v>
      </c>
      <c r="S1883" t="str">
        <f t="shared" si="318"/>
        <v>Satisfactory</v>
      </c>
      <c r="T1883" t="str">
        <f t="shared" si="319"/>
        <v>PM10</v>
      </c>
      <c r="U1883">
        <v>26.6</v>
      </c>
      <c r="V1883">
        <v>38.729999999999997</v>
      </c>
    </row>
    <row r="1884" spans="1:22" x14ac:dyDescent="0.3">
      <c r="A1884" s="2" t="s">
        <v>15</v>
      </c>
      <c r="B1884">
        <v>560026</v>
      </c>
      <c r="C1884" s="4">
        <v>45441</v>
      </c>
      <c r="D1884">
        <v>31.34</v>
      </c>
      <c r="E1884">
        <v>78.53</v>
      </c>
      <c r="F1884">
        <v>12.21</v>
      </c>
      <c r="G1884">
        <v>5.27</v>
      </c>
      <c r="H1884">
        <v>5.88</v>
      </c>
      <c r="I1884">
        <v>0.79</v>
      </c>
      <c r="J1884">
        <v>25.4</v>
      </c>
      <c r="K1884">
        <f t="shared" si="310"/>
        <v>52.233333333333334</v>
      </c>
      <c r="L1884">
        <f t="shared" si="311"/>
        <v>78.53</v>
      </c>
      <c r="M1884">
        <f t="shared" si="312"/>
        <v>15.262499999999999</v>
      </c>
      <c r="N1884">
        <f t="shared" si="313"/>
        <v>1.3174999999999999</v>
      </c>
      <c r="O1884">
        <f t="shared" si="314"/>
        <v>7.35</v>
      </c>
      <c r="P1884">
        <f t="shared" si="315"/>
        <v>8.9772727272727266</v>
      </c>
      <c r="Q1884">
        <f t="shared" si="316"/>
        <v>23.518518518518519</v>
      </c>
      <c r="R1884">
        <f t="shared" si="317"/>
        <v>78.53</v>
      </c>
      <c r="S1884" t="str">
        <f t="shared" si="318"/>
        <v>Satisfactory</v>
      </c>
      <c r="T1884" t="str">
        <f t="shared" si="319"/>
        <v>PM10</v>
      </c>
      <c r="U1884">
        <v>26.79</v>
      </c>
      <c r="V1884">
        <v>41.06</v>
      </c>
    </row>
    <row r="1885" spans="1:22" x14ac:dyDescent="0.3">
      <c r="A1885" s="2" t="s">
        <v>15</v>
      </c>
      <c r="B1885">
        <v>560026</v>
      </c>
      <c r="C1885" s="4">
        <v>45442</v>
      </c>
      <c r="D1885">
        <v>26.54</v>
      </c>
      <c r="E1885">
        <v>66.680000000000007</v>
      </c>
      <c r="F1885">
        <v>12.83</v>
      </c>
      <c r="G1885">
        <v>5.21</v>
      </c>
      <c r="H1885">
        <v>5.85</v>
      </c>
      <c r="I1885">
        <v>0.69</v>
      </c>
      <c r="J1885">
        <v>25.09</v>
      </c>
      <c r="K1885">
        <f t="shared" si="310"/>
        <v>44.233333333333334</v>
      </c>
      <c r="L1885">
        <f t="shared" si="311"/>
        <v>66.680000000000007</v>
      </c>
      <c r="M1885">
        <f t="shared" si="312"/>
        <v>16.037500000000001</v>
      </c>
      <c r="N1885">
        <f t="shared" si="313"/>
        <v>1.3025</v>
      </c>
      <c r="O1885">
        <f t="shared" si="314"/>
        <v>7.3125</v>
      </c>
      <c r="P1885">
        <f t="shared" si="315"/>
        <v>7.8409090909090899</v>
      </c>
      <c r="Q1885">
        <f t="shared" si="316"/>
        <v>23.231481481481481</v>
      </c>
      <c r="R1885">
        <f t="shared" si="317"/>
        <v>66.680000000000007</v>
      </c>
      <c r="S1885" t="str">
        <f t="shared" si="318"/>
        <v>Satisfactory</v>
      </c>
      <c r="T1885" t="str">
        <f t="shared" si="319"/>
        <v>PM10</v>
      </c>
      <c r="U1885">
        <v>27.97</v>
      </c>
      <c r="V1885">
        <v>41.44</v>
      </c>
    </row>
    <row r="1886" spans="1:22" x14ac:dyDescent="0.3">
      <c r="A1886" s="2" t="s">
        <v>15</v>
      </c>
      <c r="B1886">
        <v>560026</v>
      </c>
      <c r="C1886" s="4">
        <v>45443</v>
      </c>
      <c r="D1886">
        <v>35.69</v>
      </c>
      <c r="E1886">
        <v>89.16</v>
      </c>
      <c r="F1886">
        <v>12.25</v>
      </c>
      <c r="G1886">
        <v>5.27</v>
      </c>
      <c r="H1886">
        <v>5.98</v>
      </c>
      <c r="I1886">
        <v>0.94</v>
      </c>
      <c r="J1886">
        <v>25.4</v>
      </c>
      <c r="K1886">
        <f t="shared" si="310"/>
        <v>59.483333333333327</v>
      </c>
      <c r="L1886">
        <f t="shared" si="311"/>
        <v>89.16</v>
      </c>
      <c r="M1886">
        <f t="shared" si="312"/>
        <v>15.3125</v>
      </c>
      <c r="N1886">
        <f t="shared" si="313"/>
        <v>1.3174999999999999</v>
      </c>
      <c r="O1886">
        <f t="shared" si="314"/>
        <v>7.4749999999999996</v>
      </c>
      <c r="P1886">
        <f t="shared" si="315"/>
        <v>10.681818181818182</v>
      </c>
      <c r="Q1886">
        <f t="shared" si="316"/>
        <v>23.518518518518519</v>
      </c>
      <c r="R1886">
        <f t="shared" si="317"/>
        <v>89.16</v>
      </c>
      <c r="S1886" t="str">
        <f t="shared" si="318"/>
        <v>Satisfactory</v>
      </c>
      <c r="T1886" t="str">
        <f t="shared" si="319"/>
        <v>PM10</v>
      </c>
      <c r="U1886">
        <v>29.21</v>
      </c>
      <c r="V1886">
        <v>41.52</v>
      </c>
    </row>
    <row r="1887" spans="1:22" x14ac:dyDescent="0.3">
      <c r="A1887" s="2" t="s">
        <v>15</v>
      </c>
      <c r="B1887">
        <v>560026</v>
      </c>
      <c r="C1887" s="4">
        <v>45444</v>
      </c>
      <c r="D1887">
        <v>24.86</v>
      </c>
      <c r="E1887">
        <v>62.2</v>
      </c>
      <c r="F1887">
        <v>12.26</v>
      </c>
      <c r="G1887">
        <v>5.25</v>
      </c>
      <c r="H1887">
        <v>5.12</v>
      </c>
      <c r="I1887">
        <v>0.57999999999999996</v>
      </c>
      <c r="J1887">
        <v>25.53</v>
      </c>
      <c r="K1887">
        <f t="shared" si="310"/>
        <v>41.43333333333333</v>
      </c>
      <c r="L1887">
        <f t="shared" si="311"/>
        <v>62.2</v>
      </c>
      <c r="M1887">
        <f t="shared" si="312"/>
        <v>15.324999999999999</v>
      </c>
      <c r="N1887">
        <f t="shared" si="313"/>
        <v>1.3125</v>
      </c>
      <c r="O1887">
        <f t="shared" si="314"/>
        <v>6.4</v>
      </c>
      <c r="P1887">
        <f t="shared" si="315"/>
        <v>6.5909090909090899</v>
      </c>
      <c r="Q1887">
        <f t="shared" si="316"/>
        <v>23.638888888888889</v>
      </c>
      <c r="R1887">
        <f t="shared" si="317"/>
        <v>62.2</v>
      </c>
      <c r="S1887" t="str">
        <f t="shared" si="318"/>
        <v>Satisfactory</v>
      </c>
      <c r="T1887" t="str">
        <f t="shared" si="319"/>
        <v>PM10</v>
      </c>
      <c r="U1887">
        <v>26.64</v>
      </c>
      <c r="V1887">
        <v>40.89</v>
      </c>
    </row>
    <row r="1888" spans="1:22" x14ac:dyDescent="0.3">
      <c r="A1888" s="2" t="s">
        <v>15</v>
      </c>
      <c r="B1888">
        <v>560026</v>
      </c>
      <c r="C1888" s="4">
        <v>45445</v>
      </c>
      <c r="D1888">
        <v>15.04</v>
      </c>
      <c r="E1888">
        <v>37.42</v>
      </c>
      <c r="F1888">
        <v>12.06</v>
      </c>
      <c r="G1888">
        <v>5.26</v>
      </c>
      <c r="H1888">
        <v>5.47</v>
      </c>
      <c r="I1888">
        <v>0.83</v>
      </c>
      <c r="J1888">
        <v>26.71</v>
      </c>
      <c r="K1888">
        <f t="shared" si="310"/>
        <v>25.066666666666666</v>
      </c>
      <c r="L1888">
        <f t="shared" si="311"/>
        <v>37.42</v>
      </c>
      <c r="M1888">
        <f t="shared" si="312"/>
        <v>15.074999999999999</v>
      </c>
      <c r="N1888">
        <f t="shared" si="313"/>
        <v>1.3149999999999999</v>
      </c>
      <c r="O1888">
        <f t="shared" si="314"/>
        <v>6.8375000000000004</v>
      </c>
      <c r="P1888">
        <f t="shared" si="315"/>
        <v>9.4318181818181817</v>
      </c>
      <c r="Q1888">
        <f t="shared" si="316"/>
        <v>24.731481481481481</v>
      </c>
      <c r="R1888">
        <f t="shared" si="317"/>
        <v>37.42</v>
      </c>
      <c r="S1888" t="str">
        <f t="shared" si="318"/>
        <v>Good</v>
      </c>
      <c r="T1888" t="str">
        <f t="shared" si="319"/>
        <v>PM10</v>
      </c>
      <c r="U1888">
        <v>25.8</v>
      </c>
      <c r="V1888">
        <v>33.32</v>
      </c>
    </row>
    <row r="1889" spans="1:22" x14ac:dyDescent="0.3">
      <c r="A1889" s="2" t="s">
        <v>15</v>
      </c>
      <c r="B1889">
        <v>560026</v>
      </c>
      <c r="C1889" s="4">
        <v>45446</v>
      </c>
      <c r="D1889">
        <v>23.57</v>
      </c>
      <c r="E1889">
        <v>58.73</v>
      </c>
      <c r="F1889">
        <v>12.41</v>
      </c>
      <c r="G1889">
        <v>5.17</v>
      </c>
      <c r="H1889">
        <v>4.92</v>
      </c>
      <c r="I1889">
        <v>0.63</v>
      </c>
      <c r="J1889">
        <v>26.24</v>
      </c>
      <c r="K1889">
        <f t="shared" si="310"/>
        <v>39.283333333333331</v>
      </c>
      <c r="L1889">
        <f t="shared" si="311"/>
        <v>58.73</v>
      </c>
      <c r="M1889">
        <f t="shared" si="312"/>
        <v>15.512499999999999</v>
      </c>
      <c r="N1889">
        <f t="shared" si="313"/>
        <v>1.2925</v>
      </c>
      <c r="O1889">
        <f t="shared" si="314"/>
        <v>6.15</v>
      </c>
      <c r="P1889">
        <f t="shared" si="315"/>
        <v>7.1590909090909092</v>
      </c>
      <c r="Q1889">
        <f t="shared" si="316"/>
        <v>24.296296296296294</v>
      </c>
      <c r="R1889">
        <f t="shared" si="317"/>
        <v>58.73</v>
      </c>
      <c r="S1889" t="str">
        <f t="shared" si="318"/>
        <v>Satisfactory</v>
      </c>
      <c r="T1889" t="str">
        <f t="shared" si="319"/>
        <v>PM10</v>
      </c>
      <c r="U1889">
        <v>25.58</v>
      </c>
      <c r="V1889">
        <v>33.74</v>
      </c>
    </row>
    <row r="1890" spans="1:22" x14ac:dyDescent="0.3">
      <c r="A1890" s="2" t="s">
        <v>15</v>
      </c>
      <c r="B1890">
        <v>560026</v>
      </c>
      <c r="C1890" s="4">
        <v>45447</v>
      </c>
      <c r="D1890">
        <v>19.18</v>
      </c>
      <c r="E1890">
        <v>48.01</v>
      </c>
      <c r="F1890">
        <v>12.16</v>
      </c>
      <c r="G1890">
        <v>5.3</v>
      </c>
      <c r="H1890">
        <v>5.13</v>
      </c>
      <c r="I1890">
        <v>0.65</v>
      </c>
      <c r="J1890">
        <v>26.26</v>
      </c>
      <c r="K1890">
        <f t="shared" si="310"/>
        <v>31.966666666666665</v>
      </c>
      <c r="L1890">
        <f t="shared" si="311"/>
        <v>48.01</v>
      </c>
      <c r="M1890">
        <f t="shared" si="312"/>
        <v>15.2</v>
      </c>
      <c r="N1890">
        <f t="shared" si="313"/>
        <v>1.325</v>
      </c>
      <c r="O1890">
        <f t="shared" si="314"/>
        <v>6.4124999999999996</v>
      </c>
      <c r="P1890">
        <f t="shared" si="315"/>
        <v>7.3863636363636367</v>
      </c>
      <c r="Q1890">
        <f t="shared" si="316"/>
        <v>24.314814814814817</v>
      </c>
      <c r="R1890">
        <f t="shared" si="317"/>
        <v>48.01</v>
      </c>
      <c r="S1890" t="str">
        <f t="shared" si="318"/>
        <v>Good</v>
      </c>
      <c r="T1890" t="str">
        <f t="shared" si="319"/>
        <v>PM10</v>
      </c>
      <c r="U1890">
        <v>26.33</v>
      </c>
      <c r="V1890">
        <v>35.31</v>
      </c>
    </row>
    <row r="1891" spans="1:22" x14ac:dyDescent="0.3">
      <c r="A1891" s="2" t="s">
        <v>15</v>
      </c>
      <c r="B1891">
        <v>560026</v>
      </c>
      <c r="C1891" s="4">
        <v>45448</v>
      </c>
      <c r="D1891">
        <v>19.920000000000002</v>
      </c>
      <c r="E1891">
        <v>49.78</v>
      </c>
      <c r="F1891">
        <v>12.23</v>
      </c>
      <c r="G1891">
        <v>5.25</v>
      </c>
      <c r="H1891">
        <v>5.6</v>
      </c>
      <c r="I1891">
        <v>0.66</v>
      </c>
      <c r="J1891">
        <v>25.32</v>
      </c>
      <c r="K1891">
        <f t="shared" si="310"/>
        <v>33.200000000000003</v>
      </c>
      <c r="L1891">
        <f t="shared" si="311"/>
        <v>49.78</v>
      </c>
      <c r="M1891">
        <f t="shared" si="312"/>
        <v>15.2875</v>
      </c>
      <c r="N1891">
        <f t="shared" si="313"/>
        <v>1.3125</v>
      </c>
      <c r="O1891">
        <f t="shared" si="314"/>
        <v>7</v>
      </c>
      <c r="P1891">
        <f t="shared" si="315"/>
        <v>7.5</v>
      </c>
      <c r="Q1891">
        <f t="shared" si="316"/>
        <v>23.444444444444446</v>
      </c>
      <c r="R1891">
        <f t="shared" si="317"/>
        <v>49.78</v>
      </c>
      <c r="S1891" t="str">
        <f t="shared" si="318"/>
        <v>Good</v>
      </c>
      <c r="T1891" t="str">
        <f t="shared" si="319"/>
        <v>PM10</v>
      </c>
      <c r="U1891">
        <v>25.99</v>
      </c>
      <c r="V1891">
        <v>38.590000000000003</v>
      </c>
    </row>
    <row r="1892" spans="1:22" x14ac:dyDescent="0.3">
      <c r="A1892" s="2" t="s">
        <v>15</v>
      </c>
      <c r="B1892">
        <v>560026</v>
      </c>
      <c r="C1892" s="4">
        <v>45449</v>
      </c>
      <c r="D1892">
        <v>14.24</v>
      </c>
      <c r="E1892">
        <v>35.54</v>
      </c>
      <c r="F1892">
        <v>12.36</v>
      </c>
      <c r="G1892">
        <v>5.23</v>
      </c>
      <c r="H1892">
        <v>5.2</v>
      </c>
      <c r="I1892">
        <v>0.5</v>
      </c>
      <c r="J1892">
        <v>24.91</v>
      </c>
      <c r="K1892">
        <f t="shared" si="310"/>
        <v>23.733333333333334</v>
      </c>
      <c r="L1892">
        <f t="shared" si="311"/>
        <v>35.54</v>
      </c>
      <c r="M1892">
        <f t="shared" si="312"/>
        <v>15.45</v>
      </c>
      <c r="N1892">
        <f t="shared" si="313"/>
        <v>1.3075000000000001</v>
      </c>
      <c r="O1892">
        <f t="shared" si="314"/>
        <v>6.5</v>
      </c>
      <c r="P1892">
        <f t="shared" si="315"/>
        <v>5.6818181818181817</v>
      </c>
      <c r="Q1892">
        <f t="shared" si="316"/>
        <v>23.064814814814817</v>
      </c>
      <c r="R1892">
        <f t="shared" si="317"/>
        <v>35.54</v>
      </c>
      <c r="S1892" t="str">
        <f t="shared" si="318"/>
        <v>Good</v>
      </c>
      <c r="T1892" t="str">
        <f t="shared" si="319"/>
        <v>PM10</v>
      </c>
      <c r="U1892">
        <v>25.46</v>
      </c>
      <c r="V1892">
        <v>25.16</v>
      </c>
    </row>
    <row r="1893" spans="1:22" x14ac:dyDescent="0.3">
      <c r="A1893" s="2" t="s">
        <v>15</v>
      </c>
      <c r="B1893">
        <v>560026</v>
      </c>
      <c r="C1893" s="4">
        <v>45450</v>
      </c>
      <c r="D1893">
        <v>9.09</v>
      </c>
      <c r="E1893">
        <v>22.63</v>
      </c>
      <c r="F1893">
        <v>12.23</v>
      </c>
      <c r="G1893">
        <v>5.29</v>
      </c>
      <c r="H1893">
        <v>4.99</v>
      </c>
      <c r="I1893">
        <v>0.46</v>
      </c>
      <c r="J1893">
        <v>25.28</v>
      </c>
      <c r="K1893">
        <f t="shared" si="310"/>
        <v>15.15</v>
      </c>
      <c r="L1893">
        <f t="shared" si="311"/>
        <v>22.63</v>
      </c>
      <c r="M1893">
        <f t="shared" si="312"/>
        <v>15.2875</v>
      </c>
      <c r="N1893">
        <f t="shared" si="313"/>
        <v>1.3225</v>
      </c>
      <c r="O1893">
        <f t="shared" si="314"/>
        <v>6.2374999999999998</v>
      </c>
      <c r="P1893">
        <f t="shared" si="315"/>
        <v>5.2272727272727275</v>
      </c>
      <c r="Q1893">
        <f t="shared" si="316"/>
        <v>23.407407407407408</v>
      </c>
      <c r="R1893">
        <f t="shared" si="317"/>
        <v>23.407407407407408</v>
      </c>
      <c r="S1893" t="str">
        <f t="shared" si="318"/>
        <v>Good</v>
      </c>
      <c r="T1893" t="str">
        <f t="shared" si="319"/>
        <v>OZONE</v>
      </c>
      <c r="U1893">
        <v>24.92</v>
      </c>
      <c r="V1893">
        <v>21.15</v>
      </c>
    </row>
    <row r="1894" spans="1:22" x14ac:dyDescent="0.3">
      <c r="A1894" s="2" t="s">
        <v>15</v>
      </c>
      <c r="B1894">
        <v>560026</v>
      </c>
      <c r="C1894" s="4">
        <v>45451</v>
      </c>
      <c r="D1894">
        <v>10.53</v>
      </c>
      <c r="E1894">
        <v>26.36</v>
      </c>
      <c r="F1894">
        <v>12.16</v>
      </c>
      <c r="G1894">
        <v>5.19</v>
      </c>
      <c r="H1894">
        <v>4.55</v>
      </c>
      <c r="I1894">
        <v>0.31</v>
      </c>
      <c r="J1894">
        <v>26.51</v>
      </c>
      <c r="K1894">
        <f t="shared" si="310"/>
        <v>17.55</v>
      </c>
      <c r="L1894">
        <f t="shared" si="311"/>
        <v>26.36</v>
      </c>
      <c r="M1894">
        <f t="shared" si="312"/>
        <v>15.2</v>
      </c>
      <c r="N1894">
        <f t="shared" si="313"/>
        <v>1.2975000000000001</v>
      </c>
      <c r="O1894">
        <f t="shared" si="314"/>
        <v>5.6875</v>
      </c>
      <c r="P1894">
        <f t="shared" si="315"/>
        <v>3.5227272727272725</v>
      </c>
      <c r="Q1894">
        <f t="shared" si="316"/>
        <v>24.546296296296298</v>
      </c>
      <c r="R1894">
        <f t="shared" si="317"/>
        <v>26.36</v>
      </c>
      <c r="S1894" t="str">
        <f t="shared" si="318"/>
        <v>Good</v>
      </c>
      <c r="T1894" t="str">
        <f t="shared" si="319"/>
        <v>PM10</v>
      </c>
      <c r="U1894">
        <v>25.01</v>
      </c>
      <c r="V1894">
        <v>22.35</v>
      </c>
    </row>
    <row r="1895" spans="1:22" x14ac:dyDescent="0.3">
      <c r="A1895" s="2" t="s">
        <v>15</v>
      </c>
      <c r="B1895">
        <v>560026</v>
      </c>
      <c r="C1895" s="4">
        <v>45452</v>
      </c>
      <c r="D1895">
        <v>21.06</v>
      </c>
      <c r="E1895">
        <v>52.67</v>
      </c>
      <c r="F1895">
        <v>12.35</v>
      </c>
      <c r="G1895">
        <v>5.2</v>
      </c>
      <c r="H1895">
        <v>4.38</v>
      </c>
      <c r="I1895">
        <v>0.53</v>
      </c>
      <c r="J1895">
        <v>25.26</v>
      </c>
      <c r="K1895">
        <f t="shared" si="310"/>
        <v>35.1</v>
      </c>
      <c r="L1895">
        <f t="shared" si="311"/>
        <v>52.67</v>
      </c>
      <c r="M1895">
        <f t="shared" si="312"/>
        <v>15.4375</v>
      </c>
      <c r="N1895">
        <f t="shared" si="313"/>
        <v>1.3</v>
      </c>
      <c r="O1895">
        <f t="shared" si="314"/>
        <v>5.4749999999999996</v>
      </c>
      <c r="P1895">
        <f t="shared" si="315"/>
        <v>6.0227272727272725</v>
      </c>
      <c r="Q1895">
        <f t="shared" si="316"/>
        <v>23.388888888888889</v>
      </c>
      <c r="R1895">
        <f t="shared" si="317"/>
        <v>52.67</v>
      </c>
      <c r="S1895" t="str">
        <f t="shared" si="318"/>
        <v>Satisfactory</v>
      </c>
      <c r="T1895" t="str">
        <f t="shared" si="319"/>
        <v>PM10</v>
      </c>
      <c r="U1895">
        <v>23.16</v>
      </c>
      <c r="V1895">
        <v>23.81</v>
      </c>
    </row>
    <row r="1896" spans="1:22" x14ac:dyDescent="0.3">
      <c r="A1896" s="2" t="s">
        <v>15</v>
      </c>
      <c r="B1896">
        <v>560026</v>
      </c>
      <c r="C1896" s="4">
        <v>45453</v>
      </c>
      <c r="D1896">
        <v>9.84</v>
      </c>
      <c r="E1896">
        <v>24.46</v>
      </c>
      <c r="F1896">
        <v>12.33</v>
      </c>
      <c r="G1896">
        <v>5.22</v>
      </c>
      <c r="H1896">
        <v>5.32</v>
      </c>
      <c r="I1896">
        <v>0.42</v>
      </c>
      <c r="J1896">
        <v>25.32</v>
      </c>
      <c r="K1896">
        <f t="shared" si="310"/>
        <v>16.399999999999999</v>
      </c>
      <c r="L1896">
        <f t="shared" si="311"/>
        <v>24.46</v>
      </c>
      <c r="M1896">
        <f t="shared" si="312"/>
        <v>15.4125</v>
      </c>
      <c r="N1896">
        <f t="shared" si="313"/>
        <v>1.3049999999999999</v>
      </c>
      <c r="O1896">
        <f t="shared" si="314"/>
        <v>6.65</v>
      </c>
      <c r="P1896">
        <f t="shared" si="315"/>
        <v>4.7727272727272725</v>
      </c>
      <c r="Q1896">
        <f t="shared" si="316"/>
        <v>23.444444444444446</v>
      </c>
      <c r="R1896">
        <f t="shared" si="317"/>
        <v>24.46</v>
      </c>
      <c r="S1896" t="str">
        <f t="shared" si="318"/>
        <v>Good</v>
      </c>
      <c r="T1896" t="str">
        <f t="shared" si="319"/>
        <v>PM10</v>
      </c>
      <c r="U1896">
        <v>24.19</v>
      </c>
      <c r="V1896">
        <v>23.64</v>
      </c>
    </row>
    <row r="1897" spans="1:22" x14ac:dyDescent="0.3">
      <c r="A1897" s="2" t="s">
        <v>15</v>
      </c>
      <c r="B1897">
        <v>560026</v>
      </c>
      <c r="C1897" s="4">
        <v>45454</v>
      </c>
      <c r="D1897">
        <v>10.19</v>
      </c>
      <c r="E1897">
        <v>25.56</v>
      </c>
      <c r="F1897">
        <v>12.3</v>
      </c>
      <c r="G1897">
        <v>5.24</v>
      </c>
      <c r="H1897">
        <v>4.3600000000000003</v>
      </c>
      <c r="I1897">
        <v>0.47</v>
      </c>
      <c r="J1897">
        <v>25.31</v>
      </c>
      <c r="K1897">
        <f t="shared" si="310"/>
        <v>16.983333333333334</v>
      </c>
      <c r="L1897">
        <f t="shared" si="311"/>
        <v>25.56</v>
      </c>
      <c r="M1897">
        <f t="shared" si="312"/>
        <v>15.375</v>
      </c>
      <c r="N1897">
        <f t="shared" si="313"/>
        <v>1.31</v>
      </c>
      <c r="O1897">
        <f t="shared" si="314"/>
        <v>5.4500000000000011</v>
      </c>
      <c r="P1897">
        <f t="shared" si="315"/>
        <v>5.3409090909090908</v>
      </c>
      <c r="Q1897">
        <f t="shared" si="316"/>
        <v>23.435185185185183</v>
      </c>
      <c r="R1897">
        <f t="shared" si="317"/>
        <v>25.56</v>
      </c>
      <c r="S1897" t="str">
        <f t="shared" si="318"/>
        <v>Good</v>
      </c>
      <c r="T1897" t="str">
        <f t="shared" si="319"/>
        <v>PM10</v>
      </c>
      <c r="U1897">
        <v>24.48</v>
      </c>
      <c r="V1897">
        <v>24.51</v>
      </c>
    </row>
    <row r="1898" spans="1:22" x14ac:dyDescent="0.3">
      <c r="A1898" s="2" t="s">
        <v>15</v>
      </c>
      <c r="B1898">
        <v>560026</v>
      </c>
      <c r="C1898" s="4">
        <v>45455</v>
      </c>
      <c r="D1898">
        <v>13.26</v>
      </c>
      <c r="E1898">
        <v>33.42</v>
      </c>
      <c r="F1898">
        <v>12.25</v>
      </c>
      <c r="G1898">
        <v>5.25</v>
      </c>
      <c r="H1898">
        <v>5.51</v>
      </c>
      <c r="I1898">
        <v>0.74</v>
      </c>
      <c r="J1898">
        <v>26.24</v>
      </c>
      <c r="K1898">
        <f t="shared" si="310"/>
        <v>22.1</v>
      </c>
      <c r="L1898">
        <f t="shared" si="311"/>
        <v>33.42</v>
      </c>
      <c r="M1898">
        <f t="shared" si="312"/>
        <v>15.3125</v>
      </c>
      <c r="N1898">
        <f t="shared" si="313"/>
        <v>1.3125</v>
      </c>
      <c r="O1898">
        <f t="shared" si="314"/>
        <v>6.8875000000000002</v>
      </c>
      <c r="P1898">
        <f t="shared" si="315"/>
        <v>8.4090909090909083</v>
      </c>
      <c r="Q1898">
        <f t="shared" si="316"/>
        <v>24.296296296296294</v>
      </c>
      <c r="R1898">
        <f t="shared" si="317"/>
        <v>33.42</v>
      </c>
      <c r="S1898" t="str">
        <f t="shared" si="318"/>
        <v>Good</v>
      </c>
      <c r="T1898" t="str">
        <f t="shared" si="319"/>
        <v>PM10</v>
      </c>
      <c r="U1898">
        <v>24.54</v>
      </c>
      <c r="V1898">
        <v>23.6</v>
      </c>
    </row>
    <row r="1899" spans="1:22" x14ac:dyDescent="0.3">
      <c r="A1899" s="2" t="s">
        <v>15</v>
      </c>
      <c r="B1899">
        <v>560026</v>
      </c>
      <c r="C1899" s="4">
        <v>45456</v>
      </c>
      <c r="D1899">
        <v>14.19</v>
      </c>
      <c r="E1899">
        <v>35.24</v>
      </c>
      <c r="F1899">
        <v>12.36</v>
      </c>
      <c r="G1899">
        <v>5.1100000000000003</v>
      </c>
      <c r="H1899">
        <v>5.26</v>
      </c>
      <c r="I1899">
        <v>0.72</v>
      </c>
      <c r="J1899">
        <v>25.49</v>
      </c>
      <c r="K1899">
        <f t="shared" si="310"/>
        <v>23.65</v>
      </c>
      <c r="L1899">
        <f t="shared" si="311"/>
        <v>35.24</v>
      </c>
      <c r="M1899">
        <f t="shared" si="312"/>
        <v>15.45</v>
      </c>
      <c r="N1899">
        <f t="shared" si="313"/>
        <v>1.2775000000000001</v>
      </c>
      <c r="O1899">
        <f t="shared" si="314"/>
        <v>6.5750000000000002</v>
      </c>
      <c r="P1899">
        <f t="shared" si="315"/>
        <v>8.1818181818181817</v>
      </c>
      <c r="Q1899">
        <f t="shared" si="316"/>
        <v>23.601851851851851</v>
      </c>
      <c r="R1899">
        <f t="shared" si="317"/>
        <v>35.24</v>
      </c>
      <c r="S1899" t="str">
        <f t="shared" si="318"/>
        <v>Good</v>
      </c>
      <c r="T1899" t="str">
        <f t="shared" si="319"/>
        <v>PM10</v>
      </c>
      <c r="U1899">
        <v>23.4</v>
      </c>
      <c r="V1899">
        <v>23.09</v>
      </c>
    </row>
    <row r="1900" spans="1:22" x14ac:dyDescent="0.3">
      <c r="A1900" s="2" t="s">
        <v>15</v>
      </c>
      <c r="B1900">
        <v>560026</v>
      </c>
      <c r="C1900" s="4">
        <v>45457</v>
      </c>
      <c r="D1900">
        <v>21.44</v>
      </c>
      <c r="E1900">
        <v>53.67</v>
      </c>
      <c r="F1900">
        <v>12.35</v>
      </c>
      <c r="G1900">
        <v>5.21</v>
      </c>
      <c r="H1900">
        <v>6.05</v>
      </c>
      <c r="I1900">
        <v>0.75</v>
      </c>
      <c r="J1900">
        <v>24.99</v>
      </c>
      <c r="K1900">
        <f t="shared" si="310"/>
        <v>35.733333333333334</v>
      </c>
      <c r="L1900">
        <f t="shared" si="311"/>
        <v>53.67</v>
      </c>
      <c r="M1900">
        <f t="shared" si="312"/>
        <v>15.4375</v>
      </c>
      <c r="N1900">
        <f t="shared" si="313"/>
        <v>1.3025</v>
      </c>
      <c r="O1900">
        <f t="shared" si="314"/>
        <v>7.5625</v>
      </c>
      <c r="P1900">
        <f t="shared" si="315"/>
        <v>8.5227272727272734</v>
      </c>
      <c r="Q1900">
        <f t="shared" si="316"/>
        <v>23.138888888888889</v>
      </c>
      <c r="R1900">
        <f t="shared" si="317"/>
        <v>53.67</v>
      </c>
      <c r="S1900" t="str">
        <f t="shared" si="318"/>
        <v>Satisfactory</v>
      </c>
      <c r="T1900" t="str">
        <f t="shared" si="319"/>
        <v>PM10</v>
      </c>
      <c r="U1900">
        <v>24.86</v>
      </c>
      <c r="V1900">
        <v>23.19</v>
      </c>
    </row>
    <row r="1901" spans="1:22" x14ac:dyDescent="0.3">
      <c r="A1901" s="2" t="s">
        <v>15</v>
      </c>
      <c r="B1901">
        <v>560026</v>
      </c>
      <c r="C1901" s="4">
        <v>45458</v>
      </c>
      <c r="D1901">
        <v>33.15</v>
      </c>
      <c r="E1901">
        <v>82.81</v>
      </c>
      <c r="F1901">
        <v>12.04</v>
      </c>
      <c r="G1901">
        <v>5.0599999999999996</v>
      </c>
      <c r="H1901">
        <v>5.35</v>
      </c>
      <c r="I1901">
        <v>0.84</v>
      </c>
      <c r="J1901">
        <v>25.02</v>
      </c>
      <c r="K1901">
        <f t="shared" si="310"/>
        <v>55.25</v>
      </c>
      <c r="L1901">
        <f t="shared" si="311"/>
        <v>82.81</v>
      </c>
      <c r="M1901">
        <f t="shared" si="312"/>
        <v>15.05</v>
      </c>
      <c r="N1901">
        <f t="shared" si="313"/>
        <v>1.2649999999999999</v>
      </c>
      <c r="O1901">
        <f t="shared" si="314"/>
        <v>6.6875</v>
      </c>
      <c r="P1901">
        <f t="shared" si="315"/>
        <v>9.545454545454545</v>
      </c>
      <c r="Q1901">
        <f t="shared" si="316"/>
        <v>23.166666666666668</v>
      </c>
      <c r="R1901">
        <f t="shared" si="317"/>
        <v>82.81</v>
      </c>
      <c r="S1901" t="str">
        <f t="shared" si="318"/>
        <v>Satisfactory</v>
      </c>
      <c r="T1901" t="str">
        <f t="shared" si="319"/>
        <v>PM10</v>
      </c>
      <c r="U1901">
        <v>23.12</v>
      </c>
      <c r="V1901">
        <v>23.4</v>
      </c>
    </row>
    <row r="1902" spans="1:22" x14ac:dyDescent="0.3">
      <c r="A1902" s="2" t="s">
        <v>15</v>
      </c>
      <c r="B1902">
        <v>560026</v>
      </c>
      <c r="C1902" s="4">
        <v>45459</v>
      </c>
      <c r="D1902">
        <v>21.09</v>
      </c>
      <c r="E1902">
        <v>52.82</v>
      </c>
      <c r="F1902">
        <v>12.22</v>
      </c>
      <c r="G1902">
        <v>5.25</v>
      </c>
      <c r="H1902">
        <v>4.93</v>
      </c>
      <c r="I1902">
        <v>0.26</v>
      </c>
      <c r="J1902">
        <v>25.22</v>
      </c>
      <c r="K1902">
        <f t="shared" si="310"/>
        <v>35.15</v>
      </c>
      <c r="L1902">
        <f t="shared" si="311"/>
        <v>52.82</v>
      </c>
      <c r="M1902">
        <f t="shared" si="312"/>
        <v>15.275</v>
      </c>
      <c r="N1902">
        <f t="shared" si="313"/>
        <v>1.3125</v>
      </c>
      <c r="O1902">
        <f t="shared" si="314"/>
        <v>6.1624999999999996</v>
      </c>
      <c r="P1902">
        <f t="shared" si="315"/>
        <v>2.9545454545454546</v>
      </c>
      <c r="Q1902">
        <f t="shared" si="316"/>
        <v>23.351851851851851</v>
      </c>
      <c r="R1902">
        <f t="shared" si="317"/>
        <v>52.82</v>
      </c>
      <c r="S1902" t="str">
        <f t="shared" si="318"/>
        <v>Satisfactory</v>
      </c>
      <c r="T1902" t="str">
        <f t="shared" si="319"/>
        <v>PM10</v>
      </c>
      <c r="U1902">
        <v>25.35</v>
      </c>
      <c r="V1902">
        <v>24.09</v>
      </c>
    </row>
    <row r="1903" spans="1:22" x14ac:dyDescent="0.3">
      <c r="A1903" s="2" t="s">
        <v>15</v>
      </c>
      <c r="B1903">
        <v>560026</v>
      </c>
      <c r="C1903" s="4">
        <v>45460</v>
      </c>
      <c r="D1903">
        <v>15.13</v>
      </c>
      <c r="E1903">
        <v>37.79</v>
      </c>
      <c r="F1903">
        <v>12.21</v>
      </c>
      <c r="G1903">
        <v>5.24</v>
      </c>
      <c r="H1903">
        <v>5.18</v>
      </c>
      <c r="I1903">
        <v>0.78319327699999997</v>
      </c>
      <c r="J1903">
        <v>28.74</v>
      </c>
      <c r="K1903">
        <f t="shared" si="310"/>
        <v>25.216666666666665</v>
      </c>
      <c r="L1903">
        <f t="shared" si="311"/>
        <v>37.79</v>
      </c>
      <c r="M1903">
        <f t="shared" si="312"/>
        <v>15.262499999999999</v>
      </c>
      <c r="N1903">
        <f t="shared" si="313"/>
        <v>1.31</v>
      </c>
      <c r="O1903">
        <f t="shared" si="314"/>
        <v>6.4749999999999996</v>
      </c>
      <c r="P1903">
        <f t="shared" si="315"/>
        <v>8.8999236022727271</v>
      </c>
      <c r="Q1903">
        <f t="shared" si="316"/>
        <v>26.611111111111111</v>
      </c>
      <c r="R1903">
        <f t="shared" si="317"/>
        <v>37.79</v>
      </c>
      <c r="S1903" t="str">
        <f t="shared" si="318"/>
        <v>Good</v>
      </c>
      <c r="T1903" t="str">
        <f t="shared" si="319"/>
        <v>PM10</v>
      </c>
      <c r="U1903">
        <v>26.14</v>
      </c>
      <c r="V1903">
        <v>23.22</v>
      </c>
    </row>
    <row r="1904" spans="1:22" x14ac:dyDescent="0.3">
      <c r="A1904" s="2" t="s">
        <v>15</v>
      </c>
      <c r="B1904">
        <v>560026</v>
      </c>
      <c r="C1904" s="4">
        <v>45461</v>
      </c>
      <c r="D1904">
        <v>12.94</v>
      </c>
      <c r="E1904">
        <v>32.46</v>
      </c>
      <c r="F1904">
        <v>12.33</v>
      </c>
      <c r="G1904">
        <v>5.18</v>
      </c>
      <c r="H1904">
        <v>5.09</v>
      </c>
      <c r="I1904">
        <v>0.78319327699999997</v>
      </c>
      <c r="J1904">
        <v>36.01</v>
      </c>
      <c r="K1904">
        <f t="shared" si="310"/>
        <v>21.566666666666666</v>
      </c>
      <c r="L1904">
        <f t="shared" si="311"/>
        <v>32.46</v>
      </c>
      <c r="M1904">
        <f t="shared" si="312"/>
        <v>15.4125</v>
      </c>
      <c r="N1904">
        <f t="shared" si="313"/>
        <v>1.2949999999999999</v>
      </c>
      <c r="O1904">
        <f t="shared" si="314"/>
        <v>6.3624999999999998</v>
      </c>
      <c r="P1904">
        <f t="shared" si="315"/>
        <v>8.8999236022727271</v>
      </c>
      <c r="Q1904">
        <f t="shared" si="316"/>
        <v>33.342592592592588</v>
      </c>
      <c r="R1904">
        <f t="shared" si="317"/>
        <v>33.342592592592588</v>
      </c>
      <c r="S1904" t="str">
        <f t="shared" si="318"/>
        <v>Good</v>
      </c>
      <c r="T1904" t="str">
        <f t="shared" si="319"/>
        <v>OZONE</v>
      </c>
      <c r="U1904">
        <v>25.82</v>
      </c>
      <c r="V1904">
        <v>23.92</v>
      </c>
    </row>
    <row r="1905" spans="1:22" x14ac:dyDescent="0.3">
      <c r="A1905" s="2" t="s">
        <v>15</v>
      </c>
      <c r="B1905">
        <v>560026</v>
      </c>
      <c r="C1905" s="4">
        <v>45462</v>
      </c>
      <c r="D1905">
        <v>17.91</v>
      </c>
      <c r="E1905">
        <v>44.63</v>
      </c>
      <c r="F1905">
        <v>12.19</v>
      </c>
      <c r="G1905">
        <v>5.26</v>
      </c>
      <c r="H1905">
        <v>5.7</v>
      </c>
      <c r="I1905">
        <v>0.78319327699999997</v>
      </c>
      <c r="J1905">
        <v>32.26</v>
      </c>
      <c r="K1905">
        <f t="shared" si="310"/>
        <v>29.85</v>
      </c>
      <c r="L1905">
        <f t="shared" si="311"/>
        <v>44.63</v>
      </c>
      <c r="M1905">
        <f t="shared" si="312"/>
        <v>15.237500000000001</v>
      </c>
      <c r="N1905">
        <f t="shared" si="313"/>
        <v>1.3149999999999999</v>
      </c>
      <c r="O1905">
        <f t="shared" si="314"/>
        <v>7.125</v>
      </c>
      <c r="P1905">
        <f t="shared" si="315"/>
        <v>8.8999236022727271</v>
      </c>
      <c r="Q1905">
        <f t="shared" si="316"/>
        <v>29.87037037037037</v>
      </c>
      <c r="R1905">
        <f t="shared" si="317"/>
        <v>44.63</v>
      </c>
      <c r="S1905" t="str">
        <f t="shared" si="318"/>
        <v>Good</v>
      </c>
      <c r="T1905" t="str">
        <f t="shared" si="319"/>
        <v>PM10</v>
      </c>
      <c r="U1905">
        <v>25.56</v>
      </c>
      <c r="V1905">
        <v>24.74</v>
      </c>
    </row>
    <row r="1906" spans="1:22" x14ac:dyDescent="0.3">
      <c r="A1906" s="2" t="s">
        <v>15</v>
      </c>
      <c r="B1906">
        <v>560026</v>
      </c>
      <c r="C1906" s="4">
        <v>45463</v>
      </c>
      <c r="D1906">
        <v>22.27</v>
      </c>
      <c r="E1906">
        <v>55.73</v>
      </c>
      <c r="F1906">
        <v>12.25</v>
      </c>
      <c r="G1906">
        <v>5.12</v>
      </c>
      <c r="H1906">
        <v>5.55</v>
      </c>
      <c r="I1906">
        <v>0.78319327699999997</v>
      </c>
      <c r="J1906">
        <v>33.200000000000003</v>
      </c>
      <c r="K1906">
        <f t="shared" si="310"/>
        <v>37.116666666666667</v>
      </c>
      <c r="L1906">
        <f t="shared" si="311"/>
        <v>55.73</v>
      </c>
      <c r="M1906">
        <f t="shared" si="312"/>
        <v>15.3125</v>
      </c>
      <c r="N1906">
        <f t="shared" si="313"/>
        <v>1.28</v>
      </c>
      <c r="O1906">
        <f t="shared" si="314"/>
        <v>6.9375</v>
      </c>
      <c r="P1906">
        <f t="shared" si="315"/>
        <v>8.8999236022727271</v>
      </c>
      <c r="Q1906">
        <f t="shared" si="316"/>
        <v>30.740740740740744</v>
      </c>
      <c r="R1906">
        <f t="shared" si="317"/>
        <v>55.73</v>
      </c>
      <c r="S1906" t="str">
        <f t="shared" si="318"/>
        <v>Satisfactory</v>
      </c>
      <c r="T1906" t="str">
        <f t="shared" si="319"/>
        <v>PM10</v>
      </c>
      <c r="U1906">
        <v>24.24</v>
      </c>
      <c r="V1906">
        <v>24.21</v>
      </c>
    </row>
    <row r="1907" spans="1:22" x14ac:dyDescent="0.3">
      <c r="A1907" s="2" t="s">
        <v>15</v>
      </c>
      <c r="B1907">
        <v>560026</v>
      </c>
      <c r="C1907" s="4">
        <v>45464</v>
      </c>
      <c r="D1907">
        <v>19.11</v>
      </c>
      <c r="E1907">
        <v>47.78</v>
      </c>
      <c r="F1907">
        <v>12.3</v>
      </c>
      <c r="G1907">
        <v>5.25</v>
      </c>
      <c r="H1907">
        <v>5.07</v>
      </c>
      <c r="I1907">
        <v>0.78319327699999997</v>
      </c>
      <c r="J1907">
        <v>34.479999999999997</v>
      </c>
      <c r="K1907">
        <f t="shared" si="310"/>
        <v>31.85</v>
      </c>
      <c r="L1907">
        <f t="shared" si="311"/>
        <v>47.78</v>
      </c>
      <c r="M1907">
        <f t="shared" si="312"/>
        <v>15.375</v>
      </c>
      <c r="N1907">
        <f t="shared" si="313"/>
        <v>1.3125</v>
      </c>
      <c r="O1907">
        <f t="shared" si="314"/>
        <v>6.3375000000000004</v>
      </c>
      <c r="P1907">
        <f t="shared" si="315"/>
        <v>8.8999236022727271</v>
      </c>
      <c r="Q1907">
        <f t="shared" si="316"/>
        <v>31.925925925925924</v>
      </c>
      <c r="R1907">
        <f t="shared" si="317"/>
        <v>47.78</v>
      </c>
      <c r="S1907" t="str">
        <f t="shared" si="318"/>
        <v>Good</v>
      </c>
      <c r="T1907" t="str">
        <f t="shared" si="319"/>
        <v>PM10</v>
      </c>
      <c r="U1907">
        <v>24.06</v>
      </c>
      <c r="V1907">
        <v>24.7</v>
      </c>
    </row>
    <row r="1908" spans="1:22" x14ac:dyDescent="0.3">
      <c r="A1908" s="2" t="s">
        <v>15</v>
      </c>
      <c r="B1908">
        <v>560026</v>
      </c>
      <c r="C1908" s="4">
        <v>45465</v>
      </c>
      <c r="D1908">
        <v>16.78</v>
      </c>
      <c r="E1908">
        <v>42.27</v>
      </c>
      <c r="F1908">
        <v>12.24</v>
      </c>
      <c r="G1908">
        <v>5.26</v>
      </c>
      <c r="H1908">
        <v>5.03</v>
      </c>
      <c r="I1908">
        <v>0.98</v>
      </c>
      <c r="J1908">
        <v>30.99</v>
      </c>
      <c r="K1908">
        <f t="shared" si="310"/>
        <v>27.966666666666665</v>
      </c>
      <c r="L1908">
        <f t="shared" si="311"/>
        <v>42.27</v>
      </c>
      <c r="M1908">
        <f t="shared" si="312"/>
        <v>15.3</v>
      </c>
      <c r="N1908">
        <f t="shared" si="313"/>
        <v>1.3149999999999999</v>
      </c>
      <c r="O1908">
        <f t="shared" si="314"/>
        <v>6.2874999999999996</v>
      </c>
      <c r="P1908">
        <f t="shared" si="315"/>
        <v>11.136363636363637</v>
      </c>
      <c r="Q1908">
        <f t="shared" si="316"/>
        <v>28.694444444444443</v>
      </c>
      <c r="R1908">
        <f t="shared" si="317"/>
        <v>42.27</v>
      </c>
      <c r="S1908" t="str">
        <f t="shared" si="318"/>
        <v>Good</v>
      </c>
      <c r="T1908" t="str">
        <f t="shared" si="319"/>
        <v>PM10</v>
      </c>
      <c r="U1908">
        <v>24.35</v>
      </c>
      <c r="V1908">
        <v>22.2</v>
      </c>
    </row>
    <row r="1909" spans="1:22" x14ac:dyDescent="0.3">
      <c r="A1909" s="2" t="s">
        <v>15</v>
      </c>
      <c r="B1909">
        <v>560026</v>
      </c>
      <c r="C1909" s="4">
        <v>45466</v>
      </c>
      <c r="D1909">
        <v>10.82</v>
      </c>
      <c r="E1909">
        <v>27.02</v>
      </c>
      <c r="F1909">
        <v>12.28</v>
      </c>
      <c r="G1909">
        <v>5.28</v>
      </c>
      <c r="H1909">
        <v>5.1100000000000003</v>
      </c>
      <c r="I1909">
        <v>0.45</v>
      </c>
      <c r="J1909">
        <v>42.45</v>
      </c>
      <c r="K1909">
        <f t="shared" si="310"/>
        <v>18.033333333333335</v>
      </c>
      <c r="L1909">
        <f t="shared" si="311"/>
        <v>27.02</v>
      </c>
      <c r="M1909">
        <f t="shared" si="312"/>
        <v>15.35</v>
      </c>
      <c r="N1909">
        <f t="shared" si="313"/>
        <v>1.32</v>
      </c>
      <c r="O1909">
        <f t="shared" si="314"/>
        <v>6.3875000000000011</v>
      </c>
      <c r="P1909">
        <f t="shared" si="315"/>
        <v>5.1136363636363633</v>
      </c>
      <c r="Q1909">
        <f t="shared" si="316"/>
        <v>39.305555555555557</v>
      </c>
      <c r="R1909">
        <f t="shared" si="317"/>
        <v>39.305555555555557</v>
      </c>
      <c r="S1909" t="str">
        <f t="shared" si="318"/>
        <v>Good</v>
      </c>
      <c r="T1909" t="str">
        <f t="shared" si="319"/>
        <v>OZONE</v>
      </c>
      <c r="U1909">
        <v>24.37</v>
      </c>
      <c r="V1909">
        <v>22.82</v>
      </c>
    </row>
    <row r="1910" spans="1:22" x14ac:dyDescent="0.3">
      <c r="A1910" s="2" t="s">
        <v>15</v>
      </c>
      <c r="B1910">
        <v>560026</v>
      </c>
      <c r="C1910" s="4">
        <v>45467</v>
      </c>
      <c r="D1910">
        <v>10.029999999999999</v>
      </c>
      <c r="E1910">
        <v>25.03</v>
      </c>
      <c r="F1910">
        <v>12.17</v>
      </c>
      <c r="G1910">
        <v>5.24</v>
      </c>
      <c r="H1910">
        <v>5.5</v>
      </c>
      <c r="I1910">
        <v>0.48</v>
      </c>
      <c r="J1910">
        <v>45</v>
      </c>
      <c r="K1910">
        <f t="shared" si="310"/>
        <v>16.716666666666665</v>
      </c>
      <c r="L1910">
        <f t="shared" si="311"/>
        <v>25.03</v>
      </c>
      <c r="M1910">
        <f t="shared" si="312"/>
        <v>15.2125</v>
      </c>
      <c r="N1910">
        <f t="shared" si="313"/>
        <v>1.31</v>
      </c>
      <c r="O1910">
        <f t="shared" si="314"/>
        <v>6.875</v>
      </c>
      <c r="P1910">
        <f t="shared" si="315"/>
        <v>5.4545454545454541</v>
      </c>
      <c r="Q1910">
        <f t="shared" si="316"/>
        <v>41.666666666666664</v>
      </c>
      <c r="R1910">
        <f t="shared" si="317"/>
        <v>41.666666666666664</v>
      </c>
      <c r="S1910" t="str">
        <f t="shared" si="318"/>
        <v>Good</v>
      </c>
      <c r="T1910" t="str">
        <f t="shared" si="319"/>
        <v>OZONE</v>
      </c>
      <c r="U1910">
        <v>24.33</v>
      </c>
      <c r="V1910">
        <v>23.18</v>
      </c>
    </row>
    <row r="1911" spans="1:22" x14ac:dyDescent="0.3">
      <c r="A1911" s="2" t="s">
        <v>15</v>
      </c>
      <c r="B1911">
        <v>560026</v>
      </c>
      <c r="C1911" s="4">
        <v>45468</v>
      </c>
      <c r="D1911">
        <v>19.98</v>
      </c>
      <c r="E1911">
        <v>49.99</v>
      </c>
      <c r="F1911">
        <v>12.22</v>
      </c>
      <c r="G1911">
        <v>5.19</v>
      </c>
      <c r="H1911">
        <v>4.97</v>
      </c>
      <c r="I1911">
        <v>0.43</v>
      </c>
      <c r="J1911">
        <v>35.61</v>
      </c>
      <c r="K1911">
        <f t="shared" si="310"/>
        <v>33.299999999999997</v>
      </c>
      <c r="L1911">
        <f t="shared" si="311"/>
        <v>49.99</v>
      </c>
      <c r="M1911">
        <f t="shared" si="312"/>
        <v>15.275</v>
      </c>
      <c r="N1911">
        <f t="shared" si="313"/>
        <v>1.2975000000000001</v>
      </c>
      <c r="O1911">
        <f t="shared" si="314"/>
        <v>6.2125000000000004</v>
      </c>
      <c r="P1911">
        <f t="shared" si="315"/>
        <v>4.8863636363636358</v>
      </c>
      <c r="Q1911">
        <f t="shared" si="316"/>
        <v>32.972222222222221</v>
      </c>
      <c r="R1911">
        <f t="shared" si="317"/>
        <v>49.99</v>
      </c>
      <c r="S1911" t="str">
        <f t="shared" si="318"/>
        <v>Good</v>
      </c>
      <c r="T1911" t="str">
        <f t="shared" si="319"/>
        <v>PM10</v>
      </c>
      <c r="U1911">
        <v>24.75</v>
      </c>
      <c r="V1911">
        <v>22.9</v>
      </c>
    </row>
    <row r="1912" spans="1:22" x14ac:dyDescent="0.3">
      <c r="A1912" s="2" t="s">
        <v>15</v>
      </c>
      <c r="B1912">
        <v>560026</v>
      </c>
      <c r="C1912" s="4">
        <v>45469</v>
      </c>
      <c r="D1912">
        <v>9.99</v>
      </c>
      <c r="E1912">
        <v>24.84</v>
      </c>
      <c r="F1912">
        <v>12.12</v>
      </c>
      <c r="G1912">
        <v>5.17</v>
      </c>
      <c r="H1912">
        <v>4.78</v>
      </c>
      <c r="I1912">
        <v>0.42</v>
      </c>
      <c r="J1912">
        <v>36.56</v>
      </c>
      <c r="K1912">
        <f t="shared" si="310"/>
        <v>16.649999999999999</v>
      </c>
      <c r="L1912">
        <f t="shared" si="311"/>
        <v>24.84</v>
      </c>
      <c r="M1912">
        <f t="shared" si="312"/>
        <v>15.15</v>
      </c>
      <c r="N1912">
        <f t="shared" si="313"/>
        <v>1.2925</v>
      </c>
      <c r="O1912">
        <f t="shared" si="314"/>
        <v>5.9749999999999996</v>
      </c>
      <c r="P1912">
        <f t="shared" si="315"/>
        <v>4.7727272727272725</v>
      </c>
      <c r="Q1912">
        <f t="shared" si="316"/>
        <v>33.851851851851855</v>
      </c>
      <c r="R1912">
        <f t="shared" si="317"/>
        <v>33.851851851851855</v>
      </c>
      <c r="S1912" t="str">
        <f t="shared" si="318"/>
        <v>Good</v>
      </c>
      <c r="T1912" t="str">
        <f t="shared" si="319"/>
        <v>OZONE</v>
      </c>
      <c r="U1912">
        <v>23.99</v>
      </c>
      <c r="V1912">
        <v>23.37</v>
      </c>
    </row>
    <row r="1913" spans="1:22" x14ac:dyDescent="0.3">
      <c r="A1913" s="2" t="s">
        <v>15</v>
      </c>
      <c r="B1913">
        <v>560026</v>
      </c>
      <c r="C1913" s="4">
        <v>45470</v>
      </c>
      <c r="D1913">
        <v>11.66</v>
      </c>
      <c r="E1913">
        <v>29.28</v>
      </c>
      <c r="F1913">
        <v>12.09</v>
      </c>
      <c r="G1913">
        <v>5.29</v>
      </c>
      <c r="H1913">
        <v>5.46</v>
      </c>
      <c r="I1913">
        <v>0.48</v>
      </c>
      <c r="J1913">
        <v>38</v>
      </c>
      <c r="K1913">
        <f t="shared" si="310"/>
        <v>19.433333333333334</v>
      </c>
      <c r="L1913">
        <f t="shared" si="311"/>
        <v>29.28</v>
      </c>
      <c r="M1913">
        <f t="shared" si="312"/>
        <v>15.112500000000001</v>
      </c>
      <c r="N1913">
        <f t="shared" si="313"/>
        <v>1.3225</v>
      </c>
      <c r="O1913">
        <f t="shared" si="314"/>
        <v>6.8250000000000002</v>
      </c>
      <c r="P1913">
        <f t="shared" si="315"/>
        <v>5.4545454545454541</v>
      </c>
      <c r="Q1913">
        <f t="shared" si="316"/>
        <v>35.185185185185183</v>
      </c>
      <c r="R1913">
        <f t="shared" si="317"/>
        <v>35.185185185185183</v>
      </c>
      <c r="S1913" t="str">
        <f t="shared" si="318"/>
        <v>Good</v>
      </c>
      <c r="T1913" t="str">
        <f t="shared" si="319"/>
        <v>OZONE</v>
      </c>
      <c r="U1913">
        <v>23.43</v>
      </c>
      <c r="V1913">
        <v>25.22</v>
      </c>
    </row>
    <row r="1914" spans="1:22" x14ac:dyDescent="0.3">
      <c r="A1914" s="2" t="s">
        <v>15</v>
      </c>
      <c r="B1914">
        <v>560026</v>
      </c>
      <c r="C1914" s="4">
        <v>45471</v>
      </c>
      <c r="D1914">
        <v>21.62</v>
      </c>
      <c r="E1914">
        <v>53.88</v>
      </c>
      <c r="F1914">
        <v>12.32</v>
      </c>
      <c r="G1914">
        <v>5.16</v>
      </c>
      <c r="H1914">
        <v>5.37</v>
      </c>
      <c r="I1914">
        <v>0.47</v>
      </c>
      <c r="J1914">
        <v>32.03</v>
      </c>
      <c r="K1914">
        <f t="shared" si="310"/>
        <v>36.033333333333331</v>
      </c>
      <c r="L1914">
        <f t="shared" si="311"/>
        <v>53.88</v>
      </c>
      <c r="M1914">
        <f t="shared" si="312"/>
        <v>15.4</v>
      </c>
      <c r="N1914">
        <f t="shared" si="313"/>
        <v>1.29</v>
      </c>
      <c r="O1914">
        <f t="shared" si="314"/>
        <v>6.7125000000000004</v>
      </c>
      <c r="P1914">
        <f t="shared" si="315"/>
        <v>5.3409090909090908</v>
      </c>
      <c r="Q1914">
        <f t="shared" si="316"/>
        <v>29.657407407407408</v>
      </c>
      <c r="R1914">
        <f t="shared" si="317"/>
        <v>53.88</v>
      </c>
      <c r="S1914" t="str">
        <f t="shared" si="318"/>
        <v>Satisfactory</v>
      </c>
      <c r="T1914" t="str">
        <f t="shared" si="319"/>
        <v>PM10</v>
      </c>
      <c r="U1914">
        <v>24.31</v>
      </c>
      <c r="V1914">
        <v>27.15</v>
      </c>
    </row>
    <row r="1915" spans="1:22" x14ac:dyDescent="0.3">
      <c r="A1915" s="2" t="s">
        <v>15</v>
      </c>
      <c r="B1915">
        <v>560026</v>
      </c>
      <c r="C1915" s="4">
        <v>45472</v>
      </c>
      <c r="D1915">
        <v>14.57</v>
      </c>
      <c r="E1915">
        <v>36.409999999999997</v>
      </c>
      <c r="F1915">
        <v>12.38</v>
      </c>
      <c r="G1915">
        <v>5.15</v>
      </c>
      <c r="H1915">
        <v>6.1</v>
      </c>
      <c r="I1915">
        <v>0.53</v>
      </c>
      <c r="J1915">
        <v>31.82</v>
      </c>
      <c r="K1915">
        <f t="shared" si="310"/>
        <v>24.283333333333335</v>
      </c>
      <c r="L1915">
        <f t="shared" si="311"/>
        <v>36.409999999999997</v>
      </c>
      <c r="M1915">
        <f t="shared" si="312"/>
        <v>15.475</v>
      </c>
      <c r="N1915">
        <f t="shared" si="313"/>
        <v>1.2875000000000001</v>
      </c>
      <c r="O1915">
        <f t="shared" si="314"/>
        <v>7.625</v>
      </c>
      <c r="P1915">
        <f t="shared" si="315"/>
        <v>6.0227272727272725</v>
      </c>
      <c r="Q1915">
        <f t="shared" si="316"/>
        <v>29.462962962962962</v>
      </c>
      <c r="R1915">
        <f t="shared" si="317"/>
        <v>36.409999999999997</v>
      </c>
      <c r="S1915" t="str">
        <f t="shared" si="318"/>
        <v>Good</v>
      </c>
      <c r="T1915" t="str">
        <f t="shared" si="319"/>
        <v>PM10</v>
      </c>
      <c r="U1915">
        <v>24.59</v>
      </c>
      <c r="V1915">
        <v>26.19</v>
      </c>
    </row>
    <row r="1916" spans="1:22" x14ac:dyDescent="0.3">
      <c r="A1916" s="2" t="s">
        <v>15</v>
      </c>
      <c r="B1916">
        <v>560026</v>
      </c>
      <c r="C1916" s="4">
        <v>45473</v>
      </c>
      <c r="D1916">
        <v>13.71</v>
      </c>
      <c r="E1916">
        <v>34.270000000000003</v>
      </c>
      <c r="F1916">
        <v>12.18</v>
      </c>
      <c r="G1916">
        <v>5.26</v>
      </c>
      <c r="H1916">
        <v>5.37</v>
      </c>
      <c r="I1916">
        <v>0.47</v>
      </c>
      <c r="J1916">
        <v>32.22</v>
      </c>
      <c r="K1916">
        <f t="shared" si="310"/>
        <v>22.85</v>
      </c>
      <c r="L1916">
        <f t="shared" si="311"/>
        <v>34.270000000000003</v>
      </c>
      <c r="M1916">
        <f t="shared" si="312"/>
        <v>15.225</v>
      </c>
      <c r="N1916">
        <f t="shared" si="313"/>
        <v>1.3149999999999999</v>
      </c>
      <c r="O1916">
        <f t="shared" si="314"/>
        <v>6.7125000000000004</v>
      </c>
      <c r="P1916">
        <f t="shared" si="315"/>
        <v>5.3409090909090908</v>
      </c>
      <c r="Q1916">
        <f t="shared" si="316"/>
        <v>29.833333333333332</v>
      </c>
      <c r="R1916">
        <f t="shared" si="317"/>
        <v>34.270000000000003</v>
      </c>
      <c r="S1916" t="str">
        <f t="shared" si="318"/>
        <v>Good</v>
      </c>
      <c r="T1916" t="str">
        <f t="shared" si="319"/>
        <v>PM10</v>
      </c>
      <c r="U1916">
        <v>24.21</v>
      </c>
      <c r="V1916">
        <v>27.42</v>
      </c>
    </row>
    <row r="1917" spans="1:22" x14ac:dyDescent="0.3">
      <c r="A1917" s="2" t="s">
        <v>15</v>
      </c>
      <c r="B1917">
        <v>560026</v>
      </c>
      <c r="C1917" s="4">
        <v>45474</v>
      </c>
      <c r="D1917">
        <v>10.85</v>
      </c>
      <c r="E1917">
        <v>27.16</v>
      </c>
      <c r="F1917">
        <v>12.34</v>
      </c>
      <c r="G1917">
        <v>5.24</v>
      </c>
      <c r="H1917">
        <v>3.42</v>
      </c>
      <c r="I1917">
        <v>0.3</v>
      </c>
      <c r="J1917">
        <v>30.74</v>
      </c>
      <c r="K1917">
        <f t="shared" si="310"/>
        <v>18.083333333333332</v>
      </c>
      <c r="L1917">
        <f t="shared" si="311"/>
        <v>27.16</v>
      </c>
      <c r="M1917">
        <f t="shared" si="312"/>
        <v>15.425000000000001</v>
      </c>
      <c r="N1917">
        <f t="shared" si="313"/>
        <v>1.31</v>
      </c>
      <c r="O1917">
        <f t="shared" si="314"/>
        <v>4.2750000000000004</v>
      </c>
      <c r="P1917">
        <f t="shared" si="315"/>
        <v>3.4090909090909087</v>
      </c>
      <c r="Q1917">
        <f t="shared" si="316"/>
        <v>28.462962962962962</v>
      </c>
      <c r="R1917">
        <f t="shared" si="317"/>
        <v>28.462962962962962</v>
      </c>
      <c r="S1917" t="str">
        <f t="shared" si="318"/>
        <v>Good</v>
      </c>
      <c r="T1917" t="str">
        <f t="shared" si="319"/>
        <v>OZONE</v>
      </c>
      <c r="U1917">
        <v>23.87</v>
      </c>
      <c r="V1917">
        <v>29.51</v>
      </c>
    </row>
    <row r="1918" spans="1:22" x14ac:dyDescent="0.3">
      <c r="A1918" s="2" t="s">
        <v>15</v>
      </c>
      <c r="B1918">
        <v>560026</v>
      </c>
      <c r="C1918" s="4">
        <v>45475</v>
      </c>
      <c r="D1918">
        <v>15.43</v>
      </c>
      <c r="E1918">
        <v>38.68</v>
      </c>
      <c r="F1918">
        <v>12.21</v>
      </c>
      <c r="G1918">
        <v>5.2</v>
      </c>
      <c r="H1918">
        <v>3.64</v>
      </c>
      <c r="I1918">
        <v>0.32</v>
      </c>
      <c r="J1918">
        <v>31.25</v>
      </c>
      <c r="K1918">
        <f t="shared" si="310"/>
        <v>25.716666666666665</v>
      </c>
      <c r="L1918">
        <f t="shared" si="311"/>
        <v>38.68</v>
      </c>
      <c r="M1918">
        <f t="shared" si="312"/>
        <v>15.262499999999999</v>
      </c>
      <c r="N1918">
        <f t="shared" si="313"/>
        <v>1.3</v>
      </c>
      <c r="O1918">
        <f t="shared" si="314"/>
        <v>4.55</v>
      </c>
      <c r="P1918">
        <f t="shared" si="315"/>
        <v>3.6363636363636362</v>
      </c>
      <c r="Q1918">
        <f t="shared" si="316"/>
        <v>28.935185185185187</v>
      </c>
      <c r="R1918">
        <f t="shared" si="317"/>
        <v>38.68</v>
      </c>
      <c r="S1918" t="str">
        <f t="shared" si="318"/>
        <v>Good</v>
      </c>
      <c r="T1918" t="str">
        <f t="shared" si="319"/>
        <v>PM10</v>
      </c>
      <c r="U1918">
        <v>24.6</v>
      </c>
      <c r="V1918">
        <v>28.06</v>
      </c>
    </row>
    <row r="1919" spans="1:22" x14ac:dyDescent="0.3">
      <c r="A1919" s="2" t="s">
        <v>15</v>
      </c>
      <c r="B1919">
        <v>560026</v>
      </c>
      <c r="C1919" s="4">
        <v>45476</v>
      </c>
      <c r="D1919">
        <v>20.18</v>
      </c>
      <c r="E1919">
        <v>50.77</v>
      </c>
      <c r="F1919">
        <v>12.26</v>
      </c>
      <c r="G1919">
        <v>5.14</v>
      </c>
      <c r="H1919">
        <v>4.25</v>
      </c>
      <c r="I1919">
        <v>0.37</v>
      </c>
      <c r="J1919">
        <v>29.96</v>
      </c>
      <c r="K1919">
        <f t="shared" si="310"/>
        <v>33.633333333333333</v>
      </c>
      <c r="L1919">
        <f t="shared" si="311"/>
        <v>50.77</v>
      </c>
      <c r="M1919">
        <f t="shared" si="312"/>
        <v>15.324999999999999</v>
      </c>
      <c r="N1919">
        <f t="shared" si="313"/>
        <v>1.2849999999999999</v>
      </c>
      <c r="O1919">
        <f t="shared" si="314"/>
        <v>5.3125</v>
      </c>
      <c r="P1919">
        <f t="shared" si="315"/>
        <v>4.2045454545454541</v>
      </c>
      <c r="Q1919">
        <f t="shared" si="316"/>
        <v>27.74074074074074</v>
      </c>
      <c r="R1919">
        <f t="shared" si="317"/>
        <v>50.77</v>
      </c>
      <c r="S1919" t="str">
        <f t="shared" si="318"/>
        <v>Satisfactory</v>
      </c>
      <c r="T1919" t="str">
        <f t="shared" si="319"/>
        <v>PM10</v>
      </c>
      <c r="U1919">
        <v>24.47</v>
      </c>
      <c r="V1919">
        <v>26.77</v>
      </c>
    </row>
    <row r="1920" spans="1:22" x14ac:dyDescent="0.3">
      <c r="A1920" s="2" t="s">
        <v>15</v>
      </c>
      <c r="B1920">
        <v>560026</v>
      </c>
      <c r="C1920" s="4">
        <v>45477</v>
      </c>
      <c r="D1920">
        <v>14.51</v>
      </c>
      <c r="E1920">
        <v>36.08</v>
      </c>
      <c r="F1920">
        <v>12.19</v>
      </c>
      <c r="G1920">
        <v>5.32</v>
      </c>
      <c r="H1920">
        <v>5.81</v>
      </c>
      <c r="I1920">
        <v>0.51</v>
      </c>
      <c r="J1920">
        <v>31.61</v>
      </c>
      <c r="K1920">
        <f t="shared" si="310"/>
        <v>24.183333333333334</v>
      </c>
      <c r="L1920">
        <f t="shared" si="311"/>
        <v>36.08</v>
      </c>
      <c r="M1920">
        <f t="shared" si="312"/>
        <v>15.237500000000001</v>
      </c>
      <c r="N1920">
        <f t="shared" si="313"/>
        <v>1.33</v>
      </c>
      <c r="O1920">
        <f t="shared" si="314"/>
        <v>7.2625000000000002</v>
      </c>
      <c r="P1920">
        <f t="shared" si="315"/>
        <v>5.795454545454545</v>
      </c>
      <c r="Q1920">
        <f t="shared" si="316"/>
        <v>29.268518518518519</v>
      </c>
      <c r="R1920">
        <f t="shared" si="317"/>
        <v>36.08</v>
      </c>
      <c r="S1920" t="str">
        <f t="shared" si="318"/>
        <v>Good</v>
      </c>
      <c r="T1920" t="str">
        <f t="shared" si="319"/>
        <v>PM10</v>
      </c>
      <c r="U1920">
        <v>24.97</v>
      </c>
      <c r="V1920">
        <v>22.8</v>
      </c>
    </row>
    <row r="1921" spans="1:22" x14ac:dyDescent="0.3">
      <c r="A1921" s="2" t="s">
        <v>15</v>
      </c>
      <c r="B1921">
        <v>560026</v>
      </c>
      <c r="C1921" s="4">
        <v>45478</v>
      </c>
      <c r="D1921">
        <v>23.07</v>
      </c>
      <c r="E1921">
        <v>57.76</v>
      </c>
      <c r="F1921">
        <v>12.17</v>
      </c>
      <c r="G1921">
        <v>5.26</v>
      </c>
      <c r="H1921">
        <v>5.91</v>
      </c>
      <c r="I1921">
        <v>0.52</v>
      </c>
      <c r="J1921">
        <v>31.43</v>
      </c>
      <c r="K1921">
        <f t="shared" si="310"/>
        <v>38.450000000000003</v>
      </c>
      <c r="L1921">
        <f t="shared" si="311"/>
        <v>57.76</v>
      </c>
      <c r="M1921">
        <f t="shared" si="312"/>
        <v>15.2125</v>
      </c>
      <c r="N1921">
        <f t="shared" si="313"/>
        <v>1.3149999999999999</v>
      </c>
      <c r="O1921">
        <f t="shared" si="314"/>
        <v>7.3875000000000002</v>
      </c>
      <c r="P1921">
        <f t="shared" si="315"/>
        <v>5.9090909090909092</v>
      </c>
      <c r="Q1921">
        <f t="shared" si="316"/>
        <v>29.101851851851851</v>
      </c>
      <c r="R1921">
        <f t="shared" si="317"/>
        <v>57.76</v>
      </c>
      <c r="S1921" t="str">
        <f t="shared" si="318"/>
        <v>Satisfactory</v>
      </c>
      <c r="T1921" t="str">
        <f t="shared" si="319"/>
        <v>PM10</v>
      </c>
      <c r="U1921">
        <v>24.6</v>
      </c>
      <c r="V1921">
        <v>22.77</v>
      </c>
    </row>
    <row r="1922" spans="1:22" x14ac:dyDescent="0.3">
      <c r="A1922" s="2" t="s">
        <v>15</v>
      </c>
      <c r="B1922">
        <v>560026</v>
      </c>
      <c r="C1922" s="4">
        <v>45479</v>
      </c>
      <c r="D1922">
        <v>15.24</v>
      </c>
      <c r="E1922">
        <v>38.04</v>
      </c>
      <c r="F1922">
        <v>12.31</v>
      </c>
      <c r="G1922">
        <v>5.24</v>
      </c>
      <c r="H1922">
        <v>5.43</v>
      </c>
      <c r="I1922">
        <v>0.47</v>
      </c>
      <c r="J1922">
        <v>32.159999999999997</v>
      </c>
      <c r="K1922">
        <f t="shared" si="310"/>
        <v>25.4</v>
      </c>
      <c r="L1922">
        <f t="shared" si="311"/>
        <v>38.04</v>
      </c>
      <c r="M1922">
        <f t="shared" si="312"/>
        <v>15.387499999999999</v>
      </c>
      <c r="N1922">
        <f t="shared" si="313"/>
        <v>1.31</v>
      </c>
      <c r="O1922">
        <f t="shared" si="314"/>
        <v>6.7874999999999996</v>
      </c>
      <c r="P1922">
        <f t="shared" si="315"/>
        <v>5.3409090909090908</v>
      </c>
      <c r="Q1922">
        <f t="shared" si="316"/>
        <v>29.777777777777775</v>
      </c>
      <c r="R1922">
        <f t="shared" si="317"/>
        <v>38.04</v>
      </c>
      <c r="S1922" t="str">
        <f t="shared" si="318"/>
        <v>Good</v>
      </c>
      <c r="T1922" t="str">
        <f t="shared" si="319"/>
        <v>PM10</v>
      </c>
      <c r="U1922">
        <v>24.13</v>
      </c>
      <c r="V1922">
        <v>22.57</v>
      </c>
    </row>
    <row r="1923" spans="1:22" x14ac:dyDescent="0.3">
      <c r="A1923" s="2" t="s">
        <v>15</v>
      </c>
      <c r="B1923">
        <v>560026</v>
      </c>
      <c r="C1923" s="4">
        <v>45480</v>
      </c>
      <c r="D1923">
        <v>15.94</v>
      </c>
      <c r="E1923">
        <v>39.880000000000003</v>
      </c>
      <c r="F1923">
        <v>12.24</v>
      </c>
      <c r="G1923">
        <v>5.27</v>
      </c>
      <c r="H1923">
        <v>5.74</v>
      </c>
      <c r="I1923">
        <v>0.5</v>
      </c>
      <c r="J1923">
        <v>36.479999999999997</v>
      </c>
      <c r="K1923">
        <f t="shared" si="310"/>
        <v>26.566666666666666</v>
      </c>
      <c r="L1923">
        <f t="shared" si="311"/>
        <v>39.880000000000003</v>
      </c>
      <c r="M1923">
        <f t="shared" si="312"/>
        <v>15.3</v>
      </c>
      <c r="N1923">
        <f t="shared" si="313"/>
        <v>1.3174999999999999</v>
      </c>
      <c r="O1923">
        <f t="shared" si="314"/>
        <v>7.1749999999999998</v>
      </c>
      <c r="P1923">
        <f t="shared" si="315"/>
        <v>5.6818181818181817</v>
      </c>
      <c r="Q1923">
        <f t="shared" si="316"/>
        <v>33.777777777777779</v>
      </c>
      <c r="R1923">
        <f t="shared" si="317"/>
        <v>39.880000000000003</v>
      </c>
      <c r="S1923" t="str">
        <f t="shared" si="318"/>
        <v>Good</v>
      </c>
      <c r="T1923" t="str">
        <f t="shared" si="319"/>
        <v>PM10</v>
      </c>
      <c r="U1923">
        <v>23.99</v>
      </c>
      <c r="V1923">
        <v>22.65</v>
      </c>
    </row>
    <row r="1924" spans="1:22" x14ac:dyDescent="0.3">
      <c r="A1924" s="2" t="s">
        <v>15</v>
      </c>
      <c r="B1924">
        <v>560026</v>
      </c>
      <c r="C1924" s="4">
        <v>45481</v>
      </c>
      <c r="D1924">
        <v>12.74</v>
      </c>
      <c r="E1924">
        <v>31.87</v>
      </c>
      <c r="F1924">
        <v>12.2</v>
      </c>
      <c r="G1924">
        <v>5.25</v>
      </c>
      <c r="H1924">
        <v>5.83</v>
      </c>
      <c r="I1924">
        <v>0.51</v>
      </c>
      <c r="J1924">
        <v>35.39</v>
      </c>
      <c r="K1924">
        <f t="shared" si="310"/>
        <v>21.233333333333334</v>
      </c>
      <c r="L1924">
        <f t="shared" si="311"/>
        <v>31.87</v>
      </c>
      <c r="M1924">
        <f t="shared" si="312"/>
        <v>15.25</v>
      </c>
      <c r="N1924">
        <f t="shared" si="313"/>
        <v>1.3125</v>
      </c>
      <c r="O1924">
        <f t="shared" si="314"/>
        <v>7.2874999999999996</v>
      </c>
      <c r="P1924">
        <f t="shared" si="315"/>
        <v>5.795454545454545</v>
      </c>
      <c r="Q1924">
        <f t="shared" si="316"/>
        <v>32.768518518518519</v>
      </c>
      <c r="R1924">
        <f t="shared" si="317"/>
        <v>32.768518518518519</v>
      </c>
      <c r="S1924" t="str">
        <f t="shared" si="318"/>
        <v>Good</v>
      </c>
      <c r="T1924" t="str">
        <f t="shared" si="319"/>
        <v>OZONE</v>
      </c>
      <c r="U1924">
        <v>22.52</v>
      </c>
      <c r="V1924">
        <v>22.02</v>
      </c>
    </row>
    <row r="1925" spans="1:22" x14ac:dyDescent="0.3">
      <c r="A1925" s="2" t="s">
        <v>15</v>
      </c>
      <c r="B1925">
        <v>560026</v>
      </c>
      <c r="C1925" s="4">
        <v>45482</v>
      </c>
      <c r="D1925">
        <v>14.71</v>
      </c>
      <c r="E1925">
        <v>36.729999999999997</v>
      </c>
      <c r="F1925">
        <v>12.16</v>
      </c>
      <c r="G1925">
        <v>5.27</v>
      </c>
      <c r="H1925">
        <v>5.52</v>
      </c>
      <c r="I1925">
        <v>0.48</v>
      </c>
      <c r="J1925">
        <v>34.22</v>
      </c>
      <c r="K1925">
        <f t="shared" si="310"/>
        <v>24.516666666666666</v>
      </c>
      <c r="L1925">
        <f t="shared" si="311"/>
        <v>36.729999999999997</v>
      </c>
      <c r="M1925">
        <f t="shared" si="312"/>
        <v>15.2</v>
      </c>
      <c r="N1925">
        <f t="shared" si="313"/>
        <v>1.3174999999999999</v>
      </c>
      <c r="O1925">
        <f t="shared" si="314"/>
        <v>6.9</v>
      </c>
      <c r="P1925">
        <f t="shared" si="315"/>
        <v>5.4545454545454541</v>
      </c>
      <c r="Q1925">
        <f t="shared" si="316"/>
        <v>31.685185185185183</v>
      </c>
      <c r="R1925">
        <f t="shared" si="317"/>
        <v>36.729999999999997</v>
      </c>
      <c r="S1925" t="str">
        <f t="shared" si="318"/>
        <v>Good</v>
      </c>
      <c r="T1925" t="str">
        <f t="shared" si="319"/>
        <v>PM10</v>
      </c>
      <c r="U1925">
        <v>22.97</v>
      </c>
      <c r="V1925">
        <v>25.24</v>
      </c>
    </row>
    <row r="1926" spans="1:22" x14ac:dyDescent="0.3">
      <c r="A1926" s="2" t="s">
        <v>15</v>
      </c>
      <c r="B1926">
        <v>560026</v>
      </c>
      <c r="C1926" s="4">
        <v>45483</v>
      </c>
      <c r="D1926">
        <v>20.07</v>
      </c>
      <c r="E1926">
        <v>50.08</v>
      </c>
      <c r="F1926">
        <v>12.24</v>
      </c>
      <c r="G1926">
        <v>5.24</v>
      </c>
      <c r="H1926">
        <v>6.21</v>
      </c>
      <c r="I1926">
        <v>0.54</v>
      </c>
      <c r="J1926">
        <v>35.369999999999997</v>
      </c>
      <c r="K1926">
        <f t="shared" si="310"/>
        <v>33.450000000000003</v>
      </c>
      <c r="L1926">
        <f t="shared" si="311"/>
        <v>50.08</v>
      </c>
      <c r="M1926">
        <f t="shared" si="312"/>
        <v>15.3</v>
      </c>
      <c r="N1926">
        <f t="shared" si="313"/>
        <v>1.31</v>
      </c>
      <c r="O1926">
        <f t="shared" si="314"/>
        <v>7.7625000000000002</v>
      </c>
      <c r="P1926">
        <f t="shared" si="315"/>
        <v>6.1363636363636367</v>
      </c>
      <c r="Q1926">
        <f t="shared" si="316"/>
        <v>32.75</v>
      </c>
      <c r="R1926">
        <f t="shared" si="317"/>
        <v>50.08</v>
      </c>
      <c r="S1926" t="str">
        <f t="shared" si="318"/>
        <v>Satisfactory</v>
      </c>
      <c r="T1926" t="str">
        <f t="shared" si="319"/>
        <v>PM10</v>
      </c>
      <c r="U1926">
        <v>24.45</v>
      </c>
      <c r="V1926">
        <v>42.71</v>
      </c>
    </row>
    <row r="1927" spans="1:22" x14ac:dyDescent="0.3">
      <c r="A1927" s="2" t="s">
        <v>15</v>
      </c>
      <c r="B1927">
        <v>560026</v>
      </c>
      <c r="C1927" s="4">
        <v>45484</v>
      </c>
      <c r="D1927">
        <v>16.88</v>
      </c>
      <c r="E1927">
        <v>42.34</v>
      </c>
      <c r="F1927">
        <v>12.21</v>
      </c>
      <c r="G1927">
        <v>5.18</v>
      </c>
      <c r="H1927">
        <v>5.79</v>
      </c>
      <c r="I1927">
        <v>0.51</v>
      </c>
      <c r="J1927">
        <v>32.19</v>
      </c>
      <c r="K1927">
        <f t="shared" si="310"/>
        <v>28.133333333333333</v>
      </c>
      <c r="L1927">
        <f t="shared" si="311"/>
        <v>42.34</v>
      </c>
      <c r="M1927">
        <f t="shared" si="312"/>
        <v>15.262499999999999</v>
      </c>
      <c r="N1927">
        <f t="shared" si="313"/>
        <v>1.2949999999999999</v>
      </c>
      <c r="O1927">
        <f t="shared" si="314"/>
        <v>7.2374999999999998</v>
      </c>
      <c r="P1927">
        <f t="shared" si="315"/>
        <v>5.795454545454545</v>
      </c>
      <c r="Q1927">
        <f t="shared" si="316"/>
        <v>29.805555555555554</v>
      </c>
      <c r="R1927">
        <f t="shared" si="317"/>
        <v>42.34</v>
      </c>
      <c r="S1927" t="str">
        <f t="shared" si="318"/>
        <v>Good</v>
      </c>
      <c r="T1927" t="str">
        <f t="shared" si="319"/>
        <v>PM10</v>
      </c>
      <c r="U1927">
        <v>24.66</v>
      </c>
      <c r="V1927">
        <v>41.69</v>
      </c>
    </row>
    <row r="1928" spans="1:22" x14ac:dyDescent="0.3">
      <c r="A1928" s="2" t="s">
        <v>15</v>
      </c>
      <c r="B1928">
        <v>560026</v>
      </c>
      <c r="C1928" s="4">
        <v>45485</v>
      </c>
      <c r="D1928">
        <v>15.05</v>
      </c>
      <c r="E1928">
        <v>37.86</v>
      </c>
      <c r="F1928">
        <v>12.23</v>
      </c>
      <c r="G1928">
        <v>5.15</v>
      </c>
      <c r="H1928">
        <v>6.29</v>
      </c>
      <c r="I1928">
        <v>0.55000000000000004</v>
      </c>
      <c r="J1928">
        <v>31.8</v>
      </c>
      <c r="K1928">
        <f t="shared" ref="K1928:K1991" si="320">IF(ISTEXT(D1928),0,IF(D1928&lt;=30,D1928*50/30,IF(AND(D1928&gt;30,D1928&lt;=60),50+(D1928-30)*50/30,IF(AND(D1928&gt;60,D1928&lt;=90),100+(D1928-60)*100/30,IF(AND(D1928&gt;90,D1928&lt;=120),200+(D1928-90)*(100/30),IF(AND(D1928&gt;120,D1928&lt;=250),300+(D1928-120)*(100/130),IF(D1928&gt;250,400+(D1928-250)*(100/130))))))))</f>
        <v>25.083333333333332</v>
      </c>
      <c r="L1928">
        <f t="shared" ref="L1928:L1991" si="321">IF(ISTEXT(E1928),0,IF(E1928&lt;=50,E1928,IF(AND(E1928&gt;50,E1928&lt;=100),E1928,IF(AND(E1928&gt;100,E1928&lt;=250),100+(E1928-100)*100/150,IF(AND(E1928&gt;250,E1928&lt;=350),200+(E1928-250),IF(AND(E1928&gt;350,E1928&lt;=430),300+(E1928-350)*(100/80),IF(E1928&gt;430,400+(E1928-430)*(100/80))))))))</f>
        <v>37.86</v>
      </c>
      <c r="M1928">
        <f t="shared" ref="M1928:M1991" si="322">IF(ISTEXT(F1928),0,IF(F1928&lt;=40,F1928*50/40,IF(AND(F1928&gt;40,F1928&lt;=80),50+(F1928-40)*50/40,IF(AND(F1928&gt;80,F1928&lt;=180),100+(F1928-80)*100/100,IF(AND(F1928&gt;180,F1928&lt;=280),200+(F1928-180)*(100/100),IF(AND(F1928&gt;280,F1928&lt;=400),300+(F1928-280)*(100/120),IF(F1928&gt;400,400+(F1928-400)*(100/120))))))))</f>
        <v>15.2875</v>
      </c>
      <c r="N1928">
        <f t="shared" ref="N1928:N1991" si="323">IF(ISTEXT(G1928),0,IF(G1928&lt;=200,G1928*50/200,IF(AND(G1928&gt;200,G1928&lt;=400),50+(G1928-200)*50/200,IF(AND(G1928&gt;400,G1928&lt;=800),100+(G1928-400)*100/400,IF(AND(G1928&gt;800,G1928&lt;=1200),200+(G1928-800)*(100/400),IF(AND(G1928&gt;1200,G1928&lt;=1800),300+(G1928-1200)*(100/600),IF(G1928&gt;1800,400+(G1928-1800)*(100/600))))))))</f>
        <v>1.2875000000000001</v>
      </c>
      <c r="O1928">
        <f t="shared" ref="O1928:O1991" si="324">IF(ISTEXT(H1928),0,IF(H1928&lt;=40,H1928*50/40,IF(AND(H1928&gt;40,H1928&lt;=80),50+(H1928-40)*50/40,IF(AND(H1928&gt;80,H1928&lt;=380),100+(H1928-80)*100/300,IF(AND(H1928&gt;380,H1928&lt;=800),200+(H1928-380)*(100/420),IF(AND(H1928&gt;800,H1928&lt;=1600),300+(H1928-800)*(100/800),IF(H1928&gt;1600,400+(H1928-1600)*(100/800))))))))</f>
        <v>7.8624999999999998</v>
      </c>
      <c r="P1928">
        <f t="shared" ref="P1928:P1991" si="325">IF(I1928&lt;=4.4,(50-0)/(4.4-0)*(I1928-0)+0,
IF(I1928&lt;=9.4,(100-51)/(9.4-4.5)*(I1928-4.5)+51,
IF(I1928&lt;=12.4,(150-101)/(12.4-9.5)*(I1928-9.5)+101,
IF(I1928&lt;=15.4,(200-151)/(15.4-12.5)*(I1928-12.5)+151,
IF(I1928&lt;=30.4,(300-201)/(30.4-15.5)*(I1928-15.5)+201,
(500-301)/(50.4-30.5)*(I1928-30.5)+301)))))</f>
        <v>6.25</v>
      </c>
      <c r="Q1928">
        <f t="shared" ref="Q1928:Q1991" si="326">IF(J1928&lt;=54,(50-0)/(54-0)*(J1928-0)+0,
IF(J1928&lt;=70,(100-51)/(70-55)*(J1928-55)+51,
IF(J1928&lt;=85,(150-101)/(85-71)*(J1928-71)+101,
IF(J1928&lt;=105,(200-151)/(105-86)*(J1928-86)+151,
IF(J1928&lt;=200,(300-201)/(200-106)*(J1928-106)+201,
(500-301)/(300-201)*(J1928-201)+301)))))</f>
        <v>29.444444444444446</v>
      </c>
      <c r="R1928">
        <f t="shared" ref="R1928:R1991" si="327">MAX(K1928:Q1928)</f>
        <v>37.86</v>
      </c>
      <c r="S1928" t="str">
        <f t="shared" ref="S1928:S1991" si="328">IF(R1928&lt;=50,"Good",
IF(R1928&lt;=100,"Satisfactory",
IF(R1928&lt;=200,"Moderate",
IF(R1928&lt;=300,"Poor",
IF(R1928&lt;=400,"Very Poor",
"Severe")))))</f>
        <v>Good</v>
      </c>
      <c r="T1928" t="str">
        <f t="shared" ref="T1928:T1991" si="329">IF(MAX(K1928:Q1928)=K1928,"PM2.5",
IF(MAX(K1928:Q1928)=L1928,"PM10",
IF(MAX(K1928:Q1928)=M1928,"NO2",
IF(MAX(K1928:Q1928)=N1928,"NH3",
IF(MAX(K1928:Q1928)=O1928,"SO2",
IF(MAX(K1928:Q1928)=P1928,"CO",
IF(MAX(K1928:Q1928)=Q1928,"OZONE","")))))))</f>
        <v>PM10</v>
      </c>
      <c r="U1928">
        <v>24.58</v>
      </c>
      <c r="V1928">
        <v>44.82</v>
      </c>
    </row>
    <row r="1929" spans="1:22" x14ac:dyDescent="0.3">
      <c r="A1929" s="2" t="s">
        <v>15</v>
      </c>
      <c r="B1929">
        <v>560026</v>
      </c>
      <c r="C1929" s="4">
        <v>45486</v>
      </c>
      <c r="D1929">
        <v>12.93</v>
      </c>
      <c r="E1929">
        <v>32.450000000000003</v>
      </c>
      <c r="F1929">
        <v>12.25</v>
      </c>
      <c r="G1929">
        <v>5.32</v>
      </c>
      <c r="H1929">
        <v>5.16</v>
      </c>
      <c r="I1929">
        <v>0.45</v>
      </c>
      <c r="J1929">
        <v>29.05</v>
      </c>
      <c r="K1929">
        <f t="shared" si="320"/>
        <v>21.55</v>
      </c>
      <c r="L1929">
        <f t="shared" si="321"/>
        <v>32.450000000000003</v>
      </c>
      <c r="M1929">
        <f t="shared" si="322"/>
        <v>15.3125</v>
      </c>
      <c r="N1929">
        <f t="shared" si="323"/>
        <v>1.33</v>
      </c>
      <c r="O1929">
        <f t="shared" si="324"/>
        <v>6.45</v>
      </c>
      <c r="P1929">
        <f t="shared" si="325"/>
        <v>5.1136363636363633</v>
      </c>
      <c r="Q1929">
        <f t="shared" si="326"/>
        <v>26.898148148148149</v>
      </c>
      <c r="R1929">
        <f t="shared" si="327"/>
        <v>32.450000000000003</v>
      </c>
      <c r="S1929" t="str">
        <f t="shared" si="328"/>
        <v>Good</v>
      </c>
      <c r="T1929" t="str">
        <f t="shared" si="329"/>
        <v>PM10</v>
      </c>
      <c r="U1929">
        <v>24.04</v>
      </c>
      <c r="V1929">
        <v>44.67</v>
      </c>
    </row>
    <row r="1930" spans="1:22" x14ac:dyDescent="0.3">
      <c r="A1930" s="2" t="s">
        <v>15</v>
      </c>
      <c r="B1930">
        <v>560026</v>
      </c>
      <c r="C1930" s="4">
        <v>45487</v>
      </c>
      <c r="D1930">
        <v>15.68</v>
      </c>
      <c r="E1930">
        <v>39.33</v>
      </c>
      <c r="F1930">
        <v>12.23</v>
      </c>
      <c r="G1930">
        <v>5.21</v>
      </c>
      <c r="H1930">
        <v>5.24</v>
      </c>
      <c r="I1930">
        <v>0.46</v>
      </c>
      <c r="J1930">
        <v>27.61</v>
      </c>
      <c r="K1930">
        <f t="shared" si="320"/>
        <v>26.133333333333333</v>
      </c>
      <c r="L1930">
        <f t="shared" si="321"/>
        <v>39.33</v>
      </c>
      <c r="M1930">
        <f t="shared" si="322"/>
        <v>15.2875</v>
      </c>
      <c r="N1930">
        <f t="shared" si="323"/>
        <v>1.3025</v>
      </c>
      <c r="O1930">
        <f t="shared" si="324"/>
        <v>6.55</v>
      </c>
      <c r="P1930">
        <f t="shared" si="325"/>
        <v>5.2272727272727275</v>
      </c>
      <c r="Q1930">
        <f t="shared" si="326"/>
        <v>25.564814814814813</v>
      </c>
      <c r="R1930">
        <f t="shared" si="327"/>
        <v>39.33</v>
      </c>
      <c r="S1930" t="str">
        <f t="shared" si="328"/>
        <v>Good</v>
      </c>
      <c r="T1930" t="str">
        <f t="shared" si="329"/>
        <v>PM10</v>
      </c>
      <c r="U1930">
        <v>23.31</v>
      </c>
      <c r="V1930">
        <v>45.66</v>
      </c>
    </row>
    <row r="1931" spans="1:22" x14ac:dyDescent="0.3">
      <c r="A1931" s="2" t="s">
        <v>15</v>
      </c>
      <c r="B1931">
        <v>560026</v>
      </c>
      <c r="C1931" s="4">
        <v>45488</v>
      </c>
      <c r="D1931">
        <v>7.31</v>
      </c>
      <c r="E1931">
        <v>18.11</v>
      </c>
      <c r="F1931">
        <v>12.2</v>
      </c>
      <c r="G1931">
        <v>5.21</v>
      </c>
      <c r="H1931">
        <v>6.02</v>
      </c>
      <c r="I1931">
        <v>0.53</v>
      </c>
      <c r="J1931">
        <v>27.04</v>
      </c>
      <c r="K1931">
        <f t="shared" si="320"/>
        <v>12.183333333333334</v>
      </c>
      <c r="L1931">
        <f t="shared" si="321"/>
        <v>18.11</v>
      </c>
      <c r="M1931">
        <f t="shared" si="322"/>
        <v>15.25</v>
      </c>
      <c r="N1931">
        <f t="shared" si="323"/>
        <v>1.3025</v>
      </c>
      <c r="O1931">
        <f t="shared" si="324"/>
        <v>7.5250000000000004</v>
      </c>
      <c r="P1931">
        <f t="shared" si="325"/>
        <v>6.0227272727272725</v>
      </c>
      <c r="Q1931">
        <f t="shared" si="326"/>
        <v>25.037037037037038</v>
      </c>
      <c r="R1931">
        <f t="shared" si="327"/>
        <v>25.037037037037038</v>
      </c>
      <c r="S1931" t="str">
        <f t="shared" si="328"/>
        <v>Good</v>
      </c>
      <c r="T1931" t="str">
        <f t="shared" si="329"/>
        <v>OZONE</v>
      </c>
      <c r="U1931">
        <v>21.82</v>
      </c>
      <c r="V1931">
        <v>48</v>
      </c>
    </row>
    <row r="1932" spans="1:22" x14ac:dyDescent="0.3">
      <c r="A1932" s="2" t="s">
        <v>15</v>
      </c>
      <c r="B1932">
        <v>560026</v>
      </c>
      <c r="C1932" s="4">
        <v>45489</v>
      </c>
      <c r="D1932">
        <v>10.96</v>
      </c>
      <c r="E1932">
        <v>27.45</v>
      </c>
      <c r="F1932">
        <v>12.29</v>
      </c>
      <c r="G1932">
        <v>5.18</v>
      </c>
      <c r="H1932">
        <v>4.3899999999999997</v>
      </c>
      <c r="I1932">
        <v>0.38</v>
      </c>
      <c r="J1932">
        <v>29.28</v>
      </c>
      <c r="K1932">
        <f t="shared" si="320"/>
        <v>18.266666666666666</v>
      </c>
      <c r="L1932">
        <f t="shared" si="321"/>
        <v>27.45</v>
      </c>
      <c r="M1932">
        <f t="shared" si="322"/>
        <v>15.362500000000001</v>
      </c>
      <c r="N1932">
        <f t="shared" si="323"/>
        <v>1.2949999999999999</v>
      </c>
      <c r="O1932">
        <f t="shared" si="324"/>
        <v>5.4874999999999989</v>
      </c>
      <c r="P1932">
        <f t="shared" si="325"/>
        <v>4.3181818181818183</v>
      </c>
      <c r="Q1932">
        <f t="shared" si="326"/>
        <v>27.111111111111111</v>
      </c>
      <c r="R1932">
        <f t="shared" si="327"/>
        <v>27.45</v>
      </c>
      <c r="S1932" t="str">
        <f t="shared" si="328"/>
        <v>Good</v>
      </c>
      <c r="T1932" t="str">
        <f t="shared" si="329"/>
        <v>PM10</v>
      </c>
      <c r="U1932">
        <v>22.76</v>
      </c>
      <c r="V1932">
        <v>45.61</v>
      </c>
    </row>
    <row r="1933" spans="1:22" x14ac:dyDescent="0.3">
      <c r="A1933" s="2" t="s">
        <v>15</v>
      </c>
      <c r="B1933">
        <v>560026</v>
      </c>
      <c r="C1933" s="4">
        <v>45490</v>
      </c>
      <c r="D1933">
        <v>15.93</v>
      </c>
      <c r="E1933">
        <v>39.799999999999997</v>
      </c>
      <c r="F1933">
        <v>12.26</v>
      </c>
      <c r="G1933">
        <v>5.17</v>
      </c>
      <c r="H1933">
        <v>5.09</v>
      </c>
      <c r="I1933">
        <v>0.45</v>
      </c>
      <c r="J1933">
        <v>27.65</v>
      </c>
      <c r="K1933">
        <f t="shared" si="320"/>
        <v>26.55</v>
      </c>
      <c r="L1933">
        <f t="shared" si="321"/>
        <v>39.799999999999997</v>
      </c>
      <c r="M1933">
        <f t="shared" si="322"/>
        <v>15.324999999999999</v>
      </c>
      <c r="N1933">
        <f t="shared" si="323"/>
        <v>1.2925</v>
      </c>
      <c r="O1933">
        <f t="shared" si="324"/>
        <v>6.3624999999999998</v>
      </c>
      <c r="P1933">
        <f t="shared" si="325"/>
        <v>5.1136363636363633</v>
      </c>
      <c r="Q1933">
        <f t="shared" si="326"/>
        <v>25.601851851851851</v>
      </c>
      <c r="R1933">
        <f t="shared" si="327"/>
        <v>39.799999999999997</v>
      </c>
      <c r="S1933" t="str">
        <f t="shared" si="328"/>
        <v>Good</v>
      </c>
      <c r="T1933" t="str">
        <f t="shared" si="329"/>
        <v>PM10</v>
      </c>
      <c r="U1933">
        <v>23.69</v>
      </c>
      <c r="V1933">
        <v>46.2</v>
      </c>
    </row>
    <row r="1934" spans="1:22" x14ac:dyDescent="0.3">
      <c r="A1934" s="2" t="s">
        <v>15</v>
      </c>
      <c r="B1934">
        <v>560026</v>
      </c>
      <c r="C1934" s="4">
        <v>45491</v>
      </c>
      <c r="D1934">
        <v>7.47</v>
      </c>
      <c r="E1934">
        <v>18.55</v>
      </c>
      <c r="F1934">
        <v>12.32</v>
      </c>
      <c r="G1934">
        <v>5.16</v>
      </c>
      <c r="H1934">
        <v>5.33</v>
      </c>
      <c r="I1934">
        <v>0.46</v>
      </c>
      <c r="J1934">
        <v>29.91</v>
      </c>
      <c r="K1934">
        <f t="shared" si="320"/>
        <v>12.45</v>
      </c>
      <c r="L1934">
        <f t="shared" si="321"/>
        <v>18.55</v>
      </c>
      <c r="M1934">
        <f t="shared" si="322"/>
        <v>15.4</v>
      </c>
      <c r="N1934">
        <f t="shared" si="323"/>
        <v>1.29</v>
      </c>
      <c r="O1934">
        <f t="shared" si="324"/>
        <v>6.6624999999999996</v>
      </c>
      <c r="P1934">
        <f t="shared" si="325"/>
        <v>5.2272727272727275</v>
      </c>
      <c r="Q1934">
        <f t="shared" si="326"/>
        <v>27.694444444444446</v>
      </c>
      <c r="R1934">
        <f t="shared" si="327"/>
        <v>27.694444444444446</v>
      </c>
      <c r="S1934" t="str">
        <f t="shared" si="328"/>
        <v>Good</v>
      </c>
      <c r="T1934" t="str">
        <f t="shared" si="329"/>
        <v>OZONE</v>
      </c>
      <c r="U1934">
        <v>22.6</v>
      </c>
      <c r="V1934">
        <v>46.61</v>
      </c>
    </row>
    <row r="1935" spans="1:22" x14ac:dyDescent="0.3">
      <c r="A1935" s="2" t="s">
        <v>15</v>
      </c>
      <c r="B1935">
        <v>560026</v>
      </c>
      <c r="C1935" s="4">
        <v>45492</v>
      </c>
      <c r="D1935">
        <v>8.14</v>
      </c>
      <c r="E1935">
        <v>20.49</v>
      </c>
      <c r="F1935">
        <v>12.2</v>
      </c>
      <c r="G1935">
        <v>5.26</v>
      </c>
      <c r="H1935">
        <v>5.6</v>
      </c>
      <c r="I1935">
        <v>0.49</v>
      </c>
      <c r="J1935">
        <v>31.55</v>
      </c>
      <c r="K1935">
        <f t="shared" si="320"/>
        <v>13.566666666666666</v>
      </c>
      <c r="L1935">
        <f t="shared" si="321"/>
        <v>20.49</v>
      </c>
      <c r="M1935">
        <f t="shared" si="322"/>
        <v>15.25</v>
      </c>
      <c r="N1935">
        <f t="shared" si="323"/>
        <v>1.3149999999999999</v>
      </c>
      <c r="O1935">
        <f t="shared" si="324"/>
        <v>7</v>
      </c>
      <c r="P1935">
        <f t="shared" si="325"/>
        <v>5.5681818181818183</v>
      </c>
      <c r="Q1935">
        <f t="shared" si="326"/>
        <v>29.212962962962965</v>
      </c>
      <c r="R1935">
        <f t="shared" si="327"/>
        <v>29.212962962962965</v>
      </c>
      <c r="S1935" t="str">
        <f t="shared" si="328"/>
        <v>Good</v>
      </c>
      <c r="T1935" t="str">
        <f t="shared" si="329"/>
        <v>OZONE</v>
      </c>
      <c r="U1935">
        <v>22.11</v>
      </c>
      <c r="V1935">
        <v>45.3</v>
      </c>
    </row>
    <row r="1936" spans="1:22" x14ac:dyDescent="0.3">
      <c r="A1936" s="2" t="s">
        <v>15</v>
      </c>
      <c r="B1936">
        <v>560026</v>
      </c>
      <c r="C1936" s="4">
        <v>45493</v>
      </c>
      <c r="D1936">
        <v>15.86</v>
      </c>
      <c r="E1936">
        <v>39.58</v>
      </c>
      <c r="F1936">
        <v>12.21</v>
      </c>
      <c r="G1936">
        <v>5.24</v>
      </c>
      <c r="H1936">
        <v>4.8600000000000003</v>
      </c>
      <c r="I1936">
        <v>0.42</v>
      </c>
      <c r="J1936">
        <v>32.340000000000003</v>
      </c>
      <c r="K1936">
        <f t="shared" si="320"/>
        <v>26.433333333333334</v>
      </c>
      <c r="L1936">
        <f t="shared" si="321"/>
        <v>39.58</v>
      </c>
      <c r="M1936">
        <f t="shared" si="322"/>
        <v>15.262499999999999</v>
      </c>
      <c r="N1936">
        <f t="shared" si="323"/>
        <v>1.31</v>
      </c>
      <c r="O1936">
        <f t="shared" si="324"/>
        <v>6.0750000000000011</v>
      </c>
      <c r="P1936">
        <f t="shared" si="325"/>
        <v>4.7727272727272725</v>
      </c>
      <c r="Q1936">
        <f t="shared" si="326"/>
        <v>29.944444444444446</v>
      </c>
      <c r="R1936">
        <f t="shared" si="327"/>
        <v>39.58</v>
      </c>
      <c r="S1936" t="str">
        <f t="shared" si="328"/>
        <v>Good</v>
      </c>
      <c r="T1936" t="str">
        <f t="shared" si="329"/>
        <v>PM10</v>
      </c>
      <c r="U1936">
        <v>23.32</v>
      </c>
      <c r="V1936">
        <v>42.85</v>
      </c>
    </row>
    <row r="1937" spans="1:22" x14ac:dyDescent="0.3">
      <c r="A1937" s="2" t="s">
        <v>15</v>
      </c>
      <c r="B1937">
        <v>560026</v>
      </c>
      <c r="C1937" s="4">
        <v>45494</v>
      </c>
      <c r="D1937">
        <v>11.92</v>
      </c>
      <c r="E1937">
        <v>30.04</v>
      </c>
      <c r="F1937">
        <v>12.36</v>
      </c>
      <c r="G1937">
        <v>5.16</v>
      </c>
      <c r="H1937">
        <v>4.7699999999999996</v>
      </c>
      <c r="I1937">
        <v>0.42</v>
      </c>
      <c r="J1937">
        <v>33.81</v>
      </c>
      <c r="K1937">
        <f t="shared" si="320"/>
        <v>19.866666666666667</v>
      </c>
      <c r="L1937">
        <f t="shared" si="321"/>
        <v>30.04</v>
      </c>
      <c r="M1937">
        <f t="shared" si="322"/>
        <v>15.45</v>
      </c>
      <c r="N1937">
        <f t="shared" si="323"/>
        <v>1.29</v>
      </c>
      <c r="O1937">
        <f t="shared" si="324"/>
        <v>5.9624999999999995</v>
      </c>
      <c r="P1937">
        <f t="shared" si="325"/>
        <v>4.7727272727272725</v>
      </c>
      <c r="Q1937">
        <f t="shared" si="326"/>
        <v>31.305555555555557</v>
      </c>
      <c r="R1937">
        <f t="shared" si="327"/>
        <v>31.305555555555557</v>
      </c>
      <c r="S1937" t="str">
        <f t="shared" si="328"/>
        <v>Good</v>
      </c>
      <c r="T1937" t="str">
        <f t="shared" si="329"/>
        <v>OZONE</v>
      </c>
      <c r="U1937">
        <v>22.89</v>
      </c>
      <c r="V1937">
        <v>43.95</v>
      </c>
    </row>
    <row r="1938" spans="1:22" x14ac:dyDescent="0.3">
      <c r="A1938" s="2" t="s">
        <v>15</v>
      </c>
      <c r="B1938">
        <v>560026</v>
      </c>
      <c r="C1938" s="4">
        <v>45495</v>
      </c>
      <c r="D1938">
        <v>12.27</v>
      </c>
      <c r="E1938">
        <v>30.56</v>
      </c>
      <c r="F1938">
        <v>12.36</v>
      </c>
      <c r="G1938">
        <v>5.19</v>
      </c>
      <c r="H1938">
        <v>5.15</v>
      </c>
      <c r="I1938">
        <v>0.45</v>
      </c>
      <c r="J1938">
        <v>34</v>
      </c>
      <c r="K1938">
        <f t="shared" si="320"/>
        <v>20.45</v>
      </c>
      <c r="L1938">
        <f t="shared" si="321"/>
        <v>30.56</v>
      </c>
      <c r="M1938">
        <f t="shared" si="322"/>
        <v>15.45</v>
      </c>
      <c r="N1938">
        <f t="shared" si="323"/>
        <v>1.2975000000000001</v>
      </c>
      <c r="O1938">
        <f t="shared" si="324"/>
        <v>6.4375</v>
      </c>
      <c r="P1938">
        <f t="shared" si="325"/>
        <v>5.1136363636363633</v>
      </c>
      <c r="Q1938">
        <f t="shared" si="326"/>
        <v>31.481481481481481</v>
      </c>
      <c r="R1938">
        <f t="shared" si="327"/>
        <v>31.481481481481481</v>
      </c>
      <c r="S1938" t="str">
        <f t="shared" si="328"/>
        <v>Good</v>
      </c>
      <c r="T1938" t="str">
        <f t="shared" si="329"/>
        <v>OZONE</v>
      </c>
      <c r="U1938">
        <v>23.55</v>
      </c>
      <c r="V1938">
        <v>42.05</v>
      </c>
    </row>
    <row r="1939" spans="1:22" x14ac:dyDescent="0.3">
      <c r="A1939" s="2" t="s">
        <v>15</v>
      </c>
      <c r="B1939">
        <v>560026</v>
      </c>
      <c r="C1939" s="4">
        <v>45496</v>
      </c>
      <c r="D1939">
        <v>11.17</v>
      </c>
      <c r="E1939">
        <v>27.88</v>
      </c>
      <c r="F1939">
        <v>12.31</v>
      </c>
      <c r="G1939">
        <v>5.21</v>
      </c>
      <c r="H1939">
        <v>5.52</v>
      </c>
      <c r="I1939">
        <v>0.48</v>
      </c>
      <c r="J1939">
        <v>31.89</v>
      </c>
      <c r="K1939">
        <f t="shared" si="320"/>
        <v>18.616666666666667</v>
      </c>
      <c r="L1939">
        <f t="shared" si="321"/>
        <v>27.88</v>
      </c>
      <c r="M1939">
        <f t="shared" si="322"/>
        <v>15.387499999999999</v>
      </c>
      <c r="N1939">
        <f t="shared" si="323"/>
        <v>1.3025</v>
      </c>
      <c r="O1939">
        <f t="shared" si="324"/>
        <v>6.9</v>
      </c>
      <c r="P1939">
        <f t="shared" si="325"/>
        <v>5.4545454545454541</v>
      </c>
      <c r="Q1939">
        <f t="shared" si="326"/>
        <v>29.527777777777779</v>
      </c>
      <c r="R1939">
        <f t="shared" si="327"/>
        <v>29.527777777777779</v>
      </c>
      <c r="S1939" t="str">
        <f t="shared" si="328"/>
        <v>Good</v>
      </c>
      <c r="T1939" t="str">
        <f t="shared" si="329"/>
        <v>OZONE</v>
      </c>
      <c r="U1939">
        <v>23.47</v>
      </c>
      <c r="V1939">
        <v>44.01</v>
      </c>
    </row>
    <row r="1940" spans="1:22" x14ac:dyDescent="0.3">
      <c r="A1940" s="2" t="s">
        <v>15</v>
      </c>
      <c r="B1940">
        <v>560026</v>
      </c>
      <c r="C1940" s="4">
        <v>45497</v>
      </c>
      <c r="D1940">
        <v>9.89</v>
      </c>
      <c r="E1940">
        <v>24.27</v>
      </c>
      <c r="F1940">
        <v>12.19</v>
      </c>
      <c r="G1940">
        <v>5.28</v>
      </c>
      <c r="H1940">
        <v>5.56</v>
      </c>
      <c r="I1940">
        <v>0.49</v>
      </c>
      <c r="J1940">
        <v>30.27</v>
      </c>
      <c r="K1940">
        <f t="shared" si="320"/>
        <v>16.483333333333334</v>
      </c>
      <c r="L1940">
        <f t="shared" si="321"/>
        <v>24.27</v>
      </c>
      <c r="M1940">
        <f t="shared" si="322"/>
        <v>15.237500000000001</v>
      </c>
      <c r="N1940">
        <f t="shared" si="323"/>
        <v>1.32</v>
      </c>
      <c r="O1940">
        <f t="shared" si="324"/>
        <v>6.95</v>
      </c>
      <c r="P1940">
        <f t="shared" si="325"/>
        <v>5.5681818181818183</v>
      </c>
      <c r="Q1940">
        <f t="shared" si="326"/>
        <v>28.027777777777779</v>
      </c>
      <c r="R1940">
        <f t="shared" si="327"/>
        <v>28.027777777777779</v>
      </c>
      <c r="S1940" t="str">
        <f t="shared" si="328"/>
        <v>Good</v>
      </c>
      <c r="T1940" t="str">
        <f t="shared" si="329"/>
        <v>OZONE</v>
      </c>
      <c r="U1940">
        <v>22.46</v>
      </c>
      <c r="V1940">
        <v>46.97</v>
      </c>
    </row>
    <row r="1941" spans="1:22" x14ac:dyDescent="0.3">
      <c r="A1941" s="2" t="s">
        <v>15</v>
      </c>
      <c r="B1941">
        <v>560026</v>
      </c>
      <c r="C1941" s="4">
        <v>45498</v>
      </c>
      <c r="D1941">
        <v>8.11</v>
      </c>
      <c r="E1941">
        <v>20</v>
      </c>
      <c r="F1941">
        <v>12.33</v>
      </c>
      <c r="G1941">
        <v>5.25</v>
      </c>
      <c r="H1941">
        <v>4.9800000000000004</v>
      </c>
      <c r="I1941">
        <v>0.44</v>
      </c>
      <c r="J1941">
        <v>29.94</v>
      </c>
      <c r="K1941">
        <f t="shared" si="320"/>
        <v>13.516666666666667</v>
      </c>
      <c r="L1941">
        <f t="shared" si="321"/>
        <v>20</v>
      </c>
      <c r="M1941">
        <f t="shared" si="322"/>
        <v>15.4125</v>
      </c>
      <c r="N1941">
        <f t="shared" si="323"/>
        <v>1.3125</v>
      </c>
      <c r="O1941">
        <f t="shared" si="324"/>
        <v>6.2250000000000005</v>
      </c>
      <c r="P1941">
        <f t="shared" si="325"/>
        <v>5</v>
      </c>
      <c r="Q1941">
        <f t="shared" si="326"/>
        <v>27.722222222222225</v>
      </c>
      <c r="R1941">
        <f t="shared" si="327"/>
        <v>27.722222222222225</v>
      </c>
      <c r="S1941" t="str">
        <f t="shared" si="328"/>
        <v>Good</v>
      </c>
      <c r="T1941" t="str">
        <f t="shared" si="329"/>
        <v>OZONE</v>
      </c>
      <c r="U1941">
        <v>22.39</v>
      </c>
      <c r="V1941">
        <v>46.78</v>
      </c>
    </row>
    <row r="1942" spans="1:22" x14ac:dyDescent="0.3">
      <c r="A1942" s="2" t="s">
        <v>15</v>
      </c>
      <c r="B1942">
        <v>560026</v>
      </c>
      <c r="C1942" s="4">
        <v>45499</v>
      </c>
      <c r="D1942">
        <v>13.83</v>
      </c>
      <c r="E1942">
        <v>34.28</v>
      </c>
      <c r="F1942">
        <v>12.2</v>
      </c>
      <c r="G1942">
        <v>5.31</v>
      </c>
      <c r="H1942">
        <v>5.3</v>
      </c>
      <c r="I1942">
        <v>0.46</v>
      </c>
      <c r="J1942">
        <v>28.89</v>
      </c>
      <c r="K1942">
        <f t="shared" si="320"/>
        <v>23.05</v>
      </c>
      <c r="L1942">
        <f t="shared" si="321"/>
        <v>34.28</v>
      </c>
      <c r="M1942">
        <f t="shared" si="322"/>
        <v>15.25</v>
      </c>
      <c r="N1942">
        <f t="shared" si="323"/>
        <v>1.3274999999999999</v>
      </c>
      <c r="O1942">
        <f t="shared" si="324"/>
        <v>6.625</v>
      </c>
      <c r="P1942">
        <f t="shared" si="325"/>
        <v>5.2272727272727275</v>
      </c>
      <c r="Q1942">
        <f t="shared" si="326"/>
        <v>26.75</v>
      </c>
      <c r="R1942">
        <f t="shared" si="327"/>
        <v>34.28</v>
      </c>
      <c r="S1942" t="str">
        <f t="shared" si="328"/>
        <v>Good</v>
      </c>
      <c r="T1942" t="str">
        <f t="shared" si="329"/>
        <v>PM10</v>
      </c>
      <c r="U1942">
        <v>23.28</v>
      </c>
      <c r="V1942">
        <v>46.56</v>
      </c>
    </row>
    <row r="1943" spans="1:22" x14ac:dyDescent="0.3">
      <c r="A1943" s="2" t="s">
        <v>15</v>
      </c>
      <c r="B1943">
        <v>560026</v>
      </c>
      <c r="C1943" s="4">
        <v>45500</v>
      </c>
      <c r="D1943">
        <v>27.66</v>
      </c>
      <c r="E1943">
        <v>69.180000000000007</v>
      </c>
      <c r="F1943">
        <v>12.24</v>
      </c>
      <c r="G1943">
        <v>5.23</v>
      </c>
      <c r="H1943">
        <v>5.14</v>
      </c>
      <c r="I1943">
        <v>0.45</v>
      </c>
      <c r="J1943">
        <v>27.54</v>
      </c>
      <c r="K1943">
        <f t="shared" si="320"/>
        <v>46.1</v>
      </c>
      <c r="L1943">
        <f t="shared" si="321"/>
        <v>69.180000000000007</v>
      </c>
      <c r="M1943">
        <f t="shared" si="322"/>
        <v>15.3</v>
      </c>
      <c r="N1943">
        <f t="shared" si="323"/>
        <v>1.3075000000000001</v>
      </c>
      <c r="O1943">
        <f t="shared" si="324"/>
        <v>6.4249999999999998</v>
      </c>
      <c r="P1943">
        <f t="shared" si="325"/>
        <v>5.1136363636363633</v>
      </c>
      <c r="Q1943">
        <f t="shared" si="326"/>
        <v>25.5</v>
      </c>
      <c r="R1943">
        <f t="shared" si="327"/>
        <v>69.180000000000007</v>
      </c>
      <c r="S1943" t="str">
        <f t="shared" si="328"/>
        <v>Satisfactory</v>
      </c>
      <c r="T1943" t="str">
        <f t="shared" si="329"/>
        <v>PM10</v>
      </c>
      <c r="U1943">
        <v>24.07</v>
      </c>
      <c r="V1943">
        <v>41.35</v>
      </c>
    </row>
    <row r="1944" spans="1:22" x14ac:dyDescent="0.3">
      <c r="A1944" s="2" t="s">
        <v>15</v>
      </c>
      <c r="B1944">
        <v>560026</v>
      </c>
      <c r="C1944" s="4">
        <v>45501</v>
      </c>
      <c r="D1944">
        <v>12.15</v>
      </c>
      <c r="E1944">
        <v>30.28</v>
      </c>
      <c r="F1944">
        <v>12.32</v>
      </c>
      <c r="G1944">
        <v>5.25</v>
      </c>
      <c r="H1944">
        <v>5.12</v>
      </c>
      <c r="I1944">
        <v>0.45</v>
      </c>
      <c r="J1944">
        <v>31.94</v>
      </c>
      <c r="K1944">
        <f t="shared" si="320"/>
        <v>20.25</v>
      </c>
      <c r="L1944">
        <f t="shared" si="321"/>
        <v>30.28</v>
      </c>
      <c r="M1944">
        <f t="shared" si="322"/>
        <v>15.4</v>
      </c>
      <c r="N1944">
        <f t="shared" si="323"/>
        <v>1.3125</v>
      </c>
      <c r="O1944">
        <f t="shared" si="324"/>
        <v>6.4</v>
      </c>
      <c r="P1944">
        <f t="shared" si="325"/>
        <v>5.1136363636363633</v>
      </c>
      <c r="Q1944">
        <f t="shared" si="326"/>
        <v>29.574074074074076</v>
      </c>
      <c r="R1944">
        <f t="shared" si="327"/>
        <v>30.28</v>
      </c>
      <c r="S1944" t="str">
        <f t="shared" si="328"/>
        <v>Good</v>
      </c>
      <c r="T1944" t="str">
        <f t="shared" si="329"/>
        <v>PM10</v>
      </c>
      <c r="U1944">
        <v>23.34</v>
      </c>
      <c r="V1944">
        <v>41.41</v>
      </c>
    </row>
    <row r="1945" spans="1:22" x14ac:dyDescent="0.3">
      <c r="A1945" s="2" t="s">
        <v>15</v>
      </c>
      <c r="B1945">
        <v>560026</v>
      </c>
      <c r="C1945" s="4">
        <v>45502</v>
      </c>
      <c r="D1945">
        <v>17.91</v>
      </c>
      <c r="E1945">
        <v>45.01</v>
      </c>
      <c r="F1945">
        <v>12.29</v>
      </c>
      <c r="G1945">
        <v>5.22</v>
      </c>
      <c r="H1945">
        <v>5.63</v>
      </c>
      <c r="I1945">
        <v>0.49</v>
      </c>
      <c r="J1945">
        <v>31.84</v>
      </c>
      <c r="K1945">
        <f t="shared" si="320"/>
        <v>29.85</v>
      </c>
      <c r="L1945">
        <f t="shared" si="321"/>
        <v>45.01</v>
      </c>
      <c r="M1945">
        <f t="shared" si="322"/>
        <v>15.362500000000001</v>
      </c>
      <c r="N1945">
        <f t="shared" si="323"/>
        <v>1.3049999999999999</v>
      </c>
      <c r="O1945">
        <f t="shared" si="324"/>
        <v>7.0374999999999996</v>
      </c>
      <c r="P1945">
        <f t="shared" si="325"/>
        <v>5.5681818181818183</v>
      </c>
      <c r="Q1945">
        <f t="shared" si="326"/>
        <v>29.481481481481481</v>
      </c>
      <c r="R1945">
        <f t="shared" si="327"/>
        <v>45.01</v>
      </c>
      <c r="S1945" t="str">
        <f t="shared" si="328"/>
        <v>Good</v>
      </c>
      <c r="T1945" t="str">
        <f t="shared" si="329"/>
        <v>PM10</v>
      </c>
      <c r="U1945">
        <v>24.25</v>
      </c>
      <c r="V1945">
        <v>43.48</v>
      </c>
    </row>
    <row r="1946" spans="1:22" x14ac:dyDescent="0.3">
      <c r="A1946" s="2" t="s">
        <v>15</v>
      </c>
      <c r="B1946">
        <v>560026</v>
      </c>
      <c r="C1946" s="4">
        <v>45503</v>
      </c>
      <c r="D1946">
        <v>11.62</v>
      </c>
      <c r="E1946">
        <v>28.88</v>
      </c>
      <c r="F1946">
        <v>12.28</v>
      </c>
      <c r="G1946">
        <v>5.18</v>
      </c>
      <c r="H1946">
        <v>6.04</v>
      </c>
      <c r="I1946">
        <v>0.53</v>
      </c>
      <c r="J1946">
        <v>31.6</v>
      </c>
      <c r="K1946">
        <f t="shared" si="320"/>
        <v>19.366666666666667</v>
      </c>
      <c r="L1946">
        <f t="shared" si="321"/>
        <v>28.88</v>
      </c>
      <c r="M1946">
        <f t="shared" si="322"/>
        <v>15.35</v>
      </c>
      <c r="N1946">
        <f t="shared" si="323"/>
        <v>1.2949999999999999</v>
      </c>
      <c r="O1946">
        <f t="shared" si="324"/>
        <v>7.55</v>
      </c>
      <c r="P1946">
        <f t="shared" si="325"/>
        <v>6.0227272727272725</v>
      </c>
      <c r="Q1946">
        <f t="shared" si="326"/>
        <v>29.25925925925926</v>
      </c>
      <c r="R1946">
        <f t="shared" si="327"/>
        <v>29.25925925925926</v>
      </c>
      <c r="S1946" t="str">
        <f t="shared" si="328"/>
        <v>Good</v>
      </c>
      <c r="T1946" t="str">
        <f t="shared" si="329"/>
        <v>OZONE</v>
      </c>
      <c r="U1946">
        <v>22.64</v>
      </c>
      <c r="V1946">
        <v>46.58</v>
      </c>
    </row>
    <row r="1947" spans="1:22" x14ac:dyDescent="0.3">
      <c r="A1947" s="2" t="s">
        <v>15</v>
      </c>
      <c r="B1947">
        <v>560026</v>
      </c>
      <c r="C1947" s="4">
        <v>45504</v>
      </c>
      <c r="D1947">
        <v>13.93</v>
      </c>
      <c r="E1947">
        <v>34.94</v>
      </c>
      <c r="F1947">
        <v>12.33</v>
      </c>
      <c r="G1947">
        <v>5.19</v>
      </c>
      <c r="H1947">
        <v>5.13</v>
      </c>
      <c r="I1947">
        <v>0.45</v>
      </c>
      <c r="J1947">
        <v>31.55</v>
      </c>
      <c r="K1947">
        <f t="shared" si="320"/>
        <v>23.216666666666665</v>
      </c>
      <c r="L1947">
        <f t="shared" si="321"/>
        <v>34.94</v>
      </c>
      <c r="M1947">
        <f t="shared" si="322"/>
        <v>15.4125</v>
      </c>
      <c r="N1947">
        <f t="shared" si="323"/>
        <v>1.2975000000000001</v>
      </c>
      <c r="O1947">
        <f t="shared" si="324"/>
        <v>6.4124999999999996</v>
      </c>
      <c r="P1947">
        <f t="shared" si="325"/>
        <v>5.1136363636363633</v>
      </c>
      <c r="Q1947">
        <f t="shared" si="326"/>
        <v>29.212962962962965</v>
      </c>
      <c r="R1947">
        <f t="shared" si="327"/>
        <v>34.94</v>
      </c>
      <c r="S1947" t="str">
        <f t="shared" si="328"/>
        <v>Good</v>
      </c>
      <c r="T1947" t="str">
        <f t="shared" si="329"/>
        <v>PM10</v>
      </c>
      <c r="U1947">
        <v>22.71</v>
      </c>
      <c r="V1947">
        <v>45.49</v>
      </c>
    </row>
    <row r="1948" spans="1:22" x14ac:dyDescent="0.3">
      <c r="A1948" s="2" t="s">
        <v>15</v>
      </c>
      <c r="B1948">
        <v>560026</v>
      </c>
      <c r="C1948" s="4">
        <v>45505</v>
      </c>
      <c r="D1948">
        <v>16.21</v>
      </c>
      <c r="E1948">
        <v>46.23</v>
      </c>
      <c r="F1948">
        <v>12.33</v>
      </c>
      <c r="G1948">
        <v>5.21</v>
      </c>
      <c r="H1948">
        <v>6.12</v>
      </c>
      <c r="I1948">
        <v>0.54</v>
      </c>
      <c r="J1948">
        <v>31.09</v>
      </c>
      <c r="K1948">
        <f t="shared" si="320"/>
        <v>27.016666666666666</v>
      </c>
      <c r="L1948">
        <f t="shared" si="321"/>
        <v>46.23</v>
      </c>
      <c r="M1948">
        <f t="shared" si="322"/>
        <v>15.4125</v>
      </c>
      <c r="N1948">
        <f t="shared" si="323"/>
        <v>1.3025</v>
      </c>
      <c r="O1948">
        <f t="shared" si="324"/>
        <v>7.65</v>
      </c>
      <c r="P1948">
        <f t="shared" si="325"/>
        <v>6.1363636363636367</v>
      </c>
      <c r="Q1948">
        <f t="shared" si="326"/>
        <v>28.787037037037038</v>
      </c>
      <c r="R1948">
        <f t="shared" si="327"/>
        <v>46.23</v>
      </c>
      <c r="S1948" t="str">
        <f t="shared" si="328"/>
        <v>Good</v>
      </c>
      <c r="T1948" t="str">
        <f t="shared" si="329"/>
        <v>PM10</v>
      </c>
      <c r="U1948">
        <v>22.92</v>
      </c>
      <c r="V1948">
        <v>45.56</v>
      </c>
    </row>
    <row r="1949" spans="1:22" x14ac:dyDescent="0.3">
      <c r="A1949" s="2" t="s">
        <v>15</v>
      </c>
      <c r="B1949">
        <v>560026</v>
      </c>
      <c r="C1949" s="4">
        <v>45506</v>
      </c>
      <c r="D1949">
        <v>23.19</v>
      </c>
      <c r="E1949">
        <v>40.29</v>
      </c>
      <c r="F1949">
        <v>12.24</v>
      </c>
      <c r="G1949">
        <v>5.2</v>
      </c>
      <c r="H1949">
        <v>5.48</v>
      </c>
      <c r="I1949">
        <v>0.44</v>
      </c>
      <c r="J1949">
        <v>29.73</v>
      </c>
      <c r="K1949">
        <f t="shared" si="320"/>
        <v>38.65</v>
      </c>
      <c r="L1949">
        <f t="shared" si="321"/>
        <v>40.29</v>
      </c>
      <c r="M1949">
        <f t="shared" si="322"/>
        <v>15.3</v>
      </c>
      <c r="N1949">
        <f t="shared" si="323"/>
        <v>1.3</v>
      </c>
      <c r="O1949">
        <f t="shared" si="324"/>
        <v>6.85</v>
      </c>
      <c r="P1949">
        <f t="shared" si="325"/>
        <v>5</v>
      </c>
      <c r="Q1949">
        <f t="shared" si="326"/>
        <v>27.527777777777779</v>
      </c>
      <c r="R1949">
        <f t="shared" si="327"/>
        <v>40.29</v>
      </c>
      <c r="S1949" t="str">
        <f t="shared" si="328"/>
        <v>Good</v>
      </c>
      <c r="T1949" t="str">
        <f t="shared" si="329"/>
        <v>PM10</v>
      </c>
      <c r="U1949">
        <v>23.14</v>
      </c>
      <c r="V1949">
        <v>43.58</v>
      </c>
    </row>
    <row r="1950" spans="1:22" x14ac:dyDescent="0.3">
      <c r="A1950" s="2" t="s">
        <v>15</v>
      </c>
      <c r="B1950">
        <v>560026</v>
      </c>
      <c r="C1950" s="4">
        <v>45507</v>
      </c>
      <c r="D1950">
        <v>34.590000000000003</v>
      </c>
      <c r="E1950">
        <v>71.48</v>
      </c>
      <c r="F1950">
        <v>12.25</v>
      </c>
      <c r="G1950">
        <v>5.18</v>
      </c>
      <c r="H1950">
        <v>5.78</v>
      </c>
      <c r="I1950">
        <v>0.51</v>
      </c>
      <c r="J1950">
        <v>27.43</v>
      </c>
      <c r="K1950">
        <f t="shared" si="320"/>
        <v>57.650000000000006</v>
      </c>
      <c r="L1950">
        <f t="shared" si="321"/>
        <v>71.48</v>
      </c>
      <c r="M1950">
        <f t="shared" si="322"/>
        <v>15.3125</v>
      </c>
      <c r="N1950">
        <f t="shared" si="323"/>
        <v>1.2949999999999999</v>
      </c>
      <c r="O1950">
        <f t="shared" si="324"/>
        <v>7.2249999999999996</v>
      </c>
      <c r="P1950">
        <f t="shared" si="325"/>
        <v>5.795454545454545</v>
      </c>
      <c r="Q1950">
        <f t="shared" si="326"/>
        <v>25.398148148148149</v>
      </c>
      <c r="R1950">
        <f t="shared" si="327"/>
        <v>71.48</v>
      </c>
      <c r="S1950" t="str">
        <f t="shared" si="328"/>
        <v>Satisfactory</v>
      </c>
      <c r="T1950" t="str">
        <f t="shared" si="329"/>
        <v>PM10</v>
      </c>
      <c r="U1950">
        <v>23.29</v>
      </c>
      <c r="V1950">
        <v>43.16</v>
      </c>
    </row>
    <row r="1951" spans="1:22" x14ac:dyDescent="0.3">
      <c r="A1951" s="2" t="s">
        <v>15</v>
      </c>
      <c r="B1951">
        <v>560026</v>
      </c>
      <c r="C1951" s="4">
        <v>45508</v>
      </c>
      <c r="D1951">
        <v>23.24</v>
      </c>
      <c r="E1951">
        <v>43.22</v>
      </c>
      <c r="F1951">
        <v>12.15</v>
      </c>
      <c r="G1951">
        <v>5.26</v>
      </c>
      <c r="H1951">
        <v>5.8</v>
      </c>
      <c r="I1951">
        <v>0.56000000000000005</v>
      </c>
      <c r="J1951">
        <v>29.02</v>
      </c>
      <c r="K1951">
        <f t="shared" si="320"/>
        <v>38.733333333333334</v>
      </c>
      <c r="L1951">
        <f t="shared" si="321"/>
        <v>43.22</v>
      </c>
      <c r="M1951">
        <f t="shared" si="322"/>
        <v>15.1875</v>
      </c>
      <c r="N1951">
        <f t="shared" si="323"/>
        <v>1.3149999999999999</v>
      </c>
      <c r="O1951">
        <f t="shared" si="324"/>
        <v>7.25</v>
      </c>
      <c r="P1951">
        <f t="shared" si="325"/>
        <v>6.3636363636363642</v>
      </c>
      <c r="Q1951">
        <f t="shared" si="326"/>
        <v>26.87037037037037</v>
      </c>
      <c r="R1951">
        <f t="shared" si="327"/>
        <v>43.22</v>
      </c>
      <c r="S1951" t="str">
        <f t="shared" si="328"/>
        <v>Good</v>
      </c>
      <c r="T1951" t="str">
        <f t="shared" si="329"/>
        <v>PM10</v>
      </c>
      <c r="U1951">
        <v>24.4</v>
      </c>
      <c r="V1951">
        <v>43.83</v>
      </c>
    </row>
    <row r="1952" spans="1:22" x14ac:dyDescent="0.3">
      <c r="A1952" s="2" t="s">
        <v>15</v>
      </c>
      <c r="B1952">
        <v>560026</v>
      </c>
      <c r="C1952" s="4">
        <v>45509</v>
      </c>
      <c r="D1952">
        <v>23.45</v>
      </c>
      <c r="E1952">
        <v>43.79</v>
      </c>
      <c r="F1952">
        <v>12.23</v>
      </c>
      <c r="G1952">
        <v>5.21</v>
      </c>
      <c r="H1952">
        <v>5.45</v>
      </c>
      <c r="I1952">
        <v>0.88</v>
      </c>
      <c r="J1952">
        <v>29.62</v>
      </c>
      <c r="K1952">
        <f t="shared" si="320"/>
        <v>39.083333333333336</v>
      </c>
      <c r="L1952">
        <f t="shared" si="321"/>
        <v>43.79</v>
      </c>
      <c r="M1952">
        <f t="shared" si="322"/>
        <v>15.2875</v>
      </c>
      <c r="N1952">
        <f t="shared" si="323"/>
        <v>1.3025</v>
      </c>
      <c r="O1952">
        <f t="shared" si="324"/>
        <v>6.8125</v>
      </c>
      <c r="P1952">
        <f t="shared" si="325"/>
        <v>10</v>
      </c>
      <c r="Q1952">
        <f t="shared" si="326"/>
        <v>27.425925925925927</v>
      </c>
      <c r="R1952">
        <f t="shared" si="327"/>
        <v>43.79</v>
      </c>
      <c r="S1952" t="str">
        <f t="shared" si="328"/>
        <v>Good</v>
      </c>
      <c r="T1952" t="str">
        <f t="shared" si="329"/>
        <v>PM10</v>
      </c>
      <c r="U1952">
        <v>24.2</v>
      </c>
      <c r="V1952">
        <v>47.64</v>
      </c>
    </row>
    <row r="1953" spans="1:22" x14ac:dyDescent="0.3">
      <c r="A1953" s="2" t="s">
        <v>15</v>
      </c>
      <c r="B1953">
        <v>560026</v>
      </c>
      <c r="C1953" s="4">
        <v>45510</v>
      </c>
      <c r="D1953">
        <v>20.64</v>
      </c>
      <c r="E1953">
        <v>36.49</v>
      </c>
      <c r="F1953">
        <v>12.21</v>
      </c>
      <c r="G1953">
        <v>5.24</v>
      </c>
      <c r="H1953">
        <v>6.05</v>
      </c>
      <c r="I1953">
        <v>0.44</v>
      </c>
      <c r="J1953">
        <v>29.35</v>
      </c>
      <c r="K1953">
        <f t="shared" si="320"/>
        <v>34.4</v>
      </c>
      <c r="L1953">
        <f t="shared" si="321"/>
        <v>36.49</v>
      </c>
      <c r="M1953">
        <f t="shared" si="322"/>
        <v>15.262499999999999</v>
      </c>
      <c r="N1953">
        <f t="shared" si="323"/>
        <v>1.31</v>
      </c>
      <c r="O1953">
        <f t="shared" si="324"/>
        <v>7.5625</v>
      </c>
      <c r="P1953">
        <f t="shared" si="325"/>
        <v>5</v>
      </c>
      <c r="Q1953">
        <f t="shared" si="326"/>
        <v>27.175925925925927</v>
      </c>
      <c r="R1953">
        <f t="shared" si="327"/>
        <v>36.49</v>
      </c>
      <c r="S1953" t="str">
        <f t="shared" si="328"/>
        <v>Good</v>
      </c>
      <c r="T1953" t="str">
        <f t="shared" si="329"/>
        <v>PM10</v>
      </c>
      <c r="U1953">
        <v>23.23</v>
      </c>
      <c r="V1953">
        <v>59.58</v>
      </c>
    </row>
    <row r="1954" spans="1:22" x14ac:dyDescent="0.3">
      <c r="A1954" s="2" t="s">
        <v>15</v>
      </c>
      <c r="B1954">
        <v>560026</v>
      </c>
      <c r="C1954" s="4">
        <v>45511</v>
      </c>
      <c r="D1954">
        <v>30.5</v>
      </c>
      <c r="E1954">
        <v>61.1</v>
      </c>
      <c r="F1954">
        <v>12.2</v>
      </c>
      <c r="G1954">
        <v>5.29</v>
      </c>
      <c r="H1954">
        <v>5.24</v>
      </c>
      <c r="I1954">
        <v>0.75</v>
      </c>
      <c r="J1954">
        <v>27.41</v>
      </c>
      <c r="K1954">
        <f t="shared" si="320"/>
        <v>50.833333333333336</v>
      </c>
      <c r="L1954">
        <f t="shared" si="321"/>
        <v>61.1</v>
      </c>
      <c r="M1954">
        <f t="shared" si="322"/>
        <v>15.25</v>
      </c>
      <c r="N1954">
        <f t="shared" si="323"/>
        <v>1.3225</v>
      </c>
      <c r="O1954">
        <f t="shared" si="324"/>
        <v>6.55</v>
      </c>
      <c r="P1954">
        <f t="shared" si="325"/>
        <v>8.5227272727272734</v>
      </c>
      <c r="Q1954">
        <f t="shared" si="326"/>
        <v>25.37962962962963</v>
      </c>
      <c r="R1954">
        <f t="shared" si="327"/>
        <v>61.1</v>
      </c>
      <c r="S1954" t="str">
        <f t="shared" si="328"/>
        <v>Satisfactory</v>
      </c>
      <c r="T1954" t="str">
        <f t="shared" si="329"/>
        <v>PM10</v>
      </c>
      <c r="U1954">
        <v>22.93</v>
      </c>
      <c r="V1954">
        <v>57.92</v>
      </c>
    </row>
    <row r="1955" spans="1:22" x14ac:dyDescent="0.3">
      <c r="A1955" s="2" t="s">
        <v>15</v>
      </c>
      <c r="B1955">
        <v>560026</v>
      </c>
      <c r="C1955" s="4">
        <v>45512</v>
      </c>
      <c r="D1955">
        <v>30.86</v>
      </c>
      <c r="E1955">
        <v>62.31</v>
      </c>
      <c r="F1955">
        <v>12.18</v>
      </c>
      <c r="G1955">
        <v>5.19</v>
      </c>
      <c r="H1955">
        <v>4.87</v>
      </c>
      <c r="I1955">
        <v>0.57999999999999996</v>
      </c>
      <c r="J1955">
        <v>27.93</v>
      </c>
      <c r="K1955">
        <f t="shared" si="320"/>
        <v>51.43333333333333</v>
      </c>
      <c r="L1955">
        <f t="shared" si="321"/>
        <v>62.31</v>
      </c>
      <c r="M1955">
        <f t="shared" si="322"/>
        <v>15.225</v>
      </c>
      <c r="N1955">
        <f t="shared" si="323"/>
        <v>1.2975000000000001</v>
      </c>
      <c r="O1955">
        <f t="shared" si="324"/>
        <v>6.0875000000000004</v>
      </c>
      <c r="P1955">
        <f t="shared" si="325"/>
        <v>6.5909090909090899</v>
      </c>
      <c r="Q1955">
        <f t="shared" si="326"/>
        <v>25.861111111111111</v>
      </c>
      <c r="R1955">
        <f t="shared" si="327"/>
        <v>62.31</v>
      </c>
      <c r="S1955" t="str">
        <f t="shared" si="328"/>
        <v>Satisfactory</v>
      </c>
      <c r="T1955" t="str">
        <f t="shared" si="329"/>
        <v>PM10</v>
      </c>
      <c r="U1955">
        <v>23.66</v>
      </c>
      <c r="V1955">
        <v>57.41</v>
      </c>
    </row>
    <row r="1956" spans="1:22" x14ac:dyDescent="0.3">
      <c r="A1956" s="2" t="s">
        <v>15</v>
      </c>
      <c r="B1956">
        <v>560026</v>
      </c>
      <c r="C1956" s="4">
        <v>45513</v>
      </c>
      <c r="D1956">
        <v>38.81</v>
      </c>
      <c r="E1956">
        <v>81.93</v>
      </c>
      <c r="F1956">
        <v>12.27</v>
      </c>
      <c r="G1956">
        <v>5.24</v>
      </c>
      <c r="H1956">
        <v>6.36</v>
      </c>
      <c r="I1956">
        <v>0.79</v>
      </c>
      <c r="J1956">
        <v>27.89</v>
      </c>
      <c r="K1956">
        <f t="shared" si="320"/>
        <v>64.683333333333337</v>
      </c>
      <c r="L1956">
        <f t="shared" si="321"/>
        <v>81.93</v>
      </c>
      <c r="M1956">
        <f t="shared" si="322"/>
        <v>15.3375</v>
      </c>
      <c r="N1956">
        <f t="shared" si="323"/>
        <v>1.31</v>
      </c>
      <c r="O1956">
        <f t="shared" si="324"/>
        <v>7.95</v>
      </c>
      <c r="P1956">
        <f t="shared" si="325"/>
        <v>8.9772727272727266</v>
      </c>
      <c r="Q1956">
        <f t="shared" si="326"/>
        <v>25.824074074074076</v>
      </c>
      <c r="R1956">
        <f t="shared" si="327"/>
        <v>81.93</v>
      </c>
      <c r="S1956" t="str">
        <f t="shared" si="328"/>
        <v>Satisfactory</v>
      </c>
      <c r="T1956" t="str">
        <f t="shared" si="329"/>
        <v>PM10</v>
      </c>
      <c r="U1956">
        <v>24.74</v>
      </c>
      <c r="V1956">
        <v>54.8</v>
      </c>
    </row>
    <row r="1957" spans="1:22" x14ac:dyDescent="0.3">
      <c r="A1957" s="2" t="s">
        <v>15</v>
      </c>
      <c r="B1957">
        <v>560026</v>
      </c>
      <c r="C1957" s="4">
        <v>45514</v>
      </c>
      <c r="D1957">
        <v>39.770000000000003</v>
      </c>
      <c r="E1957">
        <v>84.39</v>
      </c>
      <c r="F1957">
        <v>12.33</v>
      </c>
      <c r="G1957">
        <v>5.18</v>
      </c>
      <c r="H1957">
        <v>5.32</v>
      </c>
      <c r="I1957">
        <v>0.9</v>
      </c>
      <c r="J1957">
        <v>28.5</v>
      </c>
      <c r="K1957">
        <f t="shared" si="320"/>
        <v>66.283333333333331</v>
      </c>
      <c r="L1957">
        <f t="shared" si="321"/>
        <v>84.39</v>
      </c>
      <c r="M1957">
        <f t="shared" si="322"/>
        <v>15.4125</v>
      </c>
      <c r="N1957">
        <f t="shared" si="323"/>
        <v>1.2949999999999999</v>
      </c>
      <c r="O1957">
        <f t="shared" si="324"/>
        <v>6.65</v>
      </c>
      <c r="P1957">
        <f t="shared" si="325"/>
        <v>10.227272727272727</v>
      </c>
      <c r="Q1957">
        <f t="shared" si="326"/>
        <v>26.388888888888889</v>
      </c>
      <c r="R1957">
        <f t="shared" si="327"/>
        <v>84.39</v>
      </c>
      <c r="S1957" t="str">
        <f t="shared" si="328"/>
        <v>Satisfactory</v>
      </c>
      <c r="T1957" t="str">
        <f t="shared" si="329"/>
        <v>PM10</v>
      </c>
      <c r="U1957">
        <v>24.75</v>
      </c>
      <c r="V1957">
        <v>60.48</v>
      </c>
    </row>
    <row r="1958" spans="1:22" x14ac:dyDescent="0.3">
      <c r="A1958" s="2" t="s">
        <v>15</v>
      </c>
      <c r="B1958">
        <v>560026</v>
      </c>
      <c r="C1958" s="4">
        <v>45515</v>
      </c>
      <c r="D1958">
        <v>41.48</v>
      </c>
      <c r="E1958">
        <v>88.61</v>
      </c>
      <c r="F1958">
        <v>12.15</v>
      </c>
      <c r="G1958">
        <v>5.23</v>
      </c>
      <c r="H1958">
        <v>4.8899999999999997</v>
      </c>
      <c r="I1958">
        <v>0.99</v>
      </c>
      <c r="J1958">
        <v>27.32</v>
      </c>
      <c r="K1958">
        <f t="shared" si="320"/>
        <v>69.133333333333326</v>
      </c>
      <c r="L1958">
        <f t="shared" si="321"/>
        <v>88.61</v>
      </c>
      <c r="M1958">
        <f t="shared" si="322"/>
        <v>15.1875</v>
      </c>
      <c r="N1958">
        <f t="shared" si="323"/>
        <v>1.3075000000000001</v>
      </c>
      <c r="O1958">
        <f t="shared" si="324"/>
        <v>6.1124999999999989</v>
      </c>
      <c r="P1958">
        <f t="shared" si="325"/>
        <v>11.25</v>
      </c>
      <c r="Q1958">
        <f t="shared" si="326"/>
        <v>25.296296296296298</v>
      </c>
      <c r="R1958">
        <f t="shared" si="327"/>
        <v>88.61</v>
      </c>
      <c r="S1958" t="str">
        <f t="shared" si="328"/>
        <v>Satisfactory</v>
      </c>
      <c r="T1958" t="str">
        <f t="shared" si="329"/>
        <v>PM10</v>
      </c>
      <c r="U1958">
        <v>26.28</v>
      </c>
      <c r="V1958">
        <v>54.59</v>
      </c>
    </row>
    <row r="1959" spans="1:22" x14ac:dyDescent="0.3">
      <c r="A1959" s="2" t="s">
        <v>15</v>
      </c>
      <c r="B1959">
        <v>560026</v>
      </c>
      <c r="C1959" s="4">
        <v>45516</v>
      </c>
      <c r="D1959">
        <v>51.31</v>
      </c>
      <c r="E1959">
        <v>113.04</v>
      </c>
      <c r="F1959">
        <v>12.23</v>
      </c>
      <c r="G1959">
        <v>5.18</v>
      </c>
      <c r="H1959">
        <v>4.97</v>
      </c>
      <c r="I1959">
        <v>1.22</v>
      </c>
      <c r="J1959">
        <v>28.22</v>
      </c>
      <c r="K1959">
        <f t="shared" si="320"/>
        <v>85.516666666666666</v>
      </c>
      <c r="L1959">
        <f t="shared" si="321"/>
        <v>108.69333333333334</v>
      </c>
      <c r="M1959">
        <f t="shared" si="322"/>
        <v>15.2875</v>
      </c>
      <c r="N1959">
        <f t="shared" si="323"/>
        <v>1.2949999999999999</v>
      </c>
      <c r="O1959">
        <f t="shared" si="324"/>
        <v>6.2125000000000004</v>
      </c>
      <c r="P1959">
        <f t="shared" si="325"/>
        <v>13.863636363636363</v>
      </c>
      <c r="Q1959">
        <f t="shared" si="326"/>
        <v>26.12962962962963</v>
      </c>
      <c r="R1959">
        <f t="shared" si="327"/>
        <v>108.69333333333334</v>
      </c>
      <c r="S1959" t="str">
        <f t="shared" si="328"/>
        <v>Moderate</v>
      </c>
      <c r="T1959" t="str">
        <f t="shared" si="329"/>
        <v>PM10</v>
      </c>
      <c r="U1959">
        <v>26.08</v>
      </c>
      <c r="V1959">
        <v>55.93</v>
      </c>
    </row>
    <row r="1960" spans="1:22" x14ac:dyDescent="0.3">
      <c r="A1960" s="2" t="s">
        <v>15</v>
      </c>
      <c r="B1960">
        <v>560026</v>
      </c>
      <c r="C1960" s="4">
        <v>45517</v>
      </c>
      <c r="D1960">
        <v>46.72</v>
      </c>
      <c r="E1960">
        <v>101.91</v>
      </c>
      <c r="F1960">
        <v>12.22</v>
      </c>
      <c r="G1960">
        <v>5.22</v>
      </c>
      <c r="H1960">
        <v>4.8099999999999996</v>
      </c>
      <c r="I1960">
        <v>0.88</v>
      </c>
      <c r="J1960">
        <v>30.01</v>
      </c>
      <c r="K1960">
        <f t="shared" si="320"/>
        <v>77.866666666666674</v>
      </c>
      <c r="L1960">
        <f t="shared" si="321"/>
        <v>101.27333333333333</v>
      </c>
      <c r="M1960">
        <f t="shared" si="322"/>
        <v>15.275</v>
      </c>
      <c r="N1960">
        <f t="shared" si="323"/>
        <v>1.3049999999999999</v>
      </c>
      <c r="O1960">
        <f t="shared" si="324"/>
        <v>6.0124999999999993</v>
      </c>
      <c r="P1960">
        <f t="shared" si="325"/>
        <v>10</v>
      </c>
      <c r="Q1960">
        <f t="shared" si="326"/>
        <v>27.787037037037038</v>
      </c>
      <c r="R1960">
        <f t="shared" si="327"/>
        <v>101.27333333333333</v>
      </c>
      <c r="S1960" t="str">
        <f t="shared" si="328"/>
        <v>Moderate</v>
      </c>
      <c r="T1960" t="str">
        <f t="shared" si="329"/>
        <v>PM10</v>
      </c>
      <c r="U1960">
        <v>27.57</v>
      </c>
      <c r="V1960">
        <v>57.6</v>
      </c>
    </row>
    <row r="1961" spans="1:22" x14ac:dyDescent="0.3">
      <c r="A1961" s="2" t="s">
        <v>15</v>
      </c>
      <c r="B1961">
        <v>560026</v>
      </c>
      <c r="C1961" s="4">
        <v>45518</v>
      </c>
      <c r="D1961">
        <v>47.76</v>
      </c>
      <c r="E1961">
        <v>104.3</v>
      </c>
      <c r="F1961">
        <v>12.2</v>
      </c>
      <c r="G1961">
        <v>5.28</v>
      </c>
      <c r="H1961">
        <v>4.6900000000000004</v>
      </c>
      <c r="I1961">
        <v>0.86</v>
      </c>
      <c r="J1961">
        <v>35.21</v>
      </c>
      <c r="K1961">
        <f t="shared" si="320"/>
        <v>79.599999999999994</v>
      </c>
      <c r="L1961">
        <f t="shared" si="321"/>
        <v>102.86666666666666</v>
      </c>
      <c r="M1961">
        <f t="shared" si="322"/>
        <v>15.25</v>
      </c>
      <c r="N1961">
        <f t="shared" si="323"/>
        <v>1.32</v>
      </c>
      <c r="O1961">
        <f t="shared" si="324"/>
        <v>5.8625000000000007</v>
      </c>
      <c r="P1961">
        <f t="shared" si="325"/>
        <v>9.7727272727272716</v>
      </c>
      <c r="Q1961">
        <f t="shared" si="326"/>
        <v>32.601851851851855</v>
      </c>
      <c r="R1961">
        <f t="shared" si="327"/>
        <v>102.86666666666666</v>
      </c>
      <c r="S1961" t="str">
        <f t="shared" si="328"/>
        <v>Moderate</v>
      </c>
      <c r="T1961" t="str">
        <f t="shared" si="329"/>
        <v>PM10</v>
      </c>
      <c r="U1961">
        <v>28.1</v>
      </c>
      <c r="V1961">
        <v>54.98</v>
      </c>
    </row>
    <row r="1962" spans="1:22" x14ac:dyDescent="0.3">
      <c r="A1962" s="2" t="s">
        <v>15</v>
      </c>
      <c r="B1962">
        <v>560026</v>
      </c>
      <c r="C1962" s="4">
        <v>45519</v>
      </c>
      <c r="D1962">
        <v>34.33</v>
      </c>
      <c r="E1962">
        <v>71.22</v>
      </c>
      <c r="F1962">
        <v>12.28</v>
      </c>
      <c r="G1962">
        <v>5.21</v>
      </c>
      <c r="H1962">
        <v>5.21</v>
      </c>
      <c r="I1962">
        <v>1.08</v>
      </c>
      <c r="J1962">
        <v>33.67</v>
      </c>
      <c r="K1962">
        <f t="shared" si="320"/>
        <v>57.216666666666661</v>
      </c>
      <c r="L1962">
        <f t="shared" si="321"/>
        <v>71.22</v>
      </c>
      <c r="M1962">
        <f t="shared" si="322"/>
        <v>15.35</v>
      </c>
      <c r="N1962">
        <f t="shared" si="323"/>
        <v>1.3025</v>
      </c>
      <c r="O1962">
        <f t="shared" si="324"/>
        <v>6.5125000000000002</v>
      </c>
      <c r="P1962">
        <f t="shared" si="325"/>
        <v>12.272727272727273</v>
      </c>
      <c r="Q1962">
        <f t="shared" si="326"/>
        <v>31.175925925925927</v>
      </c>
      <c r="R1962">
        <f t="shared" si="327"/>
        <v>71.22</v>
      </c>
      <c r="S1962" t="str">
        <f t="shared" si="328"/>
        <v>Satisfactory</v>
      </c>
      <c r="T1962" t="str">
        <f t="shared" si="329"/>
        <v>PM10</v>
      </c>
      <c r="U1962">
        <v>26.7</v>
      </c>
      <c r="V1962">
        <v>59.31</v>
      </c>
    </row>
    <row r="1963" spans="1:22" x14ac:dyDescent="0.3">
      <c r="A1963" s="2" t="s">
        <v>15</v>
      </c>
      <c r="B1963">
        <v>560026</v>
      </c>
      <c r="C1963" s="4">
        <v>45520</v>
      </c>
      <c r="D1963">
        <v>33.630000000000003</v>
      </c>
      <c r="E1963">
        <v>69.02</v>
      </c>
      <c r="F1963">
        <v>12.3</v>
      </c>
      <c r="G1963">
        <v>5.15</v>
      </c>
      <c r="H1963">
        <v>5</v>
      </c>
      <c r="I1963">
        <v>1.1000000000000001</v>
      </c>
      <c r="J1963">
        <v>38.74</v>
      </c>
      <c r="K1963">
        <f t="shared" si="320"/>
        <v>56.050000000000004</v>
      </c>
      <c r="L1963">
        <f t="shared" si="321"/>
        <v>69.02</v>
      </c>
      <c r="M1963">
        <f t="shared" si="322"/>
        <v>15.375</v>
      </c>
      <c r="N1963">
        <f t="shared" si="323"/>
        <v>1.2875000000000001</v>
      </c>
      <c r="O1963">
        <f t="shared" si="324"/>
        <v>6.25</v>
      </c>
      <c r="P1963">
        <f t="shared" si="325"/>
        <v>12.5</v>
      </c>
      <c r="Q1963">
        <f t="shared" si="326"/>
        <v>35.870370370370374</v>
      </c>
      <c r="R1963">
        <f t="shared" si="327"/>
        <v>69.02</v>
      </c>
      <c r="S1963" t="str">
        <f t="shared" si="328"/>
        <v>Satisfactory</v>
      </c>
      <c r="T1963" t="str">
        <f t="shared" si="329"/>
        <v>PM10</v>
      </c>
      <c r="U1963">
        <v>26.39</v>
      </c>
      <c r="V1963">
        <v>62.4</v>
      </c>
    </row>
    <row r="1964" spans="1:22" x14ac:dyDescent="0.3">
      <c r="A1964" s="2" t="s">
        <v>15</v>
      </c>
      <c r="B1964">
        <v>560026</v>
      </c>
      <c r="C1964" s="4">
        <v>45521</v>
      </c>
      <c r="D1964">
        <v>26.15</v>
      </c>
      <c r="E1964">
        <v>50.36</v>
      </c>
      <c r="F1964">
        <v>12.4</v>
      </c>
      <c r="G1964">
        <v>5.18</v>
      </c>
      <c r="H1964">
        <v>4.8600000000000003</v>
      </c>
      <c r="I1964">
        <v>0.76</v>
      </c>
      <c r="J1964">
        <v>37.68</v>
      </c>
      <c r="K1964">
        <f t="shared" si="320"/>
        <v>43.583333333333336</v>
      </c>
      <c r="L1964">
        <f t="shared" si="321"/>
        <v>50.36</v>
      </c>
      <c r="M1964">
        <f t="shared" si="322"/>
        <v>15.5</v>
      </c>
      <c r="N1964">
        <f t="shared" si="323"/>
        <v>1.2949999999999999</v>
      </c>
      <c r="O1964">
        <f t="shared" si="324"/>
        <v>6.0750000000000011</v>
      </c>
      <c r="P1964">
        <f t="shared" si="325"/>
        <v>8.6363636363636367</v>
      </c>
      <c r="Q1964">
        <f t="shared" si="326"/>
        <v>34.888888888888886</v>
      </c>
      <c r="R1964">
        <f t="shared" si="327"/>
        <v>50.36</v>
      </c>
      <c r="S1964" t="str">
        <f t="shared" si="328"/>
        <v>Satisfactory</v>
      </c>
      <c r="T1964" t="str">
        <f t="shared" si="329"/>
        <v>PM10</v>
      </c>
      <c r="U1964">
        <v>27.34</v>
      </c>
      <c r="V1964">
        <v>61.2</v>
      </c>
    </row>
    <row r="1965" spans="1:22" x14ac:dyDescent="0.3">
      <c r="A1965" s="2" t="s">
        <v>15</v>
      </c>
      <c r="B1965">
        <v>560026</v>
      </c>
      <c r="C1965" s="4">
        <v>45522</v>
      </c>
      <c r="D1965">
        <v>39.7496978</v>
      </c>
      <c r="E1965">
        <v>77.871126369999999</v>
      </c>
      <c r="F1965">
        <v>12.26</v>
      </c>
      <c r="G1965">
        <v>5.29</v>
      </c>
      <c r="H1965">
        <v>4.8099999999999996</v>
      </c>
      <c r="I1965">
        <v>0.99</v>
      </c>
      <c r="J1965">
        <v>34.82</v>
      </c>
      <c r="K1965">
        <f t="shared" si="320"/>
        <v>66.249496333333326</v>
      </c>
      <c r="L1965">
        <f t="shared" si="321"/>
        <v>77.871126369999999</v>
      </c>
      <c r="M1965">
        <f t="shared" si="322"/>
        <v>15.324999999999999</v>
      </c>
      <c r="N1965">
        <f t="shared" si="323"/>
        <v>1.3225</v>
      </c>
      <c r="O1965">
        <f t="shared" si="324"/>
        <v>6.0124999999999993</v>
      </c>
      <c r="P1965">
        <f t="shared" si="325"/>
        <v>11.25</v>
      </c>
      <c r="Q1965">
        <f t="shared" si="326"/>
        <v>32.24074074074074</v>
      </c>
      <c r="R1965">
        <f t="shared" si="327"/>
        <v>77.871126369999999</v>
      </c>
      <c r="S1965" t="str">
        <f t="shared" si="328"/>
        <v>Satisfactory</v>
      </c>
      <c r="T1965" t="str">
        <f t="shared" si="329"/>
        <v>PM10</v>
      </c>
      <c r="U1965">
        <v>25.39</v>
      </c>
      <c r="V1965">
        <v>70.75</v>
      </c>
    </row>
    <row r="1966" spans="1:22" x14ac:dyDescent="0.3">
      <c r="A1966" s="2" t="s">
        <v>15</v>
      </c>
      <c r="B1966">
        <v>560026</v>
      </c>
      <c r="C1966" s="4">
        <v>45523</v>
      </c>
      <c r="D1966">
        <v>57.57</v>
      </c>
      <c r="E1966">
        <v>68.56</v>
      </c>
      <c r="F1966">
        <v>12.31</v>
      </c>
      <c r="G1966">
        <v>5.22</v>
      </c>
      <c r="H1966">
        <v>5.13</v>
      </c>
      <c r="I1966">
        <v>0.69</v>
      </c>
      <c r="J1966">
        <v>33.18</v>
      </c>
      <c r="K1966">
        <f t="shared" si="320"/>
        <v>95.95</v>
      </c>
      <c r="L1966">
        <f t="shared" si="321"/>
        <v>68.56</v>
      </c>
      <c r="M1966">
        <f t="shared" si="322"/>
        <v>15.387499999999999</v>
      </c>
      <c r="N1966">
        <f t="shared" si="323"/>
        <v>1.3049999999999999</v>
      </c>
      <c r="O1966">
        <f t="shared" si="324"/>
        <v>6.4124999999999996</v>
      </c>
      <c r="P1966">
        <f t="shared" si="325"/>
        <v>7.8409090909090899</v>
      </c>
      <c r="Q1966">
        <f t="shared" si="326"/>
        <v>30.722222222222221</v>
      </c>
      <c r="R1966">
        <f t="shared" si="327"/>
        <v>95.95</v>
      </c>
      <c r="S1966" t="str">
        <f t="shared" si="328"/>
        <v>Satisfactory</v>
      </c>
      <c r="T1966" t="str">
        <f t="shared" si="329"/>
        <v>PM2.5</v>
      </c>
      <c r="U1966">
        <v>25.7</v>
      </c>
      <c r="V1966">
        <v>72.45</v>
      </c>
    </row>
    <row r="1967" spans="1:22" x14ac:dyDescent="0.3">
      <c r="A1967" s="2" t="s">
        <v>15</v>
      </c>
      <c r="B1967">
        <v>560026</v>
      </c>
      <c r="C1967" s="4">
        <v>45524</v>
      </c>
      <c r="D1967">
        <v>38.42</v>
      </c>
      <c r="E1967">
        <v>81.459999999999994</v>
      </c>
      <c r="F1967">
        <v>12.23</v>
      </c>
      <c r="G1967">
        <v>5.2</v>
      </c>
      <c r="H1967">
        <v>4.82</v>
      </c>
      <c r="I1967">
        <v>0.72</v>
      </c>
      <c r="J1967">
        <v>36.659999999999997</v>
      </c>
      <c r="K1967">
        <f t="shared" si="320"/>
        <v>64.033333333333331</v>
      </c>
      <c r="L1967">
        <f t="shared" si="321"/>
        <v>81.459999999999994</v>
      </c>
      <c r="M1967">
        <f t="shared" si="322"/>
        <v>15.2875</v>
      </c>
      <c r="N1967">
        <f t="shared" si="323"/>
        <v>1.3</v>
      </c>
      <c r="O1967">
        <f t="shared" si="324"/>
        <v>6.0250000000000004</v>
      </c>
      <c r="P1967">
        <f t="shared" si="325"/>
        <v>8.1818181818181817</v>
      </c>
      <c r="Q1967">
        <f t="shared" si="326"/>
        <v>33.944444444444443</v>
      </c>
      <c r="R1967">
        <f t="shared" si="327"/>
        <v>81.459999999999994</v>
      </c>
      <c r="S1967" t="str">
        <f t="shared" si="328"/>
        <v>Satisfactory</v>
      </c>
      <c r="T1967" t="str">
        <f t="shared" si="329"/>
        <v>PM10</v>
      </c>
      <c r="U1967">
        <v>26.23</v>
      </c>
      <c r="V1967">
        <v>60.12</v>
      </c>
    </row>
    <row r="1968" spans="1:22" x14ac:dyDescent="0.3">
      <c r="A1968" s="2" t="s">
        <v>15</v>
      </c>
      <c r="B1968">
        <v>560026</v>
      </c>
      <c r="C1968" s="4">
        <v>45525</v>
      </c>
      <c r="D1968">
        <v>20.13</v>
      </c>
      <c r="E1968">
        <v>35.35</v>
      </c>
      <c r="F1968">
        <v>12.21</v>
      </c>
      <c r="G1968">
        <v>5.21</v>
      </c>
      <c r="H1968">
        <v>4.99</v>
      </c>
      <c r="I1968">
        <v>0.46</v>
      </c>
      <c r="J1968">
        <v>33</v>
      </c>
      <c r="K1968">
        <f t="shared" si="320"/>
        <v>33.549999999999997</v>
      </c>
      <c r="L1968">
        <f t="shared" si="321"/>
        <v>35.35</v>
      </c>
      <c r="M1968">
        <f t="shared" si="322"/>
        <v>15.262499999999999</v>
      </c>
      <c r="N1968">
        <f t="shared" si="323"/>
        <v>1.3025</v>
      </c>
      <c r="O1968">
        <f t="shared" si="324"/>
        <v>6.2374999999999998</v>
      </c>
      <c r="P1968">
        <f t="shared" si="325"/>
        <v>5.2272727272727275</v>
      </c>
      <c r="Q1968">
        <f t="shared" si="326"/>
        <v>30.555555555555557</v>
      </c>
      <c r="R1968">
        <f t="shared" si="327"/>
        <v>35.35</v>
      </c>
      <c r="S1968" t="str">
        <f t="shared" si="328"/>
        <v>Good</v>
      </c>
      <c r="T1968" t="str">
        <f t="shared" si="329"/>
        <v>PM10</v>
      </c>
      <c r="U1968">
        <v>25.39</v>
      </c>
      <c r="V1968">
        <v>59.46</v>
      </c>
    </row>
    <row r="1969" spans="1:22" x14ac:dyDescent="0.3">
      <c r="A1969" s="2" t="s">
        <v>15</v>
      </c>
      <c r="B1969">
        <v>560026</v>
      </c>
      <c r="C1969" s="4">
        <v>45526</v>
      </c>
      <c r="D1969">
        <v>23.52</v>
      </c>
      <c r="E1969">
        <v>43.74</v>
      </c>
      <c r="F1969">
        <v>12.12</v>
      </c>
      <c r="G1969">
        <v>5.29</v>
      </c>
      <c r="H1969">
        <v>4.53</v>
      </c>
      <c r="I1969">
        <v>0.36</v>
      </c>
      <c r="J1969">
        <v>33.08</v>
      </c>
      <c r="K1969">
        <f t="shared" si="320"/>
        <v>39.200000000000003</v>
      </c>
      <c r="L1969">
        <f t="shared" si="321"/>
        <v>43.74</v>
      </c>
      <c r="M1969">
        <f t="shared" si="322"/>
        <v>15.15</v>
      </c>
      <c r="N1969">
        <f t="shared" si="323"/>
        <v>1.3225</v>
      </c>
      <c r="O1969">
        <f t="shared" si="324"/>
        <v>5.6624999999999996</v>
      </c>
      <c r="P1969">
        <f t="shared" si="325"/>
        <v>4.0909090909090908</v>
      </c>
      <c r="Q1969">
        <f t="shared" si="326"/>
        <v>30.62962962962963</v>
      </c>
      <c r="R1969">
        <f t="shared" si="327"/>
        <v>43.74</v>
      </c>
      <c r="S1969" t="str">
        <f t="shared" si="328"/>
        <v>Good</v>
      </c>
      <c r="T1969" t="str">
        <f t="shared" si="329"/>
        <v>PM10</v>
      </c>
      <c r="U1969">
        <v>24.6</v>
      </c>
      <c r="V1969">
        <v>52.62</v>
      </c>
    </row>
    <row r="1970" spans="1:22" x14ac:dyDescent="0.3">
      <c r="A1970" s="2" t="s">
        <v>15</v>
      </c>
      <c r="B1970">
        <v>560026</v>
      </c>
      <c r="C1970" s="4">
        <v>45527</v>
      </c>
      <c r="D1970">
        <v>32.79</v>
      </c>
      <c r="E1970">
        <v>66.97</v>
      </c>
      <c r="F1970">
        <v>12.25</v>
      </c>
      <c r="G1970">
        <v>5.27</v>
      </c>
      <c r="H1970">
        <v>4.7300000000000004</v>
      </c>
      <c r="I1970">
        <v>0.41</v>
      </c>
      <c r="J1970">
        <v>31.11</v>
      </c>
      <c r="K1970">
        <f t="shared" si="320"/>
        <v>54.65</v>
      </c>
      <c r="L1970">
        <f t="shared" si="321"/>
        <v>66.97</v>
      </c>
      <c r="M1970">
        <f t="shared" si="322"/>
        <v>15.3125</v>
      </c>
      <c r="N1970">
        <f t="shared" si="323"/>
        <v>1.3174999999999999</v>
      </c>
      <c r="O1970">
        <f t="shared" si="324"/>
        <v>5.9125000000000005</v>
      </c>
      <c r="P1970">
        <f t="shared" si="325"/>
        <v>4.6590909090909083</v>
      </c>
      <c r="Q1970">
        <f t="shared" si="326"/>
        <v>28.805555555555554</v>
      </c>
      <c r="R1970">
        <f t="shared" si="327"/>
        <v>66.97</v>
      </c>
      <c r="S1970" t="str">
        <f t="shared" si="328"/>
        <v>Satisfactory</v>
      </c>
      <c r="T1970" t="str">
        <f t="shared" si="329"/>
        <v>PM10</v>
      </c>
      <c r="U1970">
        <v>25.31</v>
      </c>
      <c r="V1970">
        <v>53.28</v>
      </c>
    </row>
    <row r="1971" spans="1:22" x14ac:dyDescent="0.3">
      <c r="A1971" s="2" t="s">
        <v>15</v>
      </c>
      <c r="B1971">
        <v>560026</v>
      </c>
      <c r="C1971" s="4">
        <v>45528</v>
      </c>
      <c r="D1971">
        <v>24.69</v>
      </c>
      <c r="E1971">
        <v>46.43</v>
      </c>
      <c r="F1971">
        <v>12.31</v>
      </c>
      <c r="G1971">
        <v>5.16</v>
      </c>
      <c r="H1971">
        <v>5.08</v>
      </c>
      <c r="I1971">
        <v>0.38</v>
      </c>
      <c r="J1971">
        <v>31.88</v>
      </c>
      <c r="K1971">
        <f t="shared" si="320"/>
        <v>41.15</v>
      </c>
      <c r="L1971">
        <f t="shared" si="321"/>
        <v>46.43</v>
      </c>
      <c r="M1971">
        <f t="shared" si="322"/>
        <v>15.387499999999999</v>
      </c>
      <c r="N1971">
        <f t="shared" si="323"/>
        <v>1.29</v>
      </c>
      <c r="O1971">
        <f t="shared" si="324"/>
        <v>6.35</v>
      </c>
      <c r="P1971">
        <f t="shared" si="325"/>
        <v>4.3181818181818183</v>
      </c>
      <c r="Q1971">
        <f t="shared" si="326"/>
        <v>29.518518518518519</v>
      </c>
      <c r="R1971">
        <f t="shared" si="327"/>
        <v>46.43</v>
      </c>
      <c r="S1971" t="str">
        <f t="shared" si="328"/>
        <v>Good</v>
      </c>
      <c r="T1971" t="str">
        <f t="shared" si="329"/>
        <v>PM10</v>
      </c>
      <c r="U1971">
        <v>24.3</v>
      </c>
      <c r="V1971">
        <v>53.79</v>
      </c>
    </row>
    <row r="1972" spans="1:22" x14ac:dyDescent="0.3">
      <c r="A1972" s="2" t="s">
        <v>15</v>
      </c>
      <c r="B1972">
        <v>560026</v>
      </c>
      <c r="C1972" s="4">
        <v>45529</v>
      </c>
      <c r="D1972">
        <v>21.54</v>
      </c>
      <c r="E1972">
        <v>38.82</v>
      </c>
      <c r="F1972">
        <v>12.13</v>
      </c>
      <c r="G1972">
        <v>5.28</v>
      </c>
      <c r="H1972">
        <v>4.76</v>
      </c>
      <c r="I1972">
        <v>0.26</v>
      </c>
      <c r="J1972">
        <v>31.16</v>
      </c>
      <c r="K1972">
        <f t="shared" si="320"/>
        <v>35.9</v>
      </c>
      <c r="L1972">
        <f t="shared" si="321"/>
        <v>38.82</v>
      </c>
      <c r="M1972">
        <f t="shared" si="322"/>
        <v>15.1625</v>
      </c>
      <c r="N1972">
        <f t="shared" si="323"/>
        <v>1.32</v>
      </c>
      <c r="O1972">
        <f t="shared" si="324"/>
        <v>5.95</v>
      </c>
      <c r="P1972">
        <f t="shared" si="325"/>
        <v>2.9545454545454546</v>
      </c>
      <c r="Q1972">
        <f t="shared" si="326"/>
        <v>28.851851851851851</v>
      </c>
      <c r="R1972">
        <f t="shared" si="327"/>
        <v>38.82</v>
      </c>
      <c r="S1972" t="str">
        <f t="shared" si="328"/>
        <v>Good</v>
      </c>
      <c r="T1972" t="str">
        <f t="shared" si="329"/>
        <v>PM10</v>
      </c>
      <c r="U1972">
        <v>23.91</v>
      </c>
      <c r="V1972">
        <v>53.65</v>
      </c>
    </row>
    <row r="1973" spans="1:22" x14ac:dyDescent="0.3">
      <c r="A1973" s="2" t="s">
        <v>15</v>
      </c>
      <c r="B1973">
        <v>560026</v>
      </c>
      <c r="C1973" s="4">
        <v>45530</v>
      </c>
      <c r="D1973">
        <v>20.54</v>
      </c>
      <c r="E1973">
        <v>36.21</v>
      </c>
      <c r="F1973">
        <v>12.26</v>
      </c>
      <c r="G1973">
        <v>5.34</v>
      </c>
      <c r="H1973">
        <v>5.19</v>
      </c>
      <c r="I1973">
        <v>0.66</v>
      </c>
      <c r="J1973">
        <v>31.78</v>
      </c>
      <c r="K1973">
        <f t="shared" si="320"/>
        <v>34.233333333333334</v>
      </c>
      <c r="L1973">
        <f t="shared" si="321"/>
        <v>36.21</v>
      </c>
      <c r="M1973">
        <f t="shared" si="322"/>
        <v>15.324999999999999</v>
      </c>
      <c r="N1973">
        <f t="shared" si="323"/>
        <v>1.335</v>
      </c>
      <c r="O1973">
        <f t="shared" si="324"/>
        <v>6.4874999999999998</v>
      </c>
      <c r="P1973">
        <f t="shared" si="325"/>
        <v>7.5</v>
      </c>
      <c r="Q1973">
        <f t="shared" si="326"/>
        <v>29.425925925925927</v>
      </c>
      <c r="R1973">
        <f t="shared" si="327"/>
        <v>36.21</v>
      </c>
      <c r="S1973" t="str">
        <f t="shared" si="328"/>
        <v>Good</v>
      </c>
      <c r="T1973" t="str">
        <f t="shared" si="329"/>
        <v>PM10</v>
      </c>
      <c r="U1973">
        <v>23.96</v>
      </c>
      <c r="V1973">
        <v>53.48</v>
      </c>
    </row>
    <row r="1974" spans="1:22" x14ac:dyDescent="0.3">
      <c r="A1974" s="2" t="s">
        <v>15</v>
      </c>
      <c r="B1974">
        <v>560026</v>
      </c>
      <c r="C1974" s="4">
        <v>45531</v>
      </c>
      <c r="D1974">
        <v>26.56</v>
      </c>
      <c r="E1974">
        <v>51.14</v>
      </c>
      <c r="F1974">
        <v>12.28</v>
      </c>
      <c r="G1974">
        <v>5.24</v>
      </c>
      <c r="H1974">
        <v>5.28</v>
      </c>
      <c r="I1974">
        <v>0.45</v>
      </c>
      <c r="J1974">
        <v>28.71</v>
      </c>
      <c r="K1974">
        <f t="shared" si="320"/>
        <v>44.266666666666666</v>
      </c>
      <c r="L1974">
        <f t="shared" si="321"/>
        <v>51.14</v>
      </c>
      <c r="M1974">
        <f t="shared" si="322"/>
        <v>15.35</v>
      </c>
      <c r="N1974">
        <f t="shared" si="323"/>
        <v>1.31</v>
      </c>
      <c r="O1974">
        <f t="shared" si="324"/>
        <v>6.6</v>
      </c>
      <c r="P1974">
        <f t="shared" si="325"/>
        <v>5.1136363636363633</v>
      </c>
      <c r="Q1974">
        <f t="shared" si="326"/>
        <v>26.583333333333336</v>
      </c>
      <c r="R1974">
        <f t="shared" si="327"/>
        <v>51.14</v>
      </c>
      <c r="S1974" t="str">
        <f t="shared" si="328"/>
        <v>Satisfactory</v>
      </c>
      <c r="T1974" t="str">
        <f t="shared" si="329"/>
        <v>PM10</v>
      </c>
      <c r="U1974">
        <v>23.85</v>
      </c>
      <c r="V1974">
        <v>55.95</v>
      </c>
    </row>
    <row r="1975" spans="1:22" x14ac:dyDescent="0.3">
      <c r="A1975" s="2" t="s">
        <v>15</v>
      </c>
      <c r="B1975">
        <v>560026</v>
      </c>
      <c r="C1975" s="4">
        <v>45532</v>
      </c>
      <c r="D1975">
        <v>18</v>
      </c>
      <c r="E1975">
        <v>29.92</v>
      </c>
      <c r="F1975">
        <v>12.23</v>
      </c>
      <c r="G1975">
        <v>5.2</v>
      </c>
      <c r="H1975">
        <v>5.04</v>
      </c>
      <c r="I1975">
        <v>0.38</v>
      </c>
      <c r="J1975">
        <v>28.27</v>
      </c>
      <c r="K1975">
        <f t="shared" si="320"/>
        <v>30</v>
      </c>
      <c r="L1975">
        <f t="shared" si="321"/>
        <v>29.92</v>
      </c>
      <c r="M1975">
        <f t="shared" si="322"/>
        <v>15.2875</v>
      </c>
      <c r="N1975">
        <f t="shared" si="323"/>
        <v>1.3</v>
      </c>
      <c r="O1975">
        <f t="shared" si="324"/>
        <v>6.3</v>
      </c>
      <c r="P1975">
        <f t="shared" si="325"/>
        <v>4.3181818181818183</v>
      </c>
      <c r="Q1975">
        <f t="shared" si="326"/>
        <v>26.175925925925927</v>
      </c>
      <c r="R1975">
        <f t="shared" si="327"/>
        <v>30</v>
      </c>
      <c r="S1975" t="str">
        <f t="shared" si="328"/>
        <v>Good</v>
      </c>
      <c r="T1975" t="str">
        <f t="shared" si="329"/>
        <v>PM2.5</v>
      </c>
      <c r="U1975">
        <v>23.33</v>
      </c>
      <c r="V1975">
        <v>64.760000000000005</v>
      </c>
    </row>
    <row r="1976" spans="1:22" x14ac:dyDescent="0.3">
      <c r="A1976" s="2" t="s">
        <v>15</v>
      </c>
      <c r="B1976">
        <v>560026</v>
      </c>
      <c r="C1976" s="4">
        <v>45533</v>
      </c>
      <c r="D1976">
        <v>22.3</v>
      </c>
      <c r="E1976">
        <v>40.61</v>
      </c>
      <c r="F1976">
        <v>12.13</v>
      </c>
      <c r="G1976">
        <v>5.23</v>
      </c>
      <c r="H1976">
        <v>5.39</v>
      </c>
      <c r="I1976">
        <v>0.68</v>
      </c>
      <c r="J1976">
        <v>27.46</v>
      </c>
      <c r="K1976">
        <f t="shared" si="320"/>
        <v>37.166666666666664</v>
      </c>
      <c r="L1976">
        <f t="shared" si="321"/>
        <v>40.61</v>
      </c>
      <c r="M1976">
        <f t="shared" si="322"/>
        <v>15.1625</v>
      </c>
      <c r="N1976">
        <f t="shared" si="323"/>
        <v>1.3075000000000001</v>
      </c>
      <c r="O1976">
        <f t="shared" si="324"/>
        <v>6.7374999999999998</v>
      </c>
      <c r="P1976">
        <f t="shared" si="325"/>
        <v>7.7272727272727275</v>
      </c>
      <c r="Q1976">
        <f t="shared" si="326"/>
        <v>25.425925925925927</v>
      </c>
      <c r="R1976">
        <f t="shared" si="327"/>
        <v>40.61</v>
      </c>
      <c r="S1976" t="str">
        <f t="shared" si="328"/>
        <v>Good</v>
      </c>
      <c r="T1976" t="str">
        <f t="shared" si="329"/>
        <v>PM10</v>
      </c>
      <c r="U1976">
        <v>22.16</v>
      </c>
      <c r="V1976">
        <v>61.05</v>
      </c>
    </row>
    <row r="1977" spans="1:22" x14ac:dyDescent="0.3">
      <c r="A1977" s="2" t="s">
        <v>15</v>
      </c>
      <c r="B1977">
        <v>560026</v>
      </c>
      <c r="C1977" s="4">
        <v>45534</v>
      </c>
      <c r="D1977">
        <v>27.41</v>
      </c>
      <c r="E1977">
        <v>53.66</v>
      </c>
      <c r="F1977">
        <v>12.25</v>
      </c>
      <c r="G1977">
        <v>5.26</v>
      </c>
      <c r="H1977">
        <v>5.26</v>
      </c>
      <c r="I1977">
        <v>0.63</v>
      </c>
      <c r="J1977">
        <v>27.31</v>
      </c>
      <c r="K1977">
        <f t="shared" si="320"/>
        <v>45.68333333333333</v>
      </c>
      <c r="L1977">
        <f t="shared" si="321"/>
        <v>53.66</v>
      </c>
      <c r="M1977">
        <f t="shared" si="322"/>
        <v>15.3125</v>
      </c>
      <c r="N1977">
        <f t="shared" si="323"/>
        <v>1.3149999999999999</v>
      </c>
      <c r="O1977">
        <f t="shared" si="324"/>
        <v>6.5750000000000002</v>
      </c>
      <c r="P1977">
        <f t="shared" si="325"/>
        <v>7.1590909090909092</v>
      </c>
      <c r="Q1977">
        <f t="shared" si="326"/>
        <v>25.287037037037035</v>
      </c>
      <c r="R1977">
        <f t="shared" si="327"/>
        <v>53.66</v>
      </c>
      <c r="S1977" t="str">
        <f t="shared" si="328"/>
        <v>Satisfactory</v>
      </c>
      <c r="T1977" t="str">
        <f t="shared" si="329"/>
        <v>PM10</v>
      </c>
      <c r="U1977">
        <v>22.91</v>
      </c>
      <c r="V1977">
        <v>58.74</v>
      </c>
    </row>
    <row r="1978" spans="1:22" x14ac:dyDescent="0.3">
      <c r="A1978" s="2" t="s">
        <v>15</v>
      </c>
      <c r="B1978">
        <v>560026</v>
      </c>
      <c r="C1978" s="4">
        <v>45535</v>
      </c>
      <c r="D1978">
        <v>27.58</v>
      </c>
      <c r="E1978">
        <v>53.96</v>
      </c>
      <c r="F1978">
        <v>12.32</v>
      </c>
      <c r="G1978">
        <v>5.27</v>
      </c>
      <c r="H1978">
        <v>5.26</v>
      </c>
      <c r="I1978">
        <v>0.75</v>
      </c>
      <c r="J1978">
        <v>27.09</v>
      </c>
      <c r="K1978">
        <f t="shared" si="320"/>
        <v>45.966666666666669</v>
      </c>
      <c r="L1978">
        <f t="shared" si="321"/>
        <v>53.96</v>
      </c>
      <c r="M1978">
        <f t="shared" si="322"/>
        <v>15.4</v>
      </c>
      <c r="N1978">
        <f t="shared" si="323"/>
        <v>1.3174999999999999</v>
      </c>
      <c r="O1978">
        <f t="shared" si="324"/>
        <v>6.5750000000000002</v>
      </c>
      <c r="P1978">
        <f t="shared" si="325"/>
        <v>8.5227272727272734</v>
      </c>
      <c r="Q1978">
        <f t="shared" si="326"/>
        <v>25.083333333333332</v>
      </c>
      <c r="R1978">
        <f t="shared" si="327"/>
        <v>53.96</v>
      </c>
      <c r="S1978" t="str">
        <f t="shared" si="328"/>
        <v>Satisfactory</v>
      </c>
      <c r="T1978" t="str">
        <f t="shared" si="329"/>
        <v>PM10</v>
      </c>
      <c r="U1978">
        <v>23.09</v>
      </c>
      <c r="V1978">
        <v>57.75</v>
      </c>
    </row>
    <row r="1979" spans="1:22" x14ac:dyDescent="0.3">
      <c r="A1979" s="2" t="s">
        <v>15</v>
      </c>
      <c r="B1979">
        <v>560026</v>
      </c>
      <c r="C1979" s="4">
        <v>45536</v>
      </c>
      <c r="D1979">
        <v>39.86</v>
      </c>
      <c r="E1979">
        <v>84.81</v>
      </c>
      <c r="F1979">
        <v>12.22</v>
      </c>
      <c r="G1979">
        <v>5.22</v>
      </c>
      <c r="H1979">
        <v>5.18</v>
      </c>
      <c r="I1979">
        <v>0.55000000000000004</v>
      </c>
      <c r="J1979">
        <v>28.19</v>
      </c>
      <c r="K1979">
        <f t="shared" si="320"/>
        <v>66.433333333333337</v>
      </c>
      <c r="L1979">
        <f t="shared" si="321"/>
        <v>84.81</v>
      </c>
      <c r="M1979">
        <f t="shared" si="322"/>
        <v>15.275</v>
      </c>
      <c r="N1979">
        <f t="shared" si="323"/>
        <v>1.3049999999999999</v>
      </c>
      <c r="O1979">
        <f t="shared" si="324"/>
        <v>6.4749999999999996</v>
      </c>
      <c r="P1979">
        <f t="shared" si="325"/>
        <v>6.25</v>
      </c>
      <c r="Q1979">
        <f t="shared" si="326"/>
        <v>26.101851851851855</v>
      </c>
      <c r="R1979">
        <f t="shared" si="327"/>
        <v>84.81</v>
      </c>
      <c r="S1979" t="str">
        <f t="shared" si="328"/>
        <v>Satisfactory</v>
      </c>
      <c r="T1979" t="str">
        <f t="shared" si="329"/>
        <v>PM10</v>
      </c>
      <c r="U1979">
        <v>24.5</v>
      </c>
      <c r="V1979">
        <v>53.97</v>
      </c>
    </row>
    <row r="1980" spans="1:22" x14ac:dyDescent="0.3">
      <c r="A1980" s="2" t="s">
        <v>15</v>
      </c>
      <c r="B1980">
        <v>560026</v>
      </c>
      <c r="C1980" s="4">
        <v>45537</v>
      </c>
      <c r="D1980">
        <v>27.26</v>
      </c>
      <c r="E1980">
        <v>53.24</v>
      </c>
      <c r="F1980">
        <v>12.33</v>
      </c>
      <c r="G1980">
        <v>5.22</v>
      </c>
      <c r="H1980">
        <v>5.83</v>
      </c>
      <c r="I1980">
        <v>0.52</v>
      </c>
      <c r="J1980">
        <v>28.77</v>
      </c>
      <c r="K1980">
        <f t="shared" si="320"/>
        <v>45.43333333333333</v>
      </c>
      <c r="L1980">
        <f t="shared" si="321"/>
        <v>53.24</v>
      </c>
      <c r="M1980">
        <f t="shared" si="322"/>
        <v>15.4125</v>
      </c>
      <c r="N1980">
        <f t="shared" si="323"/>
        <v>1.3049999999999999</v>
      </c>
      <c r="O1980">
        <f t="shared" si="324"/>
        <v>7.2874999999999996</v>
      </c>
      <c r="P1980">
        <f t="shared" si="325"/>
        <v>5.9090909090909092</v>
      </c>
      <c r="Q1980">
        <f t="shared" si="326"/>
        <v>26.638888888888889</v>
      </c>
      <c r="R1980">
        <f t="shared" si="327"/>
        <v>53.24</v>
      </c>
      <c r="S1980" t="str">
        <f t="shared" si="328"/>
        <v>Satisfactory</v>
      </c>
      <c r="T1980" t="str">
        <f t="shared" si="329"/>
        <v>PM10</v>
      </c>
      <c r="U1980">
        <v>23.55</v>
      </c>
      <c r="V1980">
        <v>58.16</v>
      </c>
    </row>
    <row r="1981" spans="1:22" x14ac:dyDescent="0.3">
      <c r="A1981" s="2" t="s">
        <v>15</v>
      </c>
      <c r="B1981">
        <v>560026</v>
      </c>
      <c r="C1981" s="4">
        <v>45538</v>
      </c>
      <c r="D1981">
        <v>31.08</v>
      </c>
      <c r="E1981">
        <v>62.64</v>
      </c>
      <c r="F1981">
        <v>12.39</v>
      </c>
      <c r="G1981">
        <v>5.21</v>
      </c>
      <c r="H1981">
        <v>5.61</v>
      </c>
      <c r="I1981">
        <v>0.51</v>
      </c>
      <c r="J1981">
        <v>28.33</v>
      </c>
      <c r="K1981">
        <f t="shared" si="320"/>
        <v>51.8</v>
      </c>
      <c r="L1981">
        <f t="shared" si="321"/>
        <v>62.64</v>
      </c>
      <c r="M1981">
        <f t="shared" si="322"/>
        <v>15.487500000000001</v>
      </c>
      <c r="N1981">
        <f t="shared" si="323"/>
        <v>1.3025</v>
      </c>
      <c r="O1981">
        <f t="shared" si="324"/>
        <v>7.0125000000000002</v>
      </c>
      <c r="P1981">
        <f t="shared" si="325"/>
        <v>5.795454545454545</v>
      </c>
      <c r="Q1981">
        <f t="shared" si="326"/>
        <v>26.231481481481481</v>
      </c>
      <c r="R1981">
        <f t="shared" si="327"/>
        <v>62.64</v>
      </c>
      <c r="S1981" t="str">
        <f t="shared" si="328"/>
        <v>Satisfactory</v>
      </c>
      <c r="T1981" t="str">
        <f t="shared" si="329"/>
        <v>PM10</v>
      </c>
      <c r="U1981">
        <v>23.98</v>
      </c>
      <c r="V1981">
        <v>56.36</v>
      </c>
    </row>
    <row r="1982" spans="1:22" x14ac:dyDescent="0.3">
      <c r="A1982" s="2" t="s">
        <v>15</v>
      </c>
      <c r="B1982">
        <v>560026</v>
      </c>
      <c r="C1982" s="4">
        <v>45539</v>
      </c>
      <c r="D1982">
        <v>33.17</v>
      </c>
      <c r="E1982">
        <v>67.95</v>
      </c>
      <c r="F1982">
        <v>12.35</v>
      </c>
      <c r="G1982">
        <v>5.23</v>
      </c>
      <c r="H1982">
        <v>5.59</v>
      </c>
      <c r="I1982">
        <v>0.64</v>
      </c>
      <c r="J1982">
        <v>27.96</v>
      </c>
      <c r="K1982">
        <f t="shared" si="320"/>
        <v>55.283333333333339</v>
      </c>
      <c r="L1982">
        <f t="shared" si="321"/>
        <v>67.95</v>
      </c>
      <c r="M1982">
        <f t="shared" si="322"/>
        <v>15.4375</v>
      </c>
      <c r="N1982">
        <f t="shared" si="323"/>
        <v>1.3075000000000001</v>
      </c>
      <c r="O1982">
        <f t="shared" si="324"/>
        <v>6.9874999999999998</v>
      </c>
      <c r="P1982">
        <f t="shared" si="325"/>
        <v>7.2727272727272725</v>
      </c>
      <c r="Q1982">
        <f t="shared" si="326"/>
        <v>25.888888888888889</v>
      </c>
      <c r="R1982">
        <f t="shared" si="327"/>
        <v>67.95</v>
      </c>
      <c r="S1982" t="str">
        <f t="shared" si="328"/>
        <v>Satisfactory</v>
      </c>
      <c r="T1982" t="str">
        <f t="shared" si="329"/>
        <v>PM10</v>
      </c>
      <c r="U1982">
        <v>23.89</v>
      </c>
      <c r="V1982">
        <v>55.32</v>
      </c>
    </row>
    <row r="1983" spans="1:22" x14ac:dyDescent="0.3">
      <c r="A1983" s="2" t="s">
        <v>15</v>
      </c>
      <c r="B1983">
        <v>560026</v>
      </c>
      <c r="C1983" s="4">
        <v>45540</v>
      </c>
      <c r="D1983">
        <v>31.2</v>
      </c>
      <c r="E1983">
        <v>63.08</v>
      </c>
      <c r="F1983">
        <v>12.21</v>
      </c>
      <c r="G1983">
        <v>5.32</v>
      </c>
      <c r="H1983">
        <v>5.24</v>
      </c>
      <c r="I1983">
        <v>0.64</v>
      </c>
      <c r="J1983">
        <v>27.55</v>
      </c>
      <c r="K1983">
        <f t="shared" si="320"/>
        <v>52</v>
      </c>
      <c r="L1983">
        <f t="shared" si="321"/>
        <v>63.08</v>
      </c>
      <c r="M1983">
        <f t="shared" si="322"/>
        <v>15.262499999999999</v>
      </c>
      <c r="N1983">
        <f t="shared" si="323"/>
        <v>1.33</v>
      </c>
      <c r="O1983">
        <f t="shared" si="324"/>
        <v>6.55</v>
      </c>
      <c r="P1983">
        <f t="shared" si="325"/>
        <v>7.2727272727272725</v>
      </c>
      <c r="Q1983">
        <f t="shared" si="326"/>
        <v>25.50925925925926</v>
      </c>
      <c r="R1983">
        <f t="shared" si="327"/>
        <v>63.08</v>
      </c>
      <c r="S1983" t="str">
        <f t="shared" si="328"/>
        <v>Satisfactory</v>
      </c>
      <c r="T1983" t="str">
        <f t="shared" si="329"/>
        <v>PM10</v>
      </c>
      <c r="U1983">
        <v>24.74</v>
      </c>
      <c r="V1983">
        <v>56.23</v>
      </c>
    </row>
    <row r="1984" spans="1:22" x14ac:dyDescent="0.3">
      <c r="A1984" s="2" t="s">
        <v>15</v>
      </c>
      <c r="B1984">
        <v>560026</v>
      </c>
      <c r="C1984" s="4">
        <v>45541</v>
      </c>
      <c r="D1984">
        <v>38.520000000000003</v>
      </c>
      <c r="E1984">
        <v>81.06</v>
      </c>
      <c r="F1984">
        <v>12.26</v>
      </c>
      <c r="G1984">
        <v>5.17</v>
      </c>
      <c r="H1984">
        <v>5.1100000000000003</v>
      </c>
      <c r="I1984">
        <v>0.68</v>
      </c>
      <c r="J1984">
        <v>27.27</v>
      </c>
      <c r="K1984">
        <f t="shared" si="320"/>
        <v>64.2</v>
      </c>
      <c r="L1984">
        <f t="shared" si="321"/>
        <v>81.06</v>
      </c>
      <c r="M1984">
        <f t="shared" si="322"/>
        <v>15.324999999999999</v>
      </c>
      <c r="N1984">
        <f t="shared" si="323"/>
        <v>1.2925</v>
      </c>
      <c r="O1984">
        <f t="shared" si="324"/>
        <v>6.3875000000000011</v>
      </c>
      <c r="P1984">
        <f t="shared" si="325"/>
        <v>7.7272727272727275</v>
      </c>
      <c r="Q1984">
        <f t="shared" si="326"/>
        <v>25.25</v>
      </c>
      <c r="R1984">
        <f t="shared" si="327"/>
        <v>81.06</v>
      </c>
      <c r="S1984" t="str">
        <f t="shared" si="328"/>
        <v>Satisfactory</v>
      </c>
      <c r="T1984" t="str">
        <f t="shared" si="329"/>
        <v>PM10</v>
      </c>
      <c r="U1984">
        <v>24.04</v>
      </c>
      <c r="V1984">
        <v>55.34</v>
      </c>
    </row>
    <row r="1985" spans="1:22" x14ac:dyDescent="0.3">
      <c r="A1985" s="2" t="s">
        <v>15</v>
      </c>
      <c r="B1985">
        <v>560026</v>
      </c>
      <c r="C1985" s="4">
        <v>45542</v>
      </c>
      <c r="D1985">
        <v>26.91</v>
      </c>
      <c r="E1985">
        <v>52.57</v>
      </c>
      <c r="F1985">
        <v>12.24</v>
      </c>
      <c r="G1985">
        <v>5.25</v>
      </c>
      <c r="H1985">
        <v>5.09</v>
      </c>
      <c r="I1985">
        <v>0.56999999999999995</v>
      </c>
      <c r="J1985">
        <v>29.2</v>
      </c>
      <c r="K1985">
        <f t="shared" si="320"/>
        <v>44.85</v>
      </c>
      <c r="L1985">
        <f t="shared" si="321"/>
        <v>52.57</v>
      </c>
      <c r="M1985">
        <f t="shared" si="322"/>
        <v>15.3</v>
      </c>
      <c r="N1985">
        <f t="shared" si="323"/>
        <v>1.3125</v>
      </c>
      <c r="O1985">
        <f t="shared" si="324"/>
        <v>6.3624999999999998</v>
      </c>
      <c r="P1985">
        <f t="shared" si="325"/>
        <v>6.4772727272727266</v>
      </c>
      <c r="Q1985">
        <f t="shared" si="326"/>
        <v>27.037037037037038</v>
      </c>
      <c r="R1985">
        <f t="shared" si="327"/>
        <v>52.57</v>
      </c>
      <c r="S1985" t="str">
        <f t="shared" si="328"/>
        <v>Satisfactory</v>
      </c>
      <c r="T1985" t="str">
        <f t="shared" si="329"/>
        <v>PM10</v>
      </c>
      <c r="U1985">
        <v>23.63</v>
      </c>
      <c r="V1985">
        <v>56.98</v>
      </c>
    </row>
    <row r="1986" spans="1:22" x14ac:dyDescent="0.3">
      <c r="A1986" s="2" t="s">
        <v>15</v>
      </c>
      <c r="B1986">
        <v>560026</v>
      </c>
      <c r="C1986" s="4">
        <v>45543</v>
      </c>
      <c r="D1986">
        <v>22.86</v>
      </c>
      <c r="E1986">
        <v>42.15</v>
      </c>
      <c r="F1986">
        <v>12.18</v>
      </c>
      <c r="G1986">
        <v>5.31</v>
      </c>
      <c r="H1986">
        <v>4.79</v>
      </c>
      <c r="I1986">
        <v>0.39</v>
      </c>
      <c r="J1986">
        <v>29.65</v>
      </c>
      <c r="K1986">
        <f t="shared" si="320"/>
        <v>38.1</v>
      </c>
      <c r="L1986">
        <f t="shared" si="321"/>
        <v>42.15</v>
      </c>
      <c r="M1986">
        <f t="shared" si="322"/>
        <v>15.225</v>
      </c>
      <c r="N1986">
        <f t="shared" si="323"/>
        <v>1.3274999999999999</v>
      </c>
      <c r="O1986">
        <f t="shared" si="324"/>
        <v>5.9874999999999998</v>
      </c>
      <c r="P1986">
        <f t="shared" si="325"/>
        <v>4.4318181818181817</v>
      </c>
      <c r="Q1986">
        <f t="shared" si="326"/>
        <v>27.453703703703702</v>
      </c>
      <c r="R1986">
        <f t="shared" si="327"/>
        <v>42.15</v>
      </c>
      <c r="S1986" t="str">
        <f t="shared" si="328"/>
        <v>Good</v>
      </c>
      <c r="T1986" t="str">
        <f t="shared" si="329"/>
        <v>PM10</v>
      </c>
      <c r="U1986">
        <v>23.66</v>
      </c>
      <c r="V1986">
        <v>56.64</v>
      </c>
    </row>
    <row r="1987" spans="1:22" x14ac:dyDescent="0.3">
      <c r="A1987" s="2" t="s">
        <v>15</v>
      </c>
      <c r="B1987">
        <v>560026</v>
      </c>
      <c r="C1987" s="4">
        <v>45544</v>
      </c>
      <c r="D1987">
        <v>23.61</v>
      </c>
      <c r="E1987">
        <v>43.93</v>
      </c>
      <c r="F1987">
        <v>12.3</v>
      </c>
      <c r="G1987">
        <v>5.23</v>
      </c>
      <c r="H1987">
        <v>4.63</v>
      </c>
      <c r="I1987">
        <v>0.44</v>
      </c>
      <c r="J1987">
        <v>30.12</v>
      </c>
      <c r="K1987">
        <f t="shared" si="320"/>
        <v>39.35</v>
      </c>
      <c r="L1987">
        <f t="shared" si="321"/>
        <v>43.93</v>
      </c>
      <c r="M1987">
        <f t="shared" si="322"/>
        <v>15.375</v>
      </c>
      <c r="N1987">
        <f t="shared" si="323"/>
        <v>1.3075000000000001</v>
      </c>
      <c r="O1987">
        <f t="shared" si="324"/>
        <v>5.7874999999999996</v>
      </c>
      <c r="P1987">
        <f t="shared" si="325"/>
        <v>5</v>
      </c>
      <c r="Q1987">
        <f t="shared" si="326"/>
        <v>27.888888888888889</v>
      </c>
      <c r="R1987">
        <f t="shared" si="327"/>
        <v>43.93</v>
      </c>
      <c r="S1987" t="str">
        <f t="shared" si="328"/>
        <v>Good</v>
      </c>
      <c r="T1987" t="str">
        <f t="shared" si="329"/>
        <v>PM10</v>
      </c>
      <c r="U1987">
        <v>23.91</v>
      </c>
      <c r="V1987">
        <v>55.5</v>
      </c>
    </row>
    <row r="1988" spans="1:22" x14ac:dyDescent="0.3">
      <c r="A1988" s="2" t="s">
        <v>15</v>
      </c>
      <c r="B1988">
        <v>560026</v>
      </c>
      <c r="C1988" s="4">
        <v>45545</v>
      </c>
      <c r="D1988">
        <v>24.67</v>
      </c>
      <c r="E1988">
        <v>46.77</v>
      </c>
      <c r="F1988">
        <v>12.35</v>
      </c>
      <c r="G1988">
        <v>5.23</v>
      </c>
      <c r="H1988">
        <v>4.5599999999999996</v>
      </c>
      <c r="I1988">
        <v>0.35</v>
      </c>
      <c r="J1988">
        <v>30.04</v>
      </c>
      <c r="K1988">
        <f t="shared" si="320"/>
        <v>41.116666666666667</v>
      </c>
      <c r="L1988">
        <f t="shared" si="321"/>
        <v>46.77</v>
      </c>
      <c r="M1988">
        <f t="shared" si="322"/>
        <v>15.4375</v>
      </c>
      <c r="N1988">
        <f t="shared" si="323"/>
        <v>1.3075000000000001</v>
      </c>
      <c r="O1988">
        <f t="shared" si="324"/>
        <v>5.6999999999999993</v>
      </c>
      <c r="P1988">
        <f t="shared" si="325"/>
        <v>3.9772727272727271</v>
      </c>
      <c r="Q1988">
        <f t="shared" si="326"/>
        <v>27.814814814814813</v>
      </c>
      <c r="R1988">
        <f t="shared" si="327"/>
        <v>46.77</v>
      </c>
      <c r="S1988" t="str">
        <f t="shared" si="328"/>
        <v>Good</v>
      </c>
      <c r="T1988" t="str">
        <f t="shared" si="329"/>
        <v>PM10</v>
      </c>
      <c r="U1988">
        <v>23.64</v>
      </c>
      <c r="V1988">
        <v>55.33</v>
      </c>
    </row>
    <row r="1989" spans="1:22" x14ac:dyDescent="0.3">
      <c r="A1989" s="2" t="s">
        <v>15</v>
      </c>
      <c r="B1989">
        <v>560026</v>
      </c>
      <c r="C1989" s="4">
        <v>45546</v>
      </c>
      <c r="D1989">
        <v>27.94</v>
      </c>
      <c r="E1989">
        <v>54.93</v>
      </c>
      <c r="F1989">
        <v>12.27</v>
      </c>
      <c r="G1989">
        <v>5.25</v>
      </c>
      <c r="H1989">
        <v>5.0199999999999996</v>
      </c>
      <c r="I1989">
        <v>0.59</v>
      </c>
      <c r="J1989">
        <v>29.43</v>
      </c>
      <c r="K1989">
        <f t="shared" si="320"/>
        <v>46.56666666666667</v>
      </c>
      <c r="L1989">
        <f t="shared" si="321"/>
        <v>54.93</v>
      </c>
      <c r="M1989">
        <f t="shared" si="322"/>
        <v>15.3375</v>
      </c>
      <c r="N1989">
        <f t="shared" si="323"/>
        <v>1.3125</v>
      </c>
      <c r="O1989">
        <f t="shared" si="324"/>
        <v>6.2749999999999995</v>
      </c>
      <c r="P1989">
        <f t="shared" si="325"/>
        <v>6.7045454545454541</v>
      </c>
      <c r="Q1989">
        <f t="shared" si="326"/>
        <v>27.25</v>
      </c>
      <c r="R1989">
        <f t="shared" si="327"/>
        <v>54.93</v>
      </c>
      <c r="S1989" t="str">
        <f t="shared" si="328"/>
        <v>Satisfactory</v>
      </c>
      <c r="T1989" t="str">
        <f t="shared" si="329"/>
        <v>PM10</v>
      </c>
      <c r="U1989">
        <v>23.8</v>
      </c>
      <c r="V1989">
        <v>52.35</v>
      </c>
    </row>
    <row r="1990" spans="1:22" x14ac:dyDescent="0.3">
      <c r="A1990" s="2" t="s">
        <v>15</v>
      </c>
      <c r="B1990">
        <v>560026</v>
      </c>
      <c r="C1990" s="4">
        <v>45547</v>
      </c>
      <c r="D1990">
        <v>33.26</v>
      </c>
      <c r="E1990">
        <v>71.430000000000007</v>
      </c>
      <c r="F1990">
        <v>12.18</v>
      </c>
      <c r="G1990">
        <v>5.27</v>
      </c>
      <c r="H1990">
        <v>4.79</v>
      </c>
      <c r="I1990">
        <v>0.55000000000000004</v>
      </c>
      <c r="J1990">
        <v>28.57</v>
      </c>
      <c r="K1990">
        <f t="shared" si="320"/>
        <v>55.43333333333333</v>
      </c>
      <c r="L1990">
        <f t="shared" si="321"/>
        <v>71.430000000000007</v>
      </c>
      <c r="M1990">
        <f t="shared" si="322"/>
        <v>15.225</v>
      </c>
      <c r="N1990">
        <f t="shared" si="323"/>
        <v>1.3174999999999999</v>
      </c>
      <c r="O1990">
        <f t="shared" si="324"/>
        <v>5.9874999999999998</v>
      </c>
      <c r="P1990">
        <f t="shared" si="325"/>
        <v>6.25</v>
      </c>
      <c r="Q1990">
        <f t="shared" si="326"/>
        <v>26.453703703703702</v>
      </c>
      <c r="R1990">
        <f t="shared" si="327"/>
        <v>71.430000000000007</v>
      </c>
      <c r="S1990" t="str">
        <f t="shared" si="328"/>
        <v>Satisfactory</v>
      </c>
      <c r="T1990" t="str">
        <f t="shared" si="329"/>
        <v>PM10</v>
      </c>
      <c r="U1990">
        <v>24.53</v>
      </c>
      <c r="V1990">
        <v>50.9</v>
      </c>
    </row>
    <row r="1991" spans="1:22" x14ac:dyDescent="0.3">
      <c r="A1991" s="2" t="s">
        <v>15</v>
      </c>
      <c r="B1991">
        <v>560026</v>
      </c>
      <c r="C1991" s="4">
        <v>45548</v>
      </c>
      <c r="D1991">
        <v>33.67</v>
      </c>
      <c r="E1991">
        <v>68.95</v>
      </c>
      <c r="F1991">
        <v>12.22</v>
      </c>
      <c r="G1991">
        <v>5.28</v>
      </c>
      <c r="H1991">
        <v>5.15</v>
      </c>
      <c r="I1991">
        <v>0.59</v>
      </c>
      <c r="J1991">
        <v>28.5</v>
      </c>
      <c r="K1991">
        <f t="shared" si="320"/>
        <v>56.116666666666667</v>
      </c>
      <c r="L1991">
        <f t="shared" si="321"/>
        <v>68.95</v>
      </c>
      <c r="M1991">
        <f t="shared" si="322"/>
        <v>15.275</v>
      </c>
      <c r="N1991">
        <f t="shared" si="323"/>
        <v>1.32</v>
      </c>
      <c r="O1991">
        <f t="shared" si="324"/>
        <v>6.4375</v>
      </c>
      <c r="P1991">
        <f t="shared" si="325"/>
        <v>6.7045454545454541</v>
      </c>
      <c r="Q1991">
        <f t="shared" si="326"/>
        <v>26.388888888888889</v>
      </c>
      <c r="R1991">
        <f t="shared" si="327"/>
        <v>68.95</v>
      </c>
      <c r="S1991" t="str">
        <f t="shared" si="328"/>
        <v>Satisfactory</v>
      </c>
      <c r="T1991" t="str">
        <f t="shared" si="329"/>
        <v>PM10</v>
      </c>
      <c r="U1991">
        <v>25.06</v>
      </c>
      <c r="V1991">
        <v>49.42</v>
      </c>
    </row>
    <row r="1992" spans="1:22" x14ac:dyDescent="0.3">
      <c r="A1992" s="2" t="s">
        <v>15</v>
      </c>
      <c r="B1992">
        <v>560026</v>
      </c>
      <c r="C1992" s="4">
        <v>45549</v>
      </c>
      <c r="D1992">
        <v>33.54</v>
      </c>
      <c r="E1992">
        <v>68.86</v>
      </c>
      <c r="F1992">
        <v>12.26</v>
      </c>
      <c r="G1992">
        <v>5.22</v>
      </c>
      <c r="H1992">
        <v>4.6500000000000004</v>
      </c>
      <c r="I1992">
        <v>0.47</v>
      </c>
      <c r="J1992">
        <v>29.07</v>
      </c>
      <c r="K1992">
        <f t="shared" ref="K1992:K2055" si="330">IF(ISTEXT(D1992),0,IF(D1992&lt;=30,D1992*50/30,IF(AND(D1992&gt;30,D1992&lt;=60),50+(D1992-30)*50/30,IF(AND(D1992&gt;60,D1992&lt;=90),100+(D1992-60)*100/30,IF(AND(D1992&gt;90,D1992&lt;=120),200+(D1992-90)*(100/30),IF(AND(D1992&gt;120,D1992&lt;=250),300+(D1992-120)*(100/130),IF(D1992&gt;250,400+(D1992-250)*(100/130))))))))</f>
        <v>55.9</v>
      </c>
      <c r="L1992">
        <f t="shared" ref="L1992:L2055" si="331">IF(ISTEXT(E1992),0,IF(E1992&lt;=50,E1992,IF(AND(E1992&gt;50,E1992&lt;=100),E1992,IF(AND(E1992&gt;100,E1992&lt;=250),100+(E1992-100)*100/150,IF(AND(E1992&gt;250,E1992&lt;=350),200+(E1992-250),IF(AND(E1992&gt;350,E1992&lt;=430),300+(E1992-350)*(100/80),IF(E1992&gt;430,400+(E1992-430)*(100/80))))))))</f>
        <v>68.86</v>
      </c>
      <c r="M1992">
        <f t="shared" ref="M1992:M2055" si="332">IF(ISTEXT(F1992),0,IF(F1992&lt;=40,F1992*50/40,IF(AND(F1992&gt;40,F1992&lt;=80),50+(F1992-40)*50/40,IF(AND(F1992&gt;80,F1992&lt;=180),100+(F1992-80)*100/100,IF(AND(F1992&gt;180,F1992&lt;=280),200+(F1992-180)*(100/100),IF(AND(F1992&gt;280,F1992&lt;=400),300+(F1992-280)*(100/120),IF(F1992&gt;400,400+(F1992-400)*(100/120))))))))</f>
        <v>15.324999999999999</v>
      </c>
      <c r="N1992">
        <f t="shared" ref="N1992:N2055" si="333">IF(ISTEXT(G1992),0,IF(G1992&lt;=200,G1992*50/200,IF(AND(G1992&gt;200,G1992&lt;=400),50+(G1992-200)*50/200,IF(AND(G1992&gt;400,G1992&lt;=800),100+(G1992-400)*100/400,IF(AND(G1992&gt;800,G1992&lt;=1200),200+(G1992-800)*(100/400),IF(AND(G1992&gt;1200,G1992&lt;=1800),300+(G1992-1200)*(100/600),IF(G1992&gt;1800,400+(G1992-1800)*(100/600))))))))</f>
        <v>1.3049999999999999</v>
      </c>
      <c r="O1992">
        <f t="shared" ref="O1992:O2055" si="334">IF(ISTEXT(H1992),0,IF(H1992&lt;=40,H1992*50/40,IF(AND(H1992&gt;40,H1992&lt;=80),50+(H1992-40)*50/40,IF(AND(H1992&gt;80,H1992&lt;=380),100+(H1992-80)*100/300,IF(AND(H1992&gt;380,H1992&lt;=800),200+(H1992-380)*(100/420),IF(AND(H1992&gt;800,H1992&lt;=1600),300+(H1992-800)*(100/800),IF(H1992&gt;1600,400+(H1992-1600)*(100/800))))))))</f>
        <v>5.8125000000000009</v>
      </c>
      <c r="P1992">
        <f t="shared" ref="P1992:P2055" si="335">IF(I1992&lt;=4.4,(50-0)/(4.4-0)*(I1992-0)+0,
IF(I1992&lt;=9.4,(100-51)/(9.4-4.5)*(I1992-4.5)+51,
IF(I1992&lt;=12.4,(150-101)/(12.4-9.5)*(I1992-9.5)+101,
IF(I1992&lt;=15.4,(200-151)/(15.4-12.5)*(I1992-12.5)+151,
IF(I1992&lt;=30.4,(300-201)/(30.4-15.5)*(I1992-15.5)+201,
(500-301)/(50.4-30.5)*(I1992-30.5)+301)))))</f>
        <v>5.3409090909090908</v>
      </c>
      <c r="Q1992">
        <f t="shared" ref="Q1992:Q2055" si="336">IF(J1992&lt;=54,(50-0)/(54-0)*(J1992-0)+0,
IF(J1992&lt;=70,(100-51)/(70-55)*(J1992-55)+51,
IF(J1992&lt;=85,(150-101)/(85-71)*(J1992-71)+101,
IF(J1992&lt;=105,(200-151)/(105-86)*(J1992-86)+151,
IF(J1992&lt;=200,(300-201)/(200-106)*(J1992-106)+201,
(500-301)/(300-201)*(J1992-201)+301)))))</f>
        <v>26.916666666666668</v>
      </c>
      <c r="R1992">
        <f t="shared" ref="R1992:R2055" si="337">MAX(K1992:Q1992)</f>
        <v>68.86</v>
      </c>
      <c r="S1992" t="str">
        <f t="shared" ref="S1992:S2055" si="338">IF(R1992&lt;=50,"Good",
IF(R1992&lt;=100,"Satisfactory",
IF(R1992&lt;=200,"Moderate",
IF(R1992&lt;=300,"Poor",
IF(R1992&lt;=400,"Very Poor",
"Severe")))))</f>
        <v>Satisfactory</v>
      </c>
      <c r="T1992" t="str">
        <f t="shared" ref="T1992:T2055" si="339">IF(MAX(K1992:Q1992)=K1992,"PM2.5",
IF(MAX(K1992:Q1992)=L1992,"PM10",
IF(MAX(K1992:Q1992)=M1992,"NO2",
IF(MAX(K1992:Q1992)=N1992,"NH3",
IF(MAX(K1992:Q1992)=O1992,"SO2",
IF(MAX(K1992:Q1992)=P1992,"CO",
IF(MAX(K1992:Q1992)=Q1992,"OZONE","")))))))</f>
        <v>PM10</v>
      </c>
      <c r="U1992">
        <v>25.42</v>
      </c>
      <c r="V1992">
        <v>47.32</v>
      </c>
    </row>
    <row r="1993" spans="1:22" x14ac:dyDescent="0.3">
      <c r="A1993" s="2" t="s">
        <v>15</v>
      </c>
      <c r="B1993">
        <v>560026</v>
      </c>
      <c r="C1993" s="4">
        <v>45550</v>
      </c>
      <c r="D1993">
        <v>30.09</v>
      </c>
      <c r="E1993">
        <v>60.35</v>
      </c>
      <c r="F1993">
        <v>12.38</v>
      </c>
      <c r="G1993">
        <v>5.21</v>
      </c>
      <c r="H1993">
        <v>5.2</v>
      </c>
      <c r="I1993">
        <v>0.55000000000000004</v>
      </c>
      <c r="J1993">
        <v>30.24</v>
      </c>
      <c r="K1993">
        <f t="shared" si="330"/>
        <v>50.15</v>
      </c>
      <c r="L1993">
        <f t="shared" si="331"/>
        <v>60.35</v>
      </c>
      <c r="M1993">
        <f t="shared" si="332"/>
        <v>15.475</v>
      </c>
      <c r="N1993">
        <f t="shared" si="333"/>
        <v>1.3025</v>
      </c>
      <c r="O1993">
        <f t="shared" si="334"/>
        <v>6.5</v>
      </c>
      <c r="P1993">
        <f t="shared" si="335"/>
        <v>6.25</v>
      </c>
      <c r="Q1993">
        <f t="shared" si="336"/>
        <v>28</v>
      </c>
      <c r="R1993">
        <f t="shared" si="337"/>
        <v>60.35</v>
      </c>
      <c r="S1993" t="str">
        <f t="shared" si="338"/>
        <v>Satisfactory</v>
      </c>
      <c r="T1993" t="str">
        <f t="shared" si="339"/>
        <v>PM10</v>
      </c>
      <c r="U1993">
        <v>24.65</v>
      </c>
      <c r="V1993">
        <v>48.68</v>
      </c>
    </row>
    <row r="1994" spans="1:22" x14ac:dyDescent="0.3">
      <c r="A1994" s="2" t="s">
        <v>15</v>
      </c>
      <c r="B1994">
        <v>560026</v>
      </c>
      <c r="C1994" s="4">
        <v>45551</v>
      </c>
      <c r="D1994">
        <v>27.9</v>
      </c>
      <c r="E1994">
        <v>54.62</v>
      </c>
      <c r="F1994">
        <v>12.22</v>
      </c>
      <c r="G1994">
        <v>5.26</v>
      </c>
      <c r="H1994">
        <v>5.14</v>
      </c>
      <c r="I1994">
        <v>0.6</v>
      </c>
      <c r="J1994">
        <v>28.83</v>
      </c>
      <c r="K1994">
        <f t="shared" si="330"/>
        <v>46.5</v>
      </c>
      <c r="L1994">
        <f t="shared" si="331"/>
        <v>54.62</v>
      </c>
      <c r="M1994">
        <f t="shared" si="332"/>
        <v>15.275</v>
      </c>
      <c r="N1994">
        <f t="shared" si="333"/>
        <v>1.3149999999999999</v>
      </c>
      <c r="O1994">
        <f t="shared" si="334"/>
        <v>6.4249999999999998</v>
      </c>
      <c r="P1994">
        <f t="shared" si="335"/>
        <v>6.8181818181818175</v>
      </c>
      <c r="Q1994">
        <f t="shared" si="336"/>
        <v>26.694444444444443</v>
      </c>
      <c r="R1994">
        <f t="shared" si="337"/>
        <v>54.62</v>
      </c>
      <c r="S1994" t="str">
        <f t="shared" si="338"/>
        <v>Satisfactory</v>
      </c>
      <c r="T1994" t="str">
        <f t="shared" si="339"/>
        <v>PM10</v>
      </c>
      <c r="U1994">
        <v>24.8</v>
      </c>
      <c r="V1994">
        <v>48.68</v>
      </c>
    </row>
    <row r="1995" spans="1:22" x14ac:dyDescent="0.3">
      <c r="A1995" s="2" t="s">
        <v>15</v>
      </c>
      <c r="B1995">
        <v>560026</v>
      </c>
      <c r="C1995" s="4">
        <v>45552</v>
      </c>
      <c r="D1995">
        <v>27.44</v>
      </c>
      <c r="E1995">
        <v>53.88</v>
      </c>
      <c r="F1995">
        <v>12.33</v>
      </c>
      <c r="G1995">
        <v>5.19</v>
      </c>
      <c r="H1995">
        <v>5.08</v>
      </c>
      <c r="I1995">
        <v>0.57999999999999996</v>
      </c>
      <c r="J1995">
        <v>29.08</v>
      </c>
      <c r="K1995">
        <f t="shared" si="330"/>
        <v>45.733333333333334</v>
      </c>
      <c r="L1995">
        <f t="shared" si="331"/>
        <v>53.88</v>
      </c>
      <c r="M1995">
        <f t="shared" si="332"/>
        <v>15.4125</v>
      </c>
      <c r="N1995">
        <f t="shared" si="333"/>
        <v>1.2975000000000001</v>
      </c>
      <c r="O1995">
        <f t="shared" si="334"/>
        <v>6.35</v>
      </c>
      <c r="P1995">
        <f t="shared" si="335"/>
        <v>6.5909090909090899</v>
      </c>
      <c r="Q1995">
        <f t="shared" si="336"/>
        <v>26.925925925925924</v>
      </c>
      <c r="R1995">
        <f t="shared" si="337"/>
        <v>53.88</v>
      </c>
      <c r="S1995" t="str">
        <f t="shared" si="338"/>
        <v>Satisfactory</v>
      </c>
      <c r="T1995" t="str">
        <f t="shared" si="339"/>
        <v>PM10</v>
      </c>
      <c r="U1995">
        <v>25.14</v>
      </c>
      <c r="V1995">
        <v>47.61</v>
      </c>
    </row>
    <row r="1996" spans="1:22" x14ac:dyDescent="0.3">
      <c r="A1996" s="2" t="s">
        <v>15</v>
      </c>
      <c r="B1996">
        <v>560026</v>
      </c>
      <c r="C1996" s="4">
        <v>45553</v>
      </c>
      <c r="D1996">
        <v>40.36</v>
      </c>
      <c r="E1996">
        <v>85.82</v>
      </c>
      <c r="F1996">
        <v>12.29</v>
      </c>
      <c r="G1996">
        <v>5.14</v>
      </c>
      <c r="H1996">
        <v>5.05</v>
      </c>
      <c r="I1996">
        <v>0.85</v>
      </c>
      <c r="J1996">
        <v>31.98</v>
      </c>
      <c r="K1996">
        <f t="shared" si="330"/>
        <v>67.266666666666666</v>
      </c>
      <c r="L1996">
        <f t="shared" si="331"/>
        <v>85.82</v>
      </c>
      <c r="M1996">
        <f t="shared" si="332"/>
        <v>15.362500000000001</v>
      </c>
      <c r="N1996">
        <f t="shared" si="333"/>
        <v>1.2849999999999999</v>
      </c>
      <c r="O1996">
        <f t="shared" si="334"/>
        <v>6.3125</v>
      </c>
      <c r="P1996">
        <f t="shared" si="335"/>
        <v>9.6590909090909083</v>
      </c>
      <c r="Q1996">
        <f t="shared" si="336"/>
        <v>29.611111111111111</v>
      </c>
      <c r="R1996">
        <f t="shared" si="337"/>
        <v>85.82</v>
      </c>
      <c r="S1996" t="str">
        <f t="shared" si="338"/>
        <v>Satisfactory</v>
      </c>
      <c r="T1996" t="str">
        <f t="shared" si="339"/>
        <v>PM10</v>
      </c>
      <c r="U1996">
        <v>25.23</v>
      </c>
      <c r="V1996">
        <v>41.78</v>
      </c>
    </row>
    <row r="1997" spans="1:22" x14ac:dyDescent="0.3">
      <c r="A1997" s="2" t="s">
        <v>15</v>
      </c>
      <c r="B1997">
        <v>560026</v>
      </c>
      <c r="C1997" s="4">
        <v>45554</v>
      </c>
      <c r="D1997">
        <v>34.54</v>
      </c>
      <c r="E1997">
        <v>71.48</v>
      </c>
      <c r="F1997">
        <v>12.25</v>
      </c>
      <c r="G1997">
        <v>5.26</v>
      </c>
      <c r="H1997">
        <v>5.21</v>
      </c>
      <c r="I1997">
        <v>0.47</v>
      </c>
      <c r="J1997">
        <v>33.17</v>
      </c>
      <c r="K1997">
        <f t="shared" si="330"/>
        <v>57.566666666666663</v>
      </c>
      <c r="L1997">
        <f t="shared" si="331"/>
        <v>71.48</v>
      </c>
      <c r="M1997">
        <f t="shared" si="332"/>
        <v>15.3125</v>
      </c>
      <c r="N1997">
        <f t="shared" si="333"/>
        <v>1.3149999999999999</v>
      </c>
      <c r="O1997">
        <f t="shared" si="334"/>
        <v>6.5125000000000002</v>
      </c>
      <c r="P1997">
        <f t="shared" si="335"/>
        <v>5.3409090909090908</v>
      </c>
      <c r="Q1997">
        <f t="shared" si="336"/>
        <v>30.712962962962965</v>
      </c>
      <c r="R1997">
        <f t="shared" si="337"/>
        <v>71.48</v>
      </c>
      <c r="S1997" t="str">
        <f t="shared" si="338"/>
        <v>Satisfactory</v>
      </c>
      <c r="T1997" t="str">
        <f t="shared" si="339"/>
        <v>PM10</v>
      </c>
      <c r="U1997">
        <v>25.62</v>
      </c>
      <c r="V1997">
        <v>44.95</v>
      </c>
    </row>
    <row r="1998" spans="1:22" x14ac:dyDescent="0.3">
      <c r="A1998" s="2" t="s">
        <v>15</v>
      </c>
      <c r="B1998">
        <v>560026</v>
      </c>
      <c r="C1998" s="4">
        <v>45555</v>
      </c>
      <c r="D1998">
        <v>33.15</v>
      </c>
      <c r="E1998">
        <v>67.84</v>
      </c>
      <c r="F1998">
        <v>12.17</v>
      </c>
      <c r="G1998">
        <v>5.28</v>
      </c>
      <c r="H1998">
        <v>4.37</v>
      </c>
      <c r="I1998">
        <v>0.61</v>
      </c>
      <c r="J1998">
        <v>34.51</v>
      </c>
      <c r="K1998">
        <f t="shared" si="330"/>
        <v>55.25</v>
      </c>
      <c r="L1998">
        <f t="shared" si="331"/>
        <v>67.84</v>
      </c>
      <c r="M1998">
        <f t="shared" si="332"/>
        <v>15.2125</v>
      </c>
      <c r="N1998">
        <f t="shared" si="333"/>
        <v>1.32</v>
      </c>
      <c r="O1998">
        <f t="shared" si="334"/>
        <v>5.4625000000000004</v>
      </c>
      <c r="P1998">
        <f t="shared" si="335"/>
        <v>6.9318181818181817</v>
      </c>
      <c r="Q1998">
        <f t="shared" si="336"/>
        <v>31.953703703703702</v>
      </c>
      <c r="R1998">
        <f t="shared" si="337"/>
        <v>67.84</v>
      </c>
      <c r="S1998" t="str">
        <f t="shared" si="338"/>
        <v>Satisfactory</v>
      </c>
      <c r="T1998" t="str">
        <f t="shared" si="339"/>
        <v>PM10</v>
      </c>
      <c r="U1998">
        <v>25.79</v>
      </c>
      <c r="V1998">
        <v>46.32</v>
      </c>
    </row>
    <row r="1999" spans="1:22" x14ac:dyDescent="0.3">
      <c r="A1999" s="2" t="s">
        <v>15</v>
      </c>
      <c r="B1999">
        <v>560026</v>
      </c>
      <c r="C1999" s="4">
        <v>45556</v>
      </c>
      <c r="D1999">
        <v>40.96</v>
      </c>
      <c r="E1999">
        <v>87.35</v>
      </c>
      <c r="F1999">
        <v>12.45</v>
      </c>
      <c r="G1999">
        <v>5.2</v>
      </c>
      <c r="H1999">
        <v>4.7</v>
      </c>
      <c r="I1999">
        <v>0.72</v>
      </c>
      <c r="J1999">
        <v>30.12</v>
      </c>
      <c r="K1999">
        <f t="shared" si="330"/>
        <v>68.266666666666666</v>
      </c>
      <c r="L1999">
        <f t="shared" si="331"/>
        <v>87.35</v>
      </c>
      <c r="M1999">
        <f t="shared" si="332"/>
        <v>15.5625</v>
      </c>
      <c r="N1999">
        <f t="shared" si="333"/>
        <v>1.3</v>
      </c>
      <c r="O1999">
        <f t="shared" si="334"/>
        <v>5.875</v>
      </c>
      <c r="P1999">
        <f t="shared" si="335"/>
        <v>8.1818181818181817</v>
      </c>
      <c r="Q1999">
        <f t="shared" si="336"/>
        <v>27.888888888888889</v>
      </c>
      <c r="R1999">
        <f t="shared" si="337"/>
        <v>87.35</v>
      </c>
      <c r="S1999" t="str">
        <f t="shared" si="338"/>
        <v>Satisfactory</v>
      </c>
      <c r="T1999" t="str">
        <f t="shared" si="339"/>
        <v>PM10</v>
      </c>
      <c r="U1999">
        <v>24.73</v>
      </c>
      <c r="V1999">
        <v>49.47</v>
      </c>
    </row>
    <row r="2000" spans="1:22" x14ac:dyDescent="0.3">
      <c r="A2000" s="2" t="s">
        <v>15</v>
      </c>
      <c r="B2000">
        <v>560026</v>
      </c>
      <c r="C2000" s="4">
        <v>45557</v>
      </c>
      <c r="D2000">
        <v>25.48</v>
      </c>
      <c r="E2000">
        <v>48.51</v>
      </c>
      <c r="F2000">
        <v>12.28</v>
      </c>
      <c r="G2000">
        <v>5.28</v>
      </c>
      <c r="H2000">
        <v>5.13</v>
      </c>
      <c r="I2000">
        <v>0.54</v>
      </c>
      <c r="J2000">
        <v>31.18</v>
      </c>
      <c r="K2000">
        <f t="shared" si="330"/>
        <v>42.466666666666669</v>
      </c>
      <c r="L2000">
        <f t="shared" si="331"/>
        <v>48.51</v>
      </c>
      <c r="M2000">
        <f t="shared" si="332"/>
        <v>15.35</v>
      </c>
      <c r="N2000">
        <f t="shared" si="333"/>
        <v>1.32</v>
      </c>
      <c r="O2000">
        <f t="shared" si="334"/>
        <v>6.4124999999999996</v>
      </c>
      <c r="P2000">
        <f t="shared" si="335"/>
        <v>6.1363636363636367</v>
      </c>
      <c r="Q2000">
        <f t="shared" si="336"/>
        <v>28.87037037037037</v>
      </c>
      <c r="R2000">
        <f t="shared" si="337"/>
        <v>48.51</v>
      </c>
      <c r="S2000" t="str">
        <f t="shared" si="338"/>
        <v>Good</v>
      </c>
      <c r="T2000" t="str">
        <f t="shared" si="339"/>
        <v>PM10</v>
      </c>
      <c r="U2000">
        <v>23.96</v>
      </c>
      <c r="V2000">
        <v>54.03</v>
      </c>
    </row>
    <row r="2001" spans="1:22" x14ac:dyDescent="0.3">
      <c r="A2001" s="2" t="s">
        <v>15</v>
      </c>
      <c r="B2001">
        <v>560026</v>
      </c>
      <c r="C2001" s="4">
        <v>45558</v>
      </c>
      <c r="D2001">
        <v>23.98</v>
      </c>
      <c r="E2001">
        <v>45.14</v>
      </c>
      <c r="F2001">
        <v>12.18</v>
      </c>
      <c r="G2001">
        <v>5.2</v>
      </c>
      <c r="H2001">
        <v>5.61</v>
      </c>
      <c r="I2001">
        <v>0.69</v>
      </c>
      <c r="J2001">
        <v>32.700000000000003</v>
      </c>
      <c r="K2001">
        <f t="shared" si="330"/>
        <v>39.966666666666669</v>
      </c>
      <c r="L2001">
        <f t="shared" si="331"/>
        <v>45.14</v>
      </c>
      <c r="M2001">
        <f t="shared" si="332"/>
        <v>15.225</v>
      </c>
      <c r="N2001">
        <f t="shared" si="333"/>
        <v>1.3</v>
      </c>
      <c r="O2001">
        <f t="shared" si="334"/>
        <v>7.0125000000000002</v>
      </c>
      <c r="P2001">
        <f t="shared" si="335"/>
        <v>7.8409090909090899</v>
      </c>
      <c r="Q2001">
        <f t="shared" si="336"/>
        <v>30.277777777777782</v>
      </c>
      <c r="R2001">
        <f t="shared" si="337"/>
        <v>45.14</v>
      </c>
      <c r="S2001" t="str">
        <f t="shared" si="338"/>
        <v>Good</v>
      </c>
      <c r="T2001" t="str">
        <f t="shared" si="339"/>
        <v>PM10</v>
      </c>
      <c r="U2001">
        <v>24.64</v>
      </c>
      <c r="V2001">
        <v>54.06</v>
      </c>
    </row>
    <row r="2002" spans="1:22" x14ac:dyDescent="0.3">
      <c r="A2002" s="2" t="s">
        <v>15</v>
      </c>
      <c r="B2002">
        <v>560026</v>
      </c>
      <c r="C2002" s="4">
        <v>45559</v>
      </c>
      <c r="D2002">
        <v>24.84</v>
      </c>
      <c r="E2002">
        <v>46.92</v>
      </c>
      <c r="F2002">
        <v>12.16</v>
      </c>
      <c r="G2002">
        <v>5.22</v>
      </c>
      <c r="H2002">
        <v>5.59</v>
      </c>
      <c r="I2002">
        <v>0.44</v>
      </c>
      <c r="J2002">
        <v>33.549999999999997</v>
      </c>
      <c r="K2002">
        <f t="shared" si="330"/>
        <v>41.4</v>
      </c>
      <c r="L2002">
        <f t="shared" si="331"/>
        <v>46.92</v>
      </c>
      <c r="M2002">
        <f t="shared" si="332"/>
        <v>15.2</v>
      </c>
      <c r="N2002">
        <f t="shared" si="333"/>
        <v>1.3049999999999999</v>
      </c>
      <c r="O2002">
        <f t="shared" si="334"/>
        <v>6.9874999999999998</v>
      </c>
      <c r="P2002">
        <f t="shared" si="335"/>
        <v>5</v>
      </c>
      <c r="Q2002">
        <f t="shared" si="336"/>
        <v>31.064814814814813</v>
      </c>
      <c r="R2002">
        <f t="shared" si="337"/>
        <v>46.92</v>
      </c>
      <c r="S2002" t="str">
        <f t="shared" si="338"/>
        <v>Good</v>
      </c>
      <c r="T2002" t="str">
        <f t="shared" si="339"/>
        <v>PM10</v>
      </c>
      <c r="U2002">
        <v>24.48</v>
      </c>
      <c r="V2002">
        <v>57.2</v>
      </c>
    </row>
    <row r="2003" spans="1:22" x14ac:dyDescent="0.3">
      <c r="A2003" s="2" t="s">
        <v>15</v>
      </c>
      <c r="B2003">
        <v>560026</v>
      </c>
      <c r="C2003" s="4">
        <v>45560</v>
      </c>
      <c r="D2003">
        <v>24.75</v>
      </c>
      <c r="E2003">
        <v>46.82</v>
      </c>
      <c r="F2003">
        <v>12.28</v>
      </c>
      <c r="G2003">
        <v>5.22</v>
      </c>
      <c r="H2003">
        <v>5.24</v>
      </c>
      <c r="I2003">
        <v>0.47</v>
      </c>
      <c r="J2003">
        <v>31.1</v>
      </c>
      <c r="K2003">
        <f t="shared" si="330"/>
        <v>41.25</v>
      </c>
      <c r="L2003">
        <f t="shared" si="331"/>
        <v>46.82</v>
      </c>
      <c r="M2003">
        <f t="shared" si="332"/>
        <v>15.35</v>
      </c>
      <c r="N2003">
        <f t="shared" si="333"/>
        <v>1.3049999999999999</v>
      </c>
      <c r="O2003">
        <f t="shared" si="334"/>
        <v>6.55</v>
      </c>
      <c r="P2003">
        <f t="shared" si="335"/>
        <v>5.3409090909090908</v>
      </c>
      <c r="Q2003">
        <f t="shared" si="336"/>
        <v>28.796296296296298</v>
      </c>
      <c r="R2003">
        <f t="shared" si="337"/>
        <v>46.82</v>
      </c>
      <c r="S2003" t="str">
        <f t="shared" si="338"/>
        <v>Good</v>
      </c>
      <c r="T2003" t="str">
        <f t="shared" si="339"/>
        <v>PM10</v>
      </c>
      <c r="U2003">
        <v>23.91</v>
      </c>
      <c r="V2003">
        <v>55.69</v>
      </c>
    </row>
    <row r="2004" spans="1:22" x14ac:dyDescent="0.3">
      <c r="A2004" s="2" t="s">
        <v>15</v>
      </c>
      <c r="B2004">
        <v>560026</v>
      </c>
      <c r="C2004" s="4">
        <v>45561</v>
      </c>
      <c r="D2004">
        <v>23.27</v>
      </c>
      <c r="E2004">
        <v>43.1</v>
      </c>
      <c r="F2004">
        <v>12.26</v>
      </c>
      <c r="G2004">
        <v>5.27</v>
      </c>
      <c r="H2004">
        <v>5.69</v>
      </c>
      <c r="I2004">
        <v>0.41</v>
      </c>
      <c r="J2004">
        <v>33.24</v>
      </c>
      <c r="K2004">
        <f t="shared" si="330"/>
        <v>38.783333333333331</v>
      </c>
      <c r="L2004">
        <f t="shared" si="331"/>
        <v>43.1</v>
      </c>
      <c r="M2004">
        <f t="shared" si="332"/>
        <v>15.324999999999999</v>
      </c>
      <c r="N2004">
        <f t="shared" si="333"/>
        <v>1.3174999999999999</v>
      </c>
      <c r="O2004">
        <f t="shared" si="334"/>
        <v>7.1124999999999998</v>
      </c>
      <c r="P2004">
        <f t="shared" si="335"/>
        <v>4.6590909090909083</v>
      </c>
      <c r="Q2004">
        <f t="shared" si="336"/>
        <v>30.777777777777779</v>
      </c>
      <c r="R2004">
        <f t="shared" si="337"/>
        <v>43.1</v>
      </c>
      <c r="S2004" t="str">
        <f t="shared" si="338"/>
        <v>Good</v>
      </c>
      <c r="T2004" t="str">
        <f t="shared" si="339"/>
        <v>PM10</v>
      </c>
      <c r="U2004">
        <v>24.18</v>
      </c>
      <c r="V2004">
        <v>50.08</v>
      </c>
    </row>
    <row r="2005" spans="1:22" x14ac:dyDescent="0.3">
      <c r="A2005" s="2" t="s">
        <v>15</v>
      </c>
      <c r="B2005">
        <v>560026</v>
      </c>
      <c r="C2005" s="4">
        <v>45562</v>
      </c>
      <c r="D2005">
        <v>24.78</v>
      </c>
      <c r="E2005">
        <v>47</v>
      </c>
      <c r="F2005">
        <v>11.94</v>
      </c>
      <c r="G2005">
        <v>5.18</v>
      </c>
      <c r="H2005">
        <v>5.26</v>
      </c>
      <c r="I2005">
        <v>0.46</v>
      </c>
      <c r="J2005">
        <v>30.43</v>
      </c>
      <c r="K2005">
        <f t="shared" si="330"/>
        <v>41.3</v>
      </c>
      <c r="L2005">
        <f t="shared" si="331"/>
        <v>47</v>
      </c>
      <c r="M2005">
        <f t="shared" si="332"/>
        <v>14.925000000000001</v>
      </c>
      <c r="N2005">
        <f t="shared" si="333"/>
        <v>1.2949999999999999</v>
      </c>
      <c r="O2005">
        <f t="shared" si="334"/>
        <v>6.5750000000000002</v>
      </c>
      <c r="P2005">
        <f t="shared" si="335"/>
        <v>5.2272727272727275</v>
      </c>
      <c r="Q2005">
        <f t="shared" si="336"/>
        <v>28.175925925925927</v>
      </c>
      <c r="R2005">
        <f t="shared" si="337"/>
        <v>47</v>
      </c>
      <c r="S2005" t="str">
        <f t="shared" si="338"/>
        <v>Good</v>
      </c>
      <c r="T2005" t="str">
        <f t="shared" si="339"/>
        <v>PM10</v>
      </c>
      <c r="U2005">
        <v>23.94</v>
      </c>
      <c r="V2005">
        <v>49.04</v>
      </c>
    </row>
    <row r="2006" spans="1:22" x14ac:dyDescent="0.3">
      <c r="A2006" s="2" t="s">
        <v>15</v>
      </c>
      <c r="B2006">
        <v>560026</v>
      </c>
      <c r="C2006" s="4">
        <v>45563</v>
      </c>
      <c r="D2006">
        <v>39.770000000000003</v>
      </c>
      <c r="E2006">
        <v>84.13</v>
      </c>
      <c r="F2006">
        <v>12.4</v>
      </c>
      <c r="G2006">
        <v>5.16</v>
      </c>
      <c r="H2006">
        <v>5.08</v>
      </c>
      <c r="I2006">
        <v>1.4</v>
      </c>
      <c r="J2006">
        <v>28.82</v>
      </c>
      <c r="K2006">
        <f t="shared" si="330"/>
        <v>66.283333333333331</v>
      </c>
      <c r="L2006">
        <f t="shared" si="331"/>
        <v>84.13</v>
      </c>
      <c r="M2006">
        <f t="shared" si="332"/>
        <v>15.5</v>
      </c>
      <c r="N2006">
        <f t="shared" si="333"/>
        <v>1.29</v>
      </c>
      <c r="O2006">
        <f t="shared" si="334"/>
        <v>6.35</v>
      </c>
      <c r="P2006">
        <f t="shared" si="335"/>
        <v>15.909090909090908</v>
      </c>
      <c r="Q2006">
        <f t="shared" si="336"/>
        <v>26.685185185185187</v>
      </c>
      <c r="R2006">
        <f t="shared" si="337"/>
        <v>84.13</v>
      </c>
      <c r="S2006" t="str">
        <f t="shared" si="338"/>
        <v>Satisfactory</v>
      </c>
      <c r="T2006" t="str">
        <f t="shared" si="339"/>
        <v>PM10</v>
      </c>
      <c r="U2006">
        <v>25.94</v>
      </c>
      <c r="V2006">
        <v>51</v>
      </c>
    </row>
    <row r="2007" spans="1:22" x14ac:dyDescent="0.3">
      <c r="A2007" s="2" t="s">
        <v>15</v>
      </c>
      <c r="B2007">
        <v>560026</v>
      </c>
      <c r="C2007" s="4">
        <v>45564</v>
      </c>
      <c r="D2007">
        <v>31.22</v>
      </c>
      <c r="E2007">
        <v>62.96</v>
      </c>
      <c r="F2007">
        <v>12.25</v>
      </c>
      <c r="G2007">
        <v>5.22</v>
      </c>
      <c r="H2007">
        <v>4.63</v>
      </c>
      <c r="I2007">
        <v>1.06</v>
      </c>
      <c r="J2007">
        <v>32.020000000000003</v>
      </c>
      <c r="K2007">
        <f t="shared" si="330"/>
        <v>52.033333333333331</v>
      </c>
      <c r="L2007">
        <f t="shared" si="331"/>
        <v>62.96</v>
      </c>
      <c r="M2007">
        <f t="shared" si="332"/>
        <v>15.3125</v>
      </c>
      <c r="N2007">
        <f t="shared" si="333"/>
        <v>1.3049999999999999</v>
      </c>
      <c r="O2007">
        <f t="shared" si="334"/>
        <v>5.7874999999999996</v>
      </c>
      <c r="P2007">
        <f t="shared" si="335"/>
        <v>12.045454545454545</v>
      </c>
      <c r="Q2007">
        <f t="shared" si="336"/>
        <v>29.648148148148152</v>
      </c>
      <c r="R2007">
        <f t="shared" si="337"/>
        <v>62.96</v>
      </c>
      <c r="S2007" t="str">
        <f t="shared" si="338"/>
        <v>Satisfactory</v>
      </c>
      <c r="T2007" t="str">
        <f t="shared" si="339"/>
        <v>PM10</v>
      </c>
      <c r="U2007">
        <v>26.38</v>
      </c>
      <c r="V2007">
        <v>53.54</v>
      </c>
    </row>
    <row r="2008" spans="1:22" x14ac:dyDescent="0.3">
      <c r="A2008" s="2" t="s">
        <v>15</v>
      </c>
      <c r="B2008">
        <v>560026</v>
      </c>
      <c r="C2008" s="4">
        <v>45565</v>
      </c>
      <c r="D2008">
        <v>34.18</v>
      </c>
      <c r="E2008">
        <v>70.48</v>
      </c>
      <c r="F2008">
        <v>12.26</v>
      </c>
      <c r="G2008">
        <v>5.25</v>
      </c>
      <c r="H2008">
        <v>4.7699999999999996</v>
      </c>
      <c r="I2008">
        <v>0.69</v>
      </c>
      <c r="J2008">
        <v>33.35</v>
      </c>
      <c r="K2008">
        <f t="shared" si="330"/>
        <v>56.966666666666669</v>
      </c>
      <c r="L2008">
        <f t="shared" si="331"/>
        <v>70.48</v>
      </c>
      <c r="M2008">
        <f t="shared" si="332"/>
        <v>15.324999999999999</v>
      </c>
      <c r="N2008">
        <f t="shared" si="333"/>
        <v>1.3125</v>
      </c>
      <c r="O2008">
        <f t="shared" si="334"/>
        <v>5.9624999999999995</v>
      </c>
      <c r="P2008">
        <f t="shared" si="335"/>
        <v>7.8409090909090899</v>
      </c>
      <c r="Q2008">
        <f t="shared" si="336"/>
        <v>30.87962962962963</v>
      </c>
      <c r="R2008">
        <f t="shared" si="337"/>
        <v>70.48</v>
      </c>
      <c r="S2008" t="str">
        <f t="shared" si="338"/>
        <v>Satisfactory</v>
      </c>
      <c r="T2008" t="str">
        <f t="shared" si="339"/>
        <v>PM10</v>
      </c>
      <c r="U2008">
        <v>27.32</v>
      </c>
      <c r="V2008">
        <v>50.91</v>
      </c>
    </row>
    <row r="2009" spans="1:22" x14ac:dyDescent="0.3">
      <c r="A2009" s="2" t="s">
        <v>15</v>
      </c>
      <c r="B2009">
        <v>560026</v>
      </c>
      <c r="C2009" s="4">
        <v>45566</v>
      </c>
      <c r="D2009">
        <v>35.380000000000003</v>
      </c>
      <c r="E2009">
        <v>73.55</v>
      </c>
      <c r="F2009">
        <v>12.29</v>
      </c>
      <c r="G2009">
        <v>5.21</v>
      </c>
      <c r="H2009">
        <v>5.31</v>
      </c>
      <c r="I2009">
        <v>0.71</v>
      </c>
      <c r="J2009">
        <v>36.75</v>
      </c>
      <c r="K2009">
        <f t="shared" si="330"/>
        <v>58.966666666666669</v>
      </c>
      <c r="L2009">
        <f t="shared" si="331"/>
        <v>73.55</v>
      </c>
      <c r="M2009">
        <f t="shared" si="332"/>
        <v>15.362500000000001</v>
      </c>
      <c r="N2009">
        <f t="shared" si="333"/>
        <v>1.3025</v>
      </c>
      <c r="O2009">
        <f t="shared" si="334"/>
        <v>6.6375000000000002</v>
      </c>
      <c r="P2009">
        <f t="shared" si="335"/>
        <v>8.0681818181818183</v>
      </c>
      <c r="Q2009">
        <f t="shared" si="336"/>
        <v>34.027777777777779</v>
      </c>
      <c r="R2009">
        <f t="shared" si="337"/>
        <v>73.55</v>
      </c>
      <c r="S2009" t="str">
        <f t="shared" si="338"/>
        <v>Satisfactory</v>
      </c>
      <c r="T2009" t="str">
        <f t="shared" si="339"/>
        <v>PM10</v>
      </c>
      <c r="U2009">
        <v>27.14</v>
      </c>
      <c r="V2009">
        <v>49.47</v>
      </c>
    </row>
    <row r="2010" spans="1:22" x14ac:dyDescent="0.3">
      <c r="A2010" s="2" t="s">
        <v>15</v>
      </c>
      <c r="B2010">
        <v>560026</v>
      </c>
      <c r="C2010" s="4">
        <v>45567</v>
      </c>
      <c r="D2010">
        <v>28.51</v>
      </c>
      <c r="E2010">
        <v>56.2</v>
      </c>
      <c r="F2010">
        <v>12.27</v>
      </c>
      <c r="G2010">
        <v>5.22</v>
      </c>
      <c r="H2010">
        <v>3.91</v>
      </c>
      <c r="I2010">
        <v>0.62</v>
      </c>
      <c r="J2010">
        <v>37.96</v>
      </c>
      <c r="K2010">
        <f t="shared" si="330"/>
        <v>47.516666666666666</v>
      </c>
      <c r="L2010">
        <f t="shared" si="331"/>
        <v>56.2</v>
      </c>
      <c r="M2010">
        <f t="shared" si="332"/>
        <v>15.3375</v>
      </c>
      <c r="N2010">
        <f t="shared" si="333"/>
        <v>1.3049999999999999</v>
      </c>
      <c r="O2010">
        <f t="shared" si="334"/>
        <v>4.8875000000000002</v>
      </c>
      <c r="P2010">
        <f t="shared" si="335"/>
        <v>7.045454545454545</v>
      </c>
      <c r="Q2010">
        <f t="shared" si="336"/>
        <v>35.148148148148152</v>
      </c>
      <c r="R2010">
        <f t="shared" si="337"/>
        <v>56.2</v>
      </c>
      <c r="S2010" t="str">
        <f t="shared" si="338"/>
        <v>Satisfactory</v>
      </c>
      <c r="T2010" t="str">
        <f t="shared" si="339"/>
        <v>PM10</v>
      </c>
      <c r="U2010">
        <v>26.64</v>
      </c>
      <c r="V2010">
        <v>53.63</v>
      </c>
    </row>
    <row r="2011" spans="1:22" x14ac:dyDescent="0.3">
      <c r="A2011" s="2" t="s">
        <v>15</v>
      </c>
      <c r="B2011">
        <v>560026</v>
      </c>
      <c r="C2011" s="4">
        <v>45568</v>
      </c>
      <c r="D2011">
        <v>27.97</v>
      </c>
      <c r="E2011">
        <v>54.93</v>
      </c>
      <c r="F2011">
        <v>12.39</v>
      </c>
      <c r="G2011">
        <v>5.23</v>
      </c>
      <c r="H2011">
        <v>4.9000000000000004</v>
      </c>
      <c r="I2011">
        <v>0.85</v>
      </c>
      <c r="J2011">
        <v>31.72</v>
      </c>
      <c r="K2011">
        <f t="shared" si="330"/>
        <v>46.616666666666667</v>
      </c>
      <c r="L2011">
        <f t="shared" si="331"/>
        <v>54.93</v>
      </c>
      <c r="M2011">
        <f t="shared" si="332"/>
        <v>15.487500000000001</v>
      </c>
      <c r="N2011">
        <f t="shared" si="333"/>
        <v>1.3075000000000001</v>
      </c>
      <c r="O2011">
        <f t="shared" si="334"/>
        <v>6.1250000000000009</v>
      </c>
      <c r="P2011">
        <f t="shared" si="335"/>
        <v>9.6590909090909083</v>
      </c>
      <c r="Q2011">
        <f t="shared" si="336"/>
        <v>29.37037037037037</v>
      </c>
      <c r="R2011">
        <f t="shared" si="337"/>
        <v>54.93</v>
      </c>
      <c r="S2011" t="str">
        <f t="shared" si="338"/>
        <v>Satisfactory</v>
      </c>
      <c r="T2011" t="str">
        <f t="shared" si="339"/>
        <v>PM10</v>
      </c>
      <c r="U2011">
        <v>23.48</v>
      </c>
      <c r="V2011">
        <v>53.96</v>
      </c>
    </row>
    <row r="2012" spans="1:22" x14ac:dyDescent="0.3">
      <c r="A2012" s="2" t="s">
        <v>15</v>
      </c>
      <c r="B2012">
        <v>560026</v>
      </c>
      <c r="C2012" s="4">
        <v>45569</v>
      </c>
      <c r="D2012">
        <v>32.03</v>
      </c>
      <c r="E2012">
        <v>65.069999999999993</v>
      </c>
      <c r="F2012">
        <v>12.15</v>
      </c>
      <c r="G2012">
        <v>5.27</v>
      </c>
      <c r="H2012">
        <v>4.3899999999999997</v>
      </c>
      <c r="I2012">
        <v>0.93</v>
      </c>
      <c r="J2012">
        <v>29.05</v>
      </c>
      <c r="K2012">
        <f t="shared" si="330"/>
        <v>53.383333333333333</v>
      </c>
      <c r="L2012">
        <f t="shared" si="331"/>
        <v>65.069999999999993</v>
      </c>
      <c r="M2012">
        <f t="shared" si="332"/>
        <v>15.1875</v>
      </c>
      <c r="N2012">
        <f t="shared" si="333"/>
        <v>1.3174999999999999</v>
      </c>
      <c r="O2012">
        <f t="shared" si="334"/>
        <v>5.4874999999999989</v>
      </c>
      <c r="P2012">
        <f t="shared" si="335"/>
        <v>10.568181818181818</v>
      </c>
      <c r="Q2012">
        <f t="shared" si="336"/>
        <v>26.898148148148149</v>
      </c>
      <c r="R2012">
        <f t="shared" si="337"/>
        <v>65.069999999999993</v>
      </c>
      <c r="S2012" t="str">
        <f t="shared" si="338"/>
        <v>Satisfactory</v>
      </c>
      <c r="T2012" t="str">
        <f t="shared" si="339"/>
        <v>PM10</v>
      </c>
      <c r="U2012">
        <v>24.7</v>
      </c>
      <c r="V2012">
        <v>57.73</v>
      </c>
    </row>
    <row r="2013" spans="1:22" x14ac:dyDescent="0.3">
      <c r="A2013" s="2" t="s">
        <v>15</v>
      </c>
      <c r="B2013">
        <v>560026</v>
      </c>
      <c r="C2013" s="4">
        <v>45570</v>
      </c>
      <c r="D2013">
        <v>22.2</v>
      </c>
      <c r="E2013">
        <v>40.39</v>
      </c>
      <c r="F2013">
        <v>12.22</v>
      </c>
      <c r="G2013">
        <v>5.21</v>
      </c>
      <c r="H2013">
        <v>5.4</v>
      </c>
      <c r="I2013">
        <v>0.87</v>
      </c>
      <c r="J2013">
        <v>29.3</v>
      </c>
      <c r="K2013">
        <f t="shared" si="330"/>
        <v>37</v>
      </c>
      <c r="L2013">
        <f t="shared" si="331"/>
        <v>40.39</v>
      </c>
      <c r="M2013">
        <f t="shared" si="332"/>
        <v>15.275</v>
      </c>
      <c r="N2013">
        <f t="shared" si="333"/>
        <v>1.3025</v>
      </c>
      <c r="O2013">
        <f t="shared" si="334"/>
        <v>6.75</v>
      </c>
      <c r="P2013">
        <f t="shared" si="335"/>
        <v>9.8863636363636367</v>
      </c>
      <c r="Q2013">
        <f t="shared" si="336"/>
        <v>27.12962962962963</v>
      </c>
      <c r="R2013">
        <f t="shared" si="337"/>
        <v>40.39</v>
      </c>
      <c r="S2013" t="str">
        <f t="shared" si="338"/>
        <v>Good</v>
      </c>
      <c r="T2013" t="str">
        <f t="shared" si="339"/>
        <v>PM10</v>
      </c>
      <c r="U2013">
        <v>23.61</v>
      </c>
      <c r="V2013">
        <v>54.22</v>
      </c>
    </row>
    <row r="2014" spans="1:22" x14ac:dyDescent="0.3">
      <c r="A2014" s="2" t="s">
        <v>15</v>
      </c>
      <c r="B2014">
        <v>560026</v>
      </c>
      <c r="C2014" s="4">
        <v>45571</v>
      </c>
      <c r="D2014">
        <v>36.39</v>
      </c>
      <c r="E2014">
        <v>75.75</v>
      </c>
      <c r="F2014">
        <v>12.2</v>
      </c>
      <c r="G2014">
        <v>5.28</v>
      </c>
      <c r="H2014">
        <v>5.12</v>
      </c>
      <c r="I2014">
        <v>0.89</v>
      </c>
      <c r="J2014">
        <v>33.32</v>
      </c>
      <c r="K2014">
        <f t="shared" si="330"/>
        <v>60.65</v>
      </c>
      <c r="L2014">
        <f t="shared" si="331"/>
        <v>75.75</v>
      </c>
      <c r="M2014">
        <f t="shared" si="332"/>
        <v>15.25</v>
      </c>
      <c r="N2014">
        <f t="shared" si="333"/>
        <v>1.32</v>
      </c>
      <c r="O2014">
        <f t="shared" si="334"/>
        <v>6.4</v>
      </c>
      <c r="P2014">
        <f t="shared" si="335"/>
        <v>10.113636363636363</v>
      </c>
      <c r="Q2014">
        <f t="shared" si="336"/>
        <v>30.851851851851851</v>
      </c>
      <c r="R2014">
        <f t="shared" si="337"/>
        <v>75.75</v>
      </c>
      <c r="S2014" t="str">
        <f t="shared" si="338"/>
        <v>Satisfactory</v>
      </c>
      <c r="T2014" t="str">
        <f t="shared" si="339"/>
        <v>PM10</v>
      </c>
      <c r="U2014">
        <v>24.97</v>
      </c>
      <c r="V2014">
        <v>52.87</v>
      </c>
    </row>
    <row r="2015" spans="1:22" x14ac:dyDescent="0.3">
      <c r="A2015" s="2" t="s">
        <v>15</v>
      </c>
      <c r="B2015">
        <v>560026</v>
      </c>
      <c r="C2015" s="4">
        <v>45572</v>
      </c>
      <c r="D2015">
        <v>53.14</v>
      </c>
      <c r="E2015">
        <v>117.78</v>
      </c>
      <c r="F2015">
        <v>12.31</v>
      </c>
      <c r="G2015">
        <v>5.17</v>
      </c>
      <c r="H2015">
        <v>5.74</v>
      </c>
      <c r="I2015">
        <v>0.91</v>
      </c>
      <c r="J2015">
        <v>28.62</v>
      </c>
      <c r="K2015">
        <f t="shared" si="330"/>
        <v>88.566666666666663</v>
      </c>
      <c r="L2015">
        <f t="shared" si="331"/>
        <v>111.85333333333334</v>
      </c>
      <c r="M2015">
        <f t="shared" si="332"/>
        <v>15.387499999999999</v>
      </c>
      <c r="N2015">
        <f t="shared" si="333"/>
        <v>1.2925</v>
      </c>
      <c r="O2015">
        <f t="shared" si="334"/>
        <v>7.1749999999999998</v>
      </c>
      <c r="P2015">
        <f t="shared" si="335"/>
        <v>10.340909090909092</v>
      </c>
      <c r="Q2015">
        <f t="shared" si="336"/>
        <v>26.5</v>
      </c>
      <c r="R2015">
        <f t="shared" si="337"/>
        <v>111.85333333333334</v>
      </c>
      <c r="S2015" t="str">
        <f t="shared" si="338"/>
        <v>Moderate</v>
      </c>
      <c r="T2015" t="str">
        <f t="shared" si="339"/>
        <v>PM10</v>
      </c>
      <c r="U2015">
        <v>25.75</v>
      </c>
      <c r="V2015">
        <v>51.08</v>
      </c>
    </row>
    <row r="2016" spans="1:22" x14ac:dyDescent="0.3">
      <c r="A2016" s="2" t="s">
        <v>15</v>
      </c>
      <c r="B2016">
        <v>560026</v>
      </c>
      <c r="C2016" s="4">
        <v>45573</v>
      </c>
      <c r="D2016">
        <v>33.19</v>
      </c>
      <c r="E2016">
        <v>67.94</v>
      </c>
      <c r="F2016">
        <v>12.29</v>
      </c>
      <c r="G2016">
        <v>5.2</v>
      </c>
      <c r="H2016">
        <v>5.74</v>
      </c>
      <c r="I2016">
        <v>0.59</v>
      </c>
      <c r="J2016">
        <v>36.71</v>
      </c>
      <c r="K2016">
        <f t="shared" si="330"/>
        <v>55.316666666666663</v>
      </c>
      <c r="L2016">
        <f t="shared" si="331"/>
        <v>67.94</v>
      </c>
      <c r="M2016">
        <f t="shared" si="332"/>
        <v>15.362500000000001</v>
      </c>
      <c r="N2016">
        <f t="shared" si="333"/>
        <v>1.3</v>
      </c>
      <c r="O2016">
        <f t="shared" si="334"/>
        <v>7.1749999999999998</v>
      </c>
      <c r="P2016">
        <f t="shared" si="335"/>
        <v>6.7045454545454541</v>
      </c>
      <c r="Q2016">
        <f t="shared" si="336"/>
        <v>33.99074074074074</v>
      </c>
      <c r="R2016">
        <f t="shared" si="337"/>
        <v>67.94</v>
      </c>
      <c r="S2016" t="str">
        <f t="shared" si="338"/>
        <v>Satisfactory</v>
      </c>
      <c r="T2016" t="str">
        <f t="shared" si="339"/>
        <v>PM10</v>
      </c>
      <c r="U2016">
        <v>26.08</v>
      </c>
      <c r="V2016">
        <v>53.79</v>
      </c>
    </row>
    <row r="2017" spans="1:22" x14ac:dyDescent="0.3">
      <c r="A2017" s="2" t="s">
        <v>15</v>
      </c>
      <c r="B2017">
        <v>560026</v>
      </c>
      <c r="C2017" s="4">
        <v>45574</v>
      </c>
      <c r="D2017">
        <v>27.94</v>
      </c>
      <c r="E2017">
        <v>54.47</v>
      </c>
      <c r="F2017">
        <v>12.25</v>
      </c>
      <c r="G2017">
        <v>5.21</v>
      </c>
      <c r="H2017">
        <v>6.18</v>
      </c>
      <c r="I2017">
        <v>0.56000000000000005</v>
      </c>
      <c r="J2017">
        <v>36.200000000000003</v>
      </c>
      <c r="K2017">
        <f t="shared" si="330"/>
        <v>46.56666666666667</v>
      </c>
      <c r="L2017">
        <f t="shared" si="331"/>
        <v>54.47</v>
      </c>
      <c r="M2017">
        <f t="shared" si="332"/>
        <v>15.3125</v>
      </c>
      <c r="N2017">
        <f t="shared" si="333"/>
        <v>1.3025</v>
      </c>
      <c r="O2017">
        <f t="shared" si="334"/>
        <v>7.7249999999999996</v>
      </c>
      <c r="P2017">
        <f t="shared" si="335"/>
        <v>6.3636363636363642</v>
      </c>
      <c r="Q2017">
        <f t="shared" si="336"/>
        <v>33.518518518518519</v>
      </c>
      <c r="R2017">
        <f t="shared" si="337"/>
        <v>54.47</v>
      </c>
      <c r="S2017" t="str">
        <f t="shared" si="338"/>
        <v>Satisfactory</v>
      </c>
      <c r="T2017" t="str">
        <f t="shared" si="339"/>
        <v>PM10</v>
      </c>
      <c r="U2017">
        <v>26</v>
      </c>
      <c r="V2017">
        <v>58.68</v>
      </c>
    </row>
    <row r="2018" spans="1:22" x14ac:dyDescent="0.3">
      <c r="A2018" s="2" t="s">
        <v>15</v>
      </c>
      <c r="B2018">
        <v>560026</v>
      </c>
      <c r="C2018" s="4">
        <v>45575</v>
      </c>
      <c r="D2018">
        <v>28.32</v>
      </c>
      <c r="E2018">
        <v>55.83</v>
      </c>
      <c r="F2018">
        <v>12.24</v>
      </c>
      <c r="G2018">
        <v>5.23</v>
      </c>
      <c r="H2018">
        <v>5.24</v>
      </c>
      <c r="I2018">
        <v>0.64</v>
      </c>
      <c r="J2018">
        <v>36.79</v>
      </c>
      <c r="K2018">
        <f t="shared" si="330"/>
        <v>47.2</v>
      </c>
      <c r="L2018">
        <f t="shared" si="331"/>
        <v>55.83</v>
      </c>
      <c r="M2018">
        <f t="shared" si="332"/>
        <v>15.3</v>
      </c>
      <c r="N2018">
        <f t="shared" si="333"/>
        <v>1.3075000000000001</v>
      </c>
      <c r="O2018">
        <f t="shared" si="334"/>
        <v>6.55</v>
      </c>
      <c r="P2018">
        <f t="shared" si="335"/>
        <v>7.2727272727272725</v>
      </c>
      <c r="Q2018">
        <f t="shared" si="336"/>
        <v>34.064814814814817</v>
      </c>
      <c r="R2018">
        <f t="shared" si="337"/>
        <v>55.83</v>
      </c>
      <c r="S2018" t="str">
        <f t="shared" si="338"/>
        <v>Satisfactory</v>
      </c>
      <c r="T2018" t="str">
        <f t="shared" si="339"/>
        <v>PM10</v>
      </c>
      <c r="U2018">
        <v>25.07</v>
      </c>
      <c r="V2018">
        <v>49.97</v>
      </c>
    </row>
    <row r="2019" spans="1:22" x14ac:dyDescent="0.3">
      <c r="A2019" s="2" t="s">
        <v>15</v>
      </c>
      <c r="B2019">
        <v>560026</v>
      </c>
      <c r="C2019" s="4">
        <v>45576</v>
      </c>
      <c r="D2019">
        <v>28.22</v>
      </c>
      <c r="E2019">
        <v>55.43</v>
      </c>
      <c r="F2019">
        <v>12.26</v>
      </c>
      <c r="G2019">
        <v>5.19</v>
      </c>
      <c r="H2019">
        <v>5.72</v>
      </c>
      <c r="I2019">
        <v>0.7</v>
      </c>
      <c r="J2019">
        <v>33.5</v>
      </c>
      <c r="K2019">
        <f t="shared" si="330"/>
        <v>47.033333333333331</v>
      </c>
      <c r="L2019">
        <f t="shared" si="331"/>
        <v>55.43</v>
      </c>
      <c r="M2019">
        <f t="shared" si="332"/>
        <v>15.324999999999999</v>
      </c>
      <c r="N2019">
        <f t="shared" si="333"/>
        <v>1.2975000000000001</v>
      </c>
      <c r="O2019">
        <f t="shared" si="334"/>
        <v>7.15</v>
      </c>
      <c r="P2019">
        <f t="shared" si="335"/>
        <v>7.9545454545454541</v>
      </c>
      <c r="Q2019">
        <f t="shared" si="336"/>
        <v>31.018518518518519</v>
      </c>
      <c r="R2019">
        <f t="shared" si="337"/>
        <v>55.43</v>
      </c>
      <c r="S2019" t="str">
        <f t="shared" si="338"/>
        <v>Satisfactory</v>
      </c>
      <c r="T2019" t="str">
        <f t="shared" si="339"/>
        <v>PM10</v>
      </c>
      <c r="U2019">
        <v>25.18</v>
      </c>
      <c r="V2019">
        <v>50.21</v>
      </c>
    </row>
    <row r="2020" spans="1:22" x14ac:dyDescent="0.3">
      <c r="A2020" s="2" t="s">
        <v>15</v>
      </c>
      <c r="B2020">
        <v>560026</v>
      </c>
      <c r="C2020" s="4">
        <v>45577</v>
      </c>
      <c r="D2020">
        <v>21.8</v>
      </c>
      <c r="E2020">
        <v>39.76</v>
      </c>
      <c r="F2020">
        <v>12.22</v>
      </c>
      <c r="G2020">
        <v>5.3</v>
      </c>
      <c r="H2020">
        <v>4.79</v>
      </c>
      <c r="I2020">
        <v>0.61</v>
      </c>
      <c r="J2020">
        <v>29.6</v>
      </c>
      <c r="K2020">
        <f t="shared" si="330"/>
        <v>36.333333333333336</v>
      </c>
      <c r="L2020">
        <f t="shared" si="331"/>
        <v>39.76</v>
      </c>
      <c r="M2020">
        <f t="shared" si="332"/>
        <v>15.275</v>
      </c>
      <c r="N2020">
        <f t="shared" si="333"/>
        <v>1.325</v>
      </c>
      <c r="O2020">
        <f t="shared" si="334"/>
        <v>5.9874999999999998</v>
      </c>
      <c r="P2020">
        <f t="shared" si="335"/>
        <v>6.9318181818181817</v>
      </c>
      <c r="Q2020">
        <f t="shared" si="336"/>
        <v>27.407407407407408</v>
      </c>
      <c r="R2020">
        <f t="shared" si="337"/>
        <v>39.76</v>
      </c>
      <c r="S2020" t="str">
        <f t="shared" si="338"/>
        <v>Good</v>
      </c>
      <c r="T2020" t="str">
        <f t="shared" si="339"/>
        <v>PM10</v>
      </c>
      <c r="U2020">
        <v>24.63</v>
      </c>
      <c r="V2020">
        <v>50.74</v>
      </c>
    </row>
    <row r="2021" spans="1:22" x14ac:dyDescent="0.3">
      <c r="A2021" s="2" t="s">
        <v>15</v>
      </c>
      <c r="B2021">
        <v>560026</v>
      </c>
      <c r="C2021" s="4">
        <v>45578</v>
      </c>
      <c r="D2021">
        <v>23.06</v>
      </c>
      <c r="E2021">
        <v>42.85</v>
      </c>
      <c r="F2021">
        <v>12.14</v>
      </c>
      <c r="G2021">
        <v>5.23</v>
      </c>
      <c r="H2021">
        <v>4.99</v>
      </c>
      <c r="I2021">
        <v>0.67</v>
      </c>
      <c r="J2021">
        <v>27.48</v>
      </c>
      <c r="K2021">
        <f t="shared" si="330"/>
        <v>38.43333333333333</v>
      </c>
      <c r="L2021">
        <f t="shared" si="331"/>
        <v>42.85</v>
      </c>
      <c r="M2021">
        <f t="shared" si="332"/>
        <v>15.175000000000001</v>
      </c>
      <c r="N2021">
        <f t="shared" si="333"/>
        <v>1.3075000000000001</v>
      </c>
      <c r="O2021">
        <f t="shared" si="334"/>
        <v>6.2374999999999998</v>
      </c>
      <c r="P2021">
        <f t="shared" si="335"/>
        <v>7.6136363636363642</v>
      </c>
      <c r="Q2021">
        <f t="shared" si="336"/>
        <v>25.444444444444446</v>
      </c>
      <c r="R2021">
        <f t="shared" si="337"/>
        <v>42.85</v>
      </c>
      <c r="S2021" t="str">
        <f t="shared" si="338"/>
        <v>Good</v>
      </c>
      <c r="T2021" t="str">
        <f t="shared" si="339"/>
        <v>PM10</v>
      </c>
      <c r="U2021">
        <v>24.49</v>
      </c>
      <c r="V2021">
        <v>49.76</v>
      </c>
    </row>
    <row r="2022" spans="1:22" x14ac:dyDescent="0.3">
      <c r="A2022" s="2" t="s">
        <v>15</v>
      </c>
      <c r="B2022">
        <v>560026</v>
      </c>
      <c r="C2022" s="4">
        <v>45579</v>
      </c>
      <c r="D2022">
        <v>29.16</v>
      </c>
      <c r="E2022">
        <v>57.71</v>
      </c>
      <c r="F2022">
        <v>12.25</v>
      </c>
      <c r="G2022">
        <v>5.27</v>
      </c>
      <c r="H2022">
        <v>5.48</v>
      </c>
      <c r="I2022">
        <v>1.2</v>
      </c>
      <c r="J2022">
        <v>27.62</v>
      </c>
      <c r="K2022">
        <f t="shared" si="330"/>
        <v>48.6</v>
      </c>
      <c r="L2022">
        <f t="shared" si="331"/>
        <v>57.71</v>
      </c>
      <c r="M2022">
        <f t="shared" si="332"/>
        <v>15.3125</v>
      </c>
      <c r="N2022">
        <f t="shared" si="333"/>
        <v>1.3174999999999999</v>
      </c>
      <c r="O2022">
        <f t="shared" si="334"/>
        <v>6.85</v>
      </c>
      <c r="P2022">
        <f t="shared" si="335"/>
        <v>13.636363636363635</v>
      </c>
      <c r="Q2022">
        <f t="shared" si="336"/>
        <v>25.574074074074076</v>
      </c>
      <c r="R2022">
        <f t="shared" si="337"/>
        <v>57.71</v>
      </c>
      <c r="S2022" t="str">
        <f t="shared" si="338"/>
        <v>Satisfactory</v>
      </c>
      <c r="T2022" t="str">
        <f t="shared" si="339"/>
        <v>PM10</v>
      </c>
      <c r="U2022">
        <v>23.14</v>
      </c>
      <c r="V2022">
        <v>49.06</v>
      </c>
    </row>
    <row r="2023" spans="1:22" x14ac:dyDescent="0.3">
      <c r="A2023" s="2" t="s">
        <v>15</v>
      </c>
      <c r="B2023">
        <v>560026</v>
      </c>
      <c r="C2023" s="4">
        <v>45580</v>
      </c>
      <c r="D2023">
        <v>17.7</v>
      </c>
      <c r="E2023">
        <v>29.12</v>
      </c>
      <c r="F2023">
        <v>12.29</v>
      </c>
      <c r="G2023">
        <v>5.26</v>
      </c>
      <c r="H2023">
        <v>6.1</v>
      </c>
      <c r="I2023">
        <v>0.86</v>
      </c>
      <c r="J2023">
        <v>27.61</v>
      </c>
      <c r="K2023">
        <f t="shared" si="330"/>
        <v>29.5</v>
      </c>
      <c r="L2023">
        <f t="shared" si="331"/>
        <v>29.12</v>
      </c>
      <c r="M2023">
        <f t="shared" si="332"/>
        <v>15.362500000000001</v>
      </c>
      <c r="N2023">
        <f t="shared" si="333"/>
        <v>1.3149999999999999</v>
      </c>
      <c r="O2023">
        <f t="shared" si="334"/>
        <v>7.625</v>
      </c>
      <c r="P2023">
        <f t="shared" si="335"/>
        <v>9.7727272727272716</v>
      </c>
      <c r="Q2023">
        <f t="shared" si="336"/>
        <v>25.564814814814813</v>
      </c>
      <c r="R2023">
        <f t="shared" si="337"/>
        <v>29.5</v>
      </c>
      <c r="S2023" t="str">
        <f t="shared" si="338"/>
        <v>Good</v>
      </c>
      <c r="T2023" t="str">
        <f t="shared" si="339"/>
        <v>PM2.5</v>
      </c>
      <c r="U2023">
        <v>20.65</v>
      </c>
      <c r="V2023">
        <v>52.92</v>
      </c>
    </row>
    <row r="2024" spans="1:22" x14ac:dyDescent="0.3">
      <c r="A2024" s="2" t="s">
        <v>15</v>
      </c>
      <c r="B2024">
        <v>560026</v>
      </c>
      <c r="C2024" s="4">
        <v>45581</v>
      </c>
      <c r="D2024">
        <v>21.27</v>
      </c>
      <c r="E2024">
        <v>37.74</v>
      </c>
      <c r="F2024">
        <v>12.28</v>
      </c>
      <c r="G2024">
        <v>5.19</v>
      </c>
      <c r="H2024">
        <v>5.39</v>
      </c>
      <c r="I2024">
        <v>1.1200000000000001</v>
      </c>
      <c r="J2024">
        <v>26.56</v>
      </c>
      <c r="K2024">
        <f t="shared" si="330"/>
        <v>35.450000000000003</v>
      </c>
      <c r="L2024">
        <f t="shared" si="331"/>
        <v>37.74</v>
      </c>
      <c r="M2024">
        <f t="shared" si="332"/>
        <v>15.35</v>
      </c>
      <c r="N2024">
        <f t="shared" si="333"/>
        <v>1.2975000000000001</v>
      </c>
      <c r="O2024">
        <f t="shared" si="334"/>
        <v>6.7374999999999998</v>
      </c>
      <c r="P2024">
        <f t="shared" si="335"/>
        <v>12.727272727272728</v>
      </c>
      <c r="Q2024">
        <f t="shared" si="336"/>
        <v>24.592592592592592</v>
      </c>
      <c r="R2024">
        <f t="shared" si="337"/>
        <v>37.74</v>
      </c>
      <c r="S2024" t="str">
        <f t="shared" si="338"/>
        <v>Good</v>
      </c>
      <c r="T2024" t="str">
        <f t="shared" si="339"/>
        <v>PM10</v>
      </c>
      <c r="U2024">
        <v>21.06</v>
      </c>
      <c r="V2024">
        <v>52.31</v>
      </c>
    </row>
    <row r="2025" spans="1:22" x14ac:dyDescent="0.3">
      <c r="A2025" s="2" t="s">
        <v>15</v>
      </c>
      <c r="B2025">
        <v>560026</v>
      </c>
      <c r="C2025" s="4">
        <v>45582</v>
      </c>
      <c r="D2025">
        <v>24.32</v>
      </c>
      <c r="E2025">
        <v>45.76</v>
      </c>
      <c r="F2025">
        <v>12.25</v>
      </c>
      <c r="G2025">
        <v>5.24</v>
      </c>
      <c r="H2025">
        <v>5.58</v>
      </c>
      <c r="I2025">
        <v>0.56000000000000005</v>
      </c>
      <c r="J2025">
        <v>28.95</v>
      </c>
      <c r="K2025">
        <f t="shared" si="330"/>
        <v>40.533333333333331</v>
      </c>
      <c r="L2025">
        <f t="shared" si="331"/>
        <v>45.76</v>
      </c>
      <c r="M2025">
        <f t="shared" si="332"/>
        <v>15.3125</v>
      </c>
      <c r="N2025">
        <f t="shared" si="333"/>
        <v>1.31</v>
      </c>
      <c r="O2025">
        <f t="shared" si="334"/>
        <v>6.9749999999999996</v>
      </c>
      <c r="P2025">
        <f t="shared" si="335"/>
        <v>6.3636363636363642</v>
      </c>
      <c r="Q2025">
        <f t="shared" si="336"/>
        <v>26.805555555555554</v>
      </c>
      <c r="R2025">
        <f t="shared" si="337"/>
        <v>45.76</v>
      </c>
      <c r="S2025" t="str">
        <f t="shared" si="338"/>
        <v>Good</v>
      </c>
      <c r="T2025" t="str">
        <f t="shared" si="339"/>
        <v>PM10</v>
      </c>
      <c r="U2025">
        <v>23.44</v>
      </c>
      <c r="V2025">
        <v>50.71</v>
      </c>
    </row>
    <row r="2026" spans="1:22" x14ac:dyDescent="0.3">
      <c r="A2026" s="2" t="s">
        <v>15</v>
      </c>
      <c r="B2026">
        <v>560026</v>
      </c>
      <c r="C2026" s="4">
        <v>45583</v>
      </c>
      <c r="D2026">
        <v>31.47</v>
      </c>
      <c r="E2026">
        <v>63.53</v>
      </c>
      <c r="F2026">
        <v>12.29</v>
      </c>
      <c r="G2026">
        <v>5.18</v>
      </c>
      <c r="H2026">
        <v>5.97</v>
      </c>
      <c r="I2026">
        <v>0.8</v>
      </c>
      <c r="J2026">
        <v>29.14</v>
      </c>
      <c r="K2026">
        <f t="shared" si="330"/>
        <v>52.449999999999996</v>
      </c>
      <c r="L2026">
        <f t="shared" si="331"/>
        <v>63.53</v>
      </c>
      <c r="M2026">
        <f t="shared" si="332"/>
        <v>15.362500000000001</v>
      </c>
      <c r="N2026">
        <f t="shared" si="333"/>
        <v>1.2949999999999999</v>
      </c>
      <c r="O2026">
        <f t="shared" si="334"/>
        <v>7.4625000000000004</v>
      </c>
      <c r="P2026">
        <f t="shared" si="335"/>
        <v>9.0909090909090917</v>
      </c>
      <c r="Q2026">
        <f t="shared" si="336"/>
        <v>26.981481481481481</v>
      </c>
      <c r="R2026">
        <f t="shared" si="337"/>
        <v>63.53</v>
      </c>
      <c r="S2026" t="str">
        <f t="shared" si="338"/>
        <v>Satisfactory</v>
      </c>
      <c r="T2026" t="str">
        <f t="shared" si="339"/>
        <v>PM10</v>
      </c>
      <c r="U2026">
        <v>24.23</v>
      </c>
      <c r="V2026">
        <v>47.59</v>
      </c>
    </row>
    <row r="2027" spans="1:22" x14ac:dyDescent="0.3">
      <c r="A2027" s="2" t="s">
        <v>15</v>
      </c>
      <c r="B2027">
        <v>560026</v>
      </c>
      <c r="C2027" s="4">
        <v>45584</v>
      </c>
      <c r="D2027">
        <v>28.18</v>
      </c>
      <c r="E2027">
        <v>55.47</v>
      </c>
      <c r="F2027">
        <v>12.22</v>
      </c>
      <c r="G2027">
        <v>5.24</v>
      </c>
      <c r="H2027">
        <v>6.18</v>
      </c>
      <c r="I2027">
        <v>1.0900000000000001</v>
      </c>
      <c r="J2027">
        <v>28.8</v>
      </c>
      <c r="K2027">
        <f t="shared" si="330"/>
        <v>46.966666666666669</v>
      </c>
      <c r="L2027">
        <f t="shared" si="331"/>
        <v>55.47</v>
      </c>
      <c r="M2027">
        <f t="shared" si="332"/>
        <v>15.275</v>
      </c>
      <c r="N2027">
        <f t="shared" si="333"/>
        <v>1.31</v>
      </c>
      <c r="O2027">
        <f t="shared" si="334"/>
        <v>7.7249999999999996</v>
      </c>
      <c r="P2027">
        <f t="shared" si="335"/>
        <v>12.386363636363637</v>
      </c>
      <c r="Q2027">
        <f t="shared" si="336"/>
        <v>26.666666666666668</v>
      </c>
      <c r="R2027">
        <f t="shared" si="337"/>
        <v>55.47</v>
      </c>
      <c r="S2027" t="str">
        <f t="shared" si="338"/>
        <v>Satisfactory</v>
      </c>
      <c r="T2027" t="str">
        <f t="shared" si="339"/>
        <v>PM10</v>
      </c>
      <c r="U2027">
        <v>23.11</v>
      </c>
      <c r="V2027">
        <v>54.07</v>
      </c>
    </row>
    <row r="2028" spans="1:22" x14ac:dyDescent="0.3">
      <c r="A2028" s="2" t="s">
        <v>15</v>
      </c>
      <c r="B2028">
        <v>560026</v>
      </c>
      <c r="C2028" s="4">
        <v>45585</v>
      </c>
      <c r="D2028">
        <v>27.66</v>
      </c>
      <c r="E2028">
        <v>54.11</v>
      </c>
      <c r="F2028">
        <v>12.28</v>
      </c>
      <c r="G2028">
        <v>5.21</v>
      </c>
      <c r="H2028">
        <v>5.5</v>
      </c>
      <c r="I2028">
        <v>0.92</v>
      </c>
      <c r="J2028">
        <v>36.799999999999997</v>
      </c>
      <c r="K2028">
        <f t="shared" si="330"/>
        <v>46.1</v>
      </c>
      <c r="L2028">
        <f t="shared" si="331"/>
        <v>54.11</v>
      </c>
      <c r="M2028">
        <f t="shared" si="332"/>
        <v>15.35</v>
      </c>
      <c r="N2028">
        <f t="shared" si="333"/>
        <v>1.3025</v>
      </c>
      <c r="O2028">
        <f t="shared" si="334"/>
        <v>6.875</v>
      </c>
      <c r="P2028">
        <f t="shared" si="335"/>
        <v>10.454545454545455</v>
      </c>
      <c r="Q2028">
        <f t="shared" si="336"/>
        <v>34.074074074074069</v>
      </c>
      <c r="R2028">
        <f t="shared" si="337"/>
        <v>54.11</v>
      </c>
      <c r="S2028" t="str">
        <f t="shared" si="338"/>
        <v>Satisfactory</v>
      </c>
      <c r="T2028" t="str">
        <f t="shared" si="339"/>
        <v>PM10</v>
      </c>
      <c r="U2028">
        <v>24.27</v>
      </c>
      <c r="V2028">
        <v>53.57</v>
      </c>
    </row>
    <row r="2029" spans="1:22" x14ac:dyDescent="0.3">
      <c r="A2029" s="2" t="s">
        <v>15</v>
      </c>
      <c r="B2029">
        <v>560026</v>
      </c>
      <c r="C2029" s="4">
        <v>45586</v>
      </c>
      <c r="D2029">
        <v>25.91</v>
      </c>
      <c r="E2029">
        <v>49.77</v>
      </c>
      <c r="F2029">
        <v>12.24</v>
      </c>
      <c r="G2029">
        <v>5.28</v>
      </c>
      <c r="H2029">
        <v>5.39</v>
      </c>
      <c r="I2029">
        <v>0.87</v>
      </c>
      <c r="J2029">
        <v>35.07</v>
      </c>
      <c r="K2029">
        <f t="shared" si="330"/>
        <v>43.18333333333333</v>
      </c>
      <c r="L2029">
        <f t="shared" si="331"/>
        <v>49.77</v>
      </c>
      <c r="M2029">
        <f t="shared" si="332"/>
        <v>15.3</v>
      </c>
      <c r="N2029">
        <f t="shared" si="333"/>
        <v>1.32</v>
      </c>
      <c r="O2029">
        <f t="shared" si="334"/>
        <v>6.7374999999999998</v>
      </c>
      <c r="P2029">
        <f t="shared" si="335"/>
        <v>9.8863636363636367</v>
      </c>
      <c r="Q2029">
        <f t="shared" si="336"/>
        <v>32.472222222222221</v>
      </c>
      <c r="R2029">
        <f t="shared" si="337"/>
        <v>49.77</v>
      </c>
      <c r="S2029" t="str">
        <f t="shared" si="338"/>
        <v>Good</v>
      </c>
      <c r="T2029" t="str">
        <f t="shared" si="339"/>
        <v>PM10</v>
      </c>
      <c r="U2029">
        <v>24.91</v>
      </c>
      <c r="V2029">
        <v>51.59</v>
      </c>
    </row>
    <row r="2030" spans="1:22" x14ac:dyDescent="0.3">
      <c r="A2030" s="2" t="s">
        <v>15</v>
      </c>
      <c r="B2030">
        <v>560026</v>
      </c>
      <c r="C2030" s="4">
        <v>45587</v>
      </c>
      <c r="D2030">
        <v>30.54</v>
      </c>
      <c r="E2030">
        <v>61.39</v>
      </c>
      <c r="F2030">
        <v>12.26</v>
      </c>
      <c r="G2030">
        <v>5.24</v>
      </c>
      <c r="H2030">
        <v>5.39</v>
      </c>
      <c r="I2030">
        <v>1.05</v>
      </c>
      <c r="J2030">
        <v>33.020000000000003</v>
      </c>
      <c r="K2030">
        <f t="shared" si="330"/>
        <v>50.9</v>
      </c>
      <c r="L2030">
        <f t="shared" si="331"/>
        <v>61.39</v>
      </c>
      <c r="M2030">
        <f t="shared" si="332"/>
        <v>15.324999999999999</v>
      </c>
      <c r="N2030">
        <f t="shared" si="333"/>
        <v>1.31</v>
      </c>
      <c r="O2030">
        <f t="shared" si="334"/>
        <v>6.7374999999999998</v>
      </c>
      <c r="P2030">
        <f t="shared" si="335"/>
        <v>11.931818181818182</v>
      </c>
      <c r="Q2030">
        <f t="shared" si="336"/>
        <v>30.574074074074076</v>
      </c>
      <c r="R2030">
        <f t="shared" si="337"/>
        <v>61.39</v>
      </c>
      <c r="S2030" t="str">
        <f t="shared" si="338"/>
        <v>Satisfactory</v>
      </c>
      <c r="T2030" t="str">
        <f t="shared" si="339"/>
        <v>PM10</v>
      </c>
      <c r="U2030">
        <v>23.82</v>
      </c>
      <c r="V2030">
        <v>48.81</v>
      </c>
    </row>
    <row r="2031" spans="1:22" x14ac:dyDescent="0.3">
      <c r="A2031" s="2" t="s">
        <v>15</v>
      </c>
      <c r="B2031">
        <v>560026</v>
      </c>
      <c r="C2031" s="4">
        <v>45588</v>
      </c>
      <c r="D2031">
        <v>41.92</v>
      </c>
      <c r="E2031">
        <v>89.58</v>
      </c>
      <c r="F2031">
        <v>12.38</v>
      </c>
      <c r="G2031">
        <v>5.17</v>
      </c>
      <c r="H2031">
        <v>4.47</v>
      </c>
      <c r="I2031">
        <v>1.26</v>
      </c>
      <c r="J2031">
        <v>30.86</v>
      </c>
      <c r="K2031">
        <f t="shared" si="330"/>
        <v>69.866666666666674</v>
      </c>
      <c r="L2031">
        <f t="shared" si="331"/>
        <v>89.58</v>
      </c>
      <c r="M2031">
        <f t="shared" si="332"/>
        <v>15.475</v>
      </c>
      <c r="N2031">
        <f t="shared" si="333"/>
        <v>1.2925</v>
      </c>
      <c r="O2031">
        <f t="shared" si="334"/>
        <v>5.5875000000000004</v>
      </c>
      <c r="P2031">
        <f t="shared" si="335"/>
        <v>14.318181818181818</v>
      </c>
      <c r="Q2031">
        <f t="shared" si="336"/>
        <v>28.574074074074073</v>
      </c>
      <c r="R2031">
        <f t="shared" si="337"/>
        <v>89.58</v>
      </c>
      <c r="S2031" t="str">
        <f t="shared" si="338"/>
        <v>Satisfactory</v>
      </c>
      <c r="T2031" t="str">
        <f t="shared" si="339"/>
        <v>PM10</v>
      </c>
      <c r="U2031">
        <v>24.38</v>
      </c>
      <c r="V2031">
        <v>50.19</v>
      </c>
    </row>
    <row r="2032" spans="1:22" x14ac:dyDescent="0.3">
      <c r="A2032" s="2" t="s">
        <v>15</v>
      </c>
      <c r="B2032">
        <v>560026</v>
      </c>
      <c r="C2032" s="4">
        <v>45589</v>
      </c>
      <c r="D2032">
        <v>43.5</v>
      </c>
      <c r="E2032">
        <v>93.96</v>
      </c>
      <c r="F2032">
        <v>12.22</v>
      </c>
      <c r="G2032">
        <v>5.25</v>
      </c>
      <c r="H2032">
        <v>5.0599999999999996</v>
      </c>
      <c r="I2032">
        <v>1.1100000000000001</v>
      </c>
      <c r="J2032">
        <v>33.83</v>
      </c>
      <c r="K2032">
        <f t="shared" si="330"/>
        <v>72.5</v>
      </c>
      <c r="L2032">
        <f t="shared" si="331"/>
        <v>93.96</v>
      </c>
      <c r="M2032">
        <f t="shared" si="332"/>
        <v>15.275</v>
      </c>
      <c r="N2032">
        <f t="shared" si="333"/>
        <v>1.3125</v>
      </c>
      <c r="O2032">
        <f t="shared" si="334"/>
        <v>6.3249999999999993</v>
      </c>
      <c r="P2032">
        <f t="shared" si="335"/>
        <v>12.613636363636365</v>
      </c>
      <c r="Q2032">
        <f t="shared" si="336"/>
        <v>31.324074074074073</v>
      </c>
      <c r="R2032">
        <f t="shared" si="337"/>
        <v>93.96</v>
      </c>
      <c r="S2032" t="str">
        <f t="shared" si="338"/>
        <v>Satisfactory</v>
      </c>
      <c r="T2032" t="str">
        <f t="shared" si="339"/>
        <v>PM10</v>
      </c>
      <c r="U2032">
        <v>23.54</v>
      </c>
      <c r="V2032">
        <v>49.35</v>
      </c>
    </row>
    <row r="2033" spans="1:22" x14ac:dyDescent="0.3">
      <c r="A2033" s="2" t="s">
        <v>15</v>
      </c>
      <c r="B2033">
        <v>560026</v>
      </c>
      <c r="C2033" s="4">
        <v>45590</v>
      </c>
      <c r="D2033">
        <v>72.319999999999993</v>
      </c>
      <c r="E2033">
        <v>166.04</v>
      </c>
      <c r="F2033">
        <v>12.27</v>
      </c>
      <c r="G2033">
        <v>5.19</v>
      </c>
      <c r="H2033">
        <v>5.21</v>
      </c>
      <c r="I2033">
        <v>1.6</v>
      </c>
      <c r="J2033">
        <v>34.11</v>
      </c>
      <c r="K2033">
        <f t="shared" si="330"/>
        <v>141.06666666666663</v>
      </c>
      <c r="L2033">
        <f t="shared" si="331"/>
        <v>144.02666666666667</v>
      </c>
      <c r="M2033">
        <f t="shared" si="332"/>
        <v>15.3375</v>
      </c>
      <c r="N2033">
        <f t="shared" si="333"/>
        <v>1.2975000000000001</v>
      </c>
      <c r="O2033">
        <f t="shared" si="334"/>
        <v>6.5125000000000002</v>
      </c>
      <c r="P2033">
        <f t="shared" si="335"/>
        <v>18.181818181818183</v>
      </c>
      <c r="Q2033">
        <f t="shared" si="336"/>
        <v>31.583333333333332</v>
      </c>
      <c r="R2033">
        <f t="shared" si="337"/>
        <v>144.02666666666667</v>
      </c>
      <c r="S2033" t="str">
        <f t="shared" si="338"/>
        <v>Moderate</v>
      </c>
      <c r="T2033" t="str">
        <f t="shared" si="339"/>
        <v>PM10</v>
      </c>
      <c r="U2033">
        <v>24.77</v>
      </c>
      <c r="V2033">
        <v>44.26</v>
      </c>
    </row>
    <row r="2034" spans="1:22" x14ac:dyDescent="0.3">
      <c r="A2034" s="2" t="s">
        <v>15</v>
      </c>
      <c r="B2034">
        <v>560026</v>
      </c>
      <c r="C2034" s="4">
        <v>45591</v>
      </c>
      <c r="D2034">
        <v>83.92</v>
      </c>
      <c r="E2034">
        <v>194.89</v>
      </c>
      <c r="F2034">
        <v>12.12</v>
      </c>
      <c r="G2034">
        <v>5.28</v>
      </c>
      <c r="H2034">
        <v>4.7300000000000004</v>
      </c>
      <c r="I2034">
        <v>1.61</v>
      </c>
      <c r="J2034">
        <v>28.84</v>
      </c>
      <c r="K2034">
        <f t="shared" si="330"/>
        <v>179.73333333333335</v>
      </c>
      <c r="L2034">
        <f t="shared" si="331"/>
        <v>163.26</v>
      </c>
      <c r="M2034">
        <f t="shared" si="332"/>
        <v>15.15</v>
      </c>
      <c r="N2034">
        <f t="shared" si="333"/>
        <v>1.32</v>
      </c>
      <c r="O2034">
        <f t="shared" si="334"/>
        <v>5.9125000000000005</v>
      </c>
      <c r="P2034">
        <f t="shared" si="335"/>
        <v>18.295454545454547</v>
      </c>
      <c r="Q2034">
        <f t="shared" si="336"/>
        <v>26.703703703703702</v>
      </c>
      <c r="R2034">
        <f t="shared" si="337"/>
        <v>179.73333333333335</v>
      </c>
      <c r="S2034" t="str">
        <f t="shared" si="338"/>
        <v>Moderate</v>
      </c>
      <c r="T2034" t="str">
        <f t="shared" si="339"/>
        <v>PM2.5</v>
      </c>
      <c r="U2034">
        <v>24.54</v>
      </c>
      <c r="V2034">
        <v>38.409999999999997</v>
      </c>
    </row>
    <row r="2035" spans="1:22" x14ac:dyDescent="0.3">
      <c r="A2035" s="2" t="s">
        <v>15</v>
      </c>
      <c r="B2035">
        <v>560026</v>
      </c>
      <c r="C2035" s="4">
        <v>45592</v>
      </c>
      <c r="D2035">
        <v>82.18</v>
      </c>
      <c r="E2035">
        <v>190.34</v>
      </c>
      <c r="F2035">
        <v>12.2</v>
      </c>
      <c r="G2035">
        <v>5.27</v>
      </c>
      <c r="H2035">
        <v>5.62</v>
      </c>
      <c r="I2035">
        <v>1.79</v>
      </c>
      <c r="J2035">
        <v>32.159999999999997</v>
      </c>
      <c r="K2035">
        <f t="shared" si="330"/>
        <v>173.93333333333337</v>
      </c>
      <c r="L2035">
        <f t="shared" si="331"/>
        <v>160.22666666666666</v>
      </c>
      <c r="M2035">
        <f t="shared" si="332"/>
        <v>15.25</v>
      </c>
      <c r="N2035">
        <f t="shared" si="333"/>
        <v>1.3174999999999999</v>
      </c>
      <c r="O2035">
        <f t="shared" si="334"/>
        <v>7.0250000000000004</v>
      </c>
      <c r="P2035">
        <f t="shared" si="335"/>
        <v>20.34090909090909</v>
      </c>
      <c r="Q2035">
        <f t="shared" si="336"/>
        <v>29.777777777777775</v>
      </c>
      <c r="R2035">
        <f t="shared" si="337"/>
        <v>173.93333333333337</v>
      </c>
      <c r="S2035" t="str">
        <f t="shared" si="338"/>
        <v>Moderate</v>
      </c>
      <c r="T2035" t="str">
        <f t="shared" si="339"/>
        <v>PM2.5</v>
      </c>
      <c r="U2035">
        <v>23.65</v>
      </c>
      <c r="V2035">
        <v>41.83</v>
      </c>
    </row>
    <row r="2036" spans="1:22" x14ac:dyDescent="0.3">
      <c r="A2036" s="2" t="s">
        <v>15</v>
      </c>
      <c r="B2036">
        <v>560026</v>
      </c>
      <c r="C2036" s="4">
        <v>45593</v>
      </c>
      <c r="D2036">
        <v>54.52</v>
      </c>
      <c r="E2036">
        <v>130.16</v>
      </c>
      <c r="F2036">
        <v>12.17</v>
      </c>
      <c r="G2036">
        <v>5.28</v>
      </c>
      <c r="H2036">
        <v>5</v>
      </c>
      <c r="I2036">
        <v>1.21</v>
      </c>
      <c r="J2036">
        <v>40.340000000000003</v>
      </c>
      <c r="K2036">
        <f t="shared" si="330"/>
        <v>90.866666666666674</v>
      </c>
      <c r="L2036">
        <f t="shared" si="331"/>
        <v>120.10666666666665</v>
      </c>
      <c r="M2036">
        <f t="shared" si="332"/>
        <v>15.2125</v>
      </c>
      <c r="N2036">
        <f t="shared" si="333"/>
        <v>1.32</v>
      </c>
      <c r="O2036">
        <f t="shared" si="334"/>
        <v>6.25</v>
      </c>
      <c r="P2036">
        <f t="shared" si="335"/>
        <v>13.75</v>
      </c>
      <c r="Q2036">
        <f t="shared" si="336"/>
        <v>37.351851851851855</v>
      </c>
      <c r="R2036">
        <f t="shared" si="337"/>
        <v>120.10666666666665</v>
      </c>
      <c r="S2036" t="str">
        <f t="shared" si="338"/>
        <v>Moderate</v>
      </c>
      <c r="T2036" t="str">
        <f t="shared" si="339"/>
        <v>PM10</v>
      </c>
      <c r="U2036">
        <v>25.05</v>
      </c>
      <c r="V2036">
        <v>42.17</v>
      </c>
    </row>
    <row r="2037" spans="1:22" x14ac:dyDescent="0.3">
      <c r="A2037" s="2" t="s">
        <v>15</v>
      </c>
      <c r="B2037">
        <v>560026</v>
      </c>
      <c r="C2037" s="4">
        <v>45594</v>
      </c>
      <c r="D2037">
        <v>44.48</v>
      </c>
      <c r="E2037">
        <v>111.14</v>
      </c>
      <c r="F2037">
        <v>12.2</v>
      </c>
      <c r="G2037">
        <v>5.29</v>
      </c>
      <c r="H2037">
        <v>4.9400000000000004</v>
      </c>
      <c r="I2037">
        <v>1</v>
      </c>
      <c r="J2037">
        <v>42.09</v>
      </c>
      <c r="K2037">
        <f t="shared" si="330"/>
        <v>74.133333333333326</v>
      </c>
      <c r="L2037">
        <f t="shared" si="331"/>
        <v>107.42666666666666</v>
      </c>
      <c r="M2037">
        <f t="shared" si="332"/>
        <v>15.25</v>
      </c>
      <c r="N2037">
        <f t="shared" si="333"/>
        <v>1.3225</v>
      </c>
      <c r="O2037">
        <f t="shared" si="334"/>
        <v>6.1750000000000007</v>
      </c>
      <c r="P2037">
        <f t="shared" si="335"/>
        <v>11.363636363636363</v>
      </c>
      <c r="Q2037">
        <f t="shared" si="336"/>
        <v>38.972222222222229</v>
      </c>
      <c r="R2037">
        <f t="shared" si="337"/>
        <v>107.42666666666666</v>
      </c>
      <c r="S2037" t="str">
        <f t="shared" si="338"/>
        <v>Moderate</v>
      </c>
      <c r="T2037" t="str">
        <f t="shared" si="339"/>
        <v>PM10</v>
      </c>
      <c r="U2037">
        <v>25.51</v>
      </c>
      <c r="V2037">
        <v>43.71</v>
      </c>
    </row>
    <row r="2038" spans="1:22" x14ac:dyDescent="0.3">
      <c r="A2038" s="2" t="s">
        <v>15</v>
      </c>
      <c r="B2038">
        <v>560026</v>
      </c>
      <c r="C2038" s="4">
        <v>45595</v>
      </c>
      <c r="D2038">
        <v>51.02</v>
      </c>
      <c r="E2038">
        <v>127.52</v>
      </c>
      <c r="F2038">
        <v>12.22</v>
      </c>
      <c r="G2038">
        <v>5.25</v>
      </c>
      <c r="H2038">
        <v>5.57</v>
      </c>
      <c r="I2038">
        <v>1.59</v>
      </c>
      <c r="J2038">
        <v>39.090000000000003</v>
      </c>
      <c r="K2038">
        <f t="shared" si="330"/>
        <v>85.033333333333331</v>
      </c>
      <c r="L2038">
        <f t="shared" si="331"/>
        <v>118.34666666666666</v>
      </c>
      <c r="M2038">
        <f t="shared" si="332"/>
        <v>15.275</v>
      </c>
      <c r="N2038">
        <f t="shared" si="333"/>
        <v>1.3125</v>
      </c>
      <c r="O2038">
        <f t="shared" si="334"/>
        <v>6.9625000000000004</v>
      </c>
      <c r="P2038">
        <f t="shared" si="335"/>
        <v>18.06818181818182</v>
      </c>
      <c r="Q2038">
        <f t="shared" si="336"/>
        <v>36.19444444444445</v>
      </c>
      <c r="R2038">
        <f t="shared" si="337"/>
        <v>118.34666666666666</v>
      </c>
      <c r="S2038" t="str">
        <f t="shared" si="338"/>
        <v>Moderate</v>
      </c>
      <c r="T2038" t="str">
        <f t="shared" si="339"/>
        <v>PM10</v>
      </c>
      <c r="U2038">
        <v>24.35</v>
      </c>
      <c r="V2038">
        <v>47.89</v>
      </c>
    </row>
    <row r="2039" spans="1:22" x14ac:dyDescent="0.3">
      <c r="A2039" s="2" t="s">
        <v>15</v>
      </c>
      <c r="B2039">
        <v>560026</v>
      </c>
      <c r="C2039" s="4">
        <v>45596</v>
      </c>
      <c r="D2039">
        <v>52.97</v>
      </c>
      <c r="E2039">
        <v>132.63</v>
      </c>
      <c r="F2039">
        <v>12.29</v>
      </c>
      <c r="G2039">
        <v>5.23</v>
      </c>
      <c r="H2039">
        <v>5.64</v>
      </c>
      <c r="I2039">
        <v>0.99</v>
      </c>
      <c r="J2039">
        <v>39.75</v>
      </c>
      <c r="K2039">
        <f t="shared" si="330"/>
        <v>88.283333333333331</v>
      </c>
      <c r="L2039">
        <f t="shared" si="331"/>
        <v>121.75333333333333</v>
      </c>
      <c r="M2039">
        <f t="shared" si="332"/>
        <v>15.362500000000001</v>
      </c>
      <c r="N2039">
        <f t="shared" si="333"/>
        <v>1.3075000000000001</v>
      </c>
      <c r="O2039">
        <f t="shared" si="334"/>
        <v>7.05</v>
      </c>
      <c r="P2039">
        <f t="shared" si="335"/>
        <v>11.25</v>
      </c>
      <c r="Q2039">
        <f t="shared" si="336"/>
        <v>36.805555555555557</v>
      </c>
      <c r="R2039">
        <f t="shared" si="337"/>
        <v>121.75333333333333</v>
      </c>
      <c r="S2039" t="str">
        <f t="shared" si="338"/>
        <v>Moderate</v>
      </c>
      <c r="T2039" t="str">
        <f t="shared" si="339"/>
        <v>PM10</v>
      </c>
      <c r="U2039">
        <v>24.9</v>
      </c>
      <c r="V2039">
        <v>47.73</v>
      </c>
    </row>
    <row r="2040" spans="1:22" x14ac:dyDescent="0.3">
      <c r="A2040" s="2" t="s">
        <v>15</v>
      </c>
      <c r="B2040">
        <v>560026</v>
      </c>
      <c r="C2040" s="4">
        <v>45597</v>
      </c>
      <c r="D2040">
        <v>47.92</v>
      </c>
      <c r="E2040">
        <v>120</v>
      </c>
      <c r="F2040">
        <v>12.22</v>
      </c>
      <c r="G2040">
        <v>5.25</v>
      </c>
      <c r="H2040">
        <v>5.17</v>
      </c>
      <c r="I2040">
        <v>0.83</v>
      </c>
      <c r="J2040">
        <v>41.48</v>
      </c>
      <c r="K2040">
        <f t="shared" si="330"/>
        <v>79.866666666666674</v>
      </c>
      <c r="L2040">
        <f t="shared" si="331"/>
        <v>113.33333333333333</v>
      </c>
      <c r="M2040">
        <f t="shared" si="332"/>
        <v>15.275</v>
      </c>
      <c r="N2040">
        <f t="shared" si="333"/>
        <v>1.3125</v>
      </c>
      <c r="O2040">
        <f t="shared" si="334"/>
        <v>6.4625000000000004</v>
      </c>
      <c r="P2040">
        <f t="shared" si="335"/>
        <v>9.4318181818181817</v>
      </c>
      <c r="Q2040">
        <f t="shared" si="336"/>
        <v>38.407407407407405</v>
      </c>
      <c r="R2040">
        <f t="shared" si="337"/>
        <v>113.33333333333333</v>
      </c>
      <c r="S2040" t="str">
        <f t="shared" si="338"/>
        <v>Moderate</v>
      </c>
      <c r="T2040" t="str">
        <f t="shared" si="339"/>
        <v>PM10</v>
      </c>
      <c r="U2040">
        <v>25.8</v>
      </c>
      <c r="V2040">
        <v>44.76</v>
      </c>
    </row>
    <row r="2041" spans="1:22" x14ac:dyDescent="0.3">
      <c r="A2041" s="2" t="s">
        <v>15</v>
      </c>
      <c r="B2041">
        <v>560026</v>
      </c>
      <c r="C2041" s="4">
        <v>45598</v>
      </c>
      <c r="D2041">
        <v>36.950000000000003</v>
      </c>
      <c r="E2041">
        <v>92.5</v>
      </c>
      <c r="F2041">
        <v>12.27</v>
      </c>
      <c r="G2041">
        <v>5.17</v>
      </c>
      <c r="H2041">
        <v>5.93</v>
      </c>
      <c r="I2041">
        <v>0.78</v>
      </c>
      <c r="J2041">
        <v>34.409999999999997</v>
      </c>
      <c r="K2041">
        <f t="shared" si="330"/>
        <v>61.583333333333336</v>
      </c>
      <c r="L2041">
        <f t="shared" si="331"/>
        <v>92.5</v>
      </c>
      <c r="M2041">
        <f t="shared" si="332"/>
        <v>15.3375</v>
      </c>
      <c r="N2041">
        <f t="shared" si="333"/>
        <v>1.2925</v>
      </c>
      <c r="O2041">
        <f t="shared" si="334"/>
        <v>7.4124999999999996</v>
      </c>
      <c r="P2041">
        <f t="shared" si="335"/>
        <v>8.8636363636363633</v>
      </c>
      <c r="Q2041">
        <f t="shared" si="336"/>
        <v>31.861111111111107</v>
      </c>
      <c r="R2041">
        <f t="shared" si="337"/>
        <v>92.5</v>
      </c>
      <c r="S2041" t="str">
        <f t="shared" si="338"/>
        <v>Satisfactory</v>
      </c>
      <c r="T2041" t="str">
        <f t="shared" si="339"/>
        <v>PM10</v>
      </c>
      <c r="U2041">
        <v>25.76</v>
      </c>
      <c r="V2041">
        <v>44.96</v>
      </c>
    </row>
    <row r="2042" spans="1:22" x14ac:dyDescent="0.3">
      <c r="A2042" s="2" t="s">
        <v>15</v>
      </c>
      <c r="B2042">
        <v>560026</v>
      </c>
      <c r="C2042" s="4">
        <v>45599</v>
      </c>
      <c r="D2042">
        <v>20.72</v>
      </c>
      <c r="E2042">
        <v>51.78</v>
      </c>
      <c r="F2042">
        <v>12.21</v>
      </c>
      <c r="G2042">
        <v>5.27</v>
      </c>
      <c r="H2042">
        <v>5.32</v>
      </c>
      <c r="I2042">
        <v>0.62</v>
      </c>
      <c r="J2042">
        <v>31.42</v>
      </c>
      <c r="K2042">
        <f t="shared" si="330"/>
        <v>34.533333333333331</v>
      </c>
      <c r="L2042">
        <f t="shared" si="331"/>
        <v>51.78</v>
      </c>
      <c r="M2042">
        <f t="shared" si="332"/>
        <v>15.262499999999999</v>
      </c>
      <c r="N2042">
        <f t="shared" si="333"/>
        <v>1.3174999999999999</v>
      </c>
      <c r="O2042">
        <f t="shared" si="334"/>
        <v>6.65</v>
      </c>
      <c r="P2042">
        <f t="shared" si="335"/>
        <v>7.045454545454545</v>
      </c>
      <c r="Q2042">
        <f t="shared" si="336"/>
        <v>29.092592592592595</v>
      </c>
      <c r="R2042">
        <f t="shared" si="337"/>
        <v>51.78</v>
      </c>
      <c r="S2042" t="str">
        <f t="shared" si="338"/>
        <v>Satisfactory</v>
      </c>
      <c r="T2042" t="str">
        <f t="shared" si="339"/>
        <v>PM10</v>
      </c>
      <c r="U2042">
        <v>25.31</v>
      </c>
      <c r="V2042">
        <v>44.6</v>
      </c>
    </row>
    <row r="2043" spans="1:22" x14ac:dyDescent="0.3">
      <c r="A2043" s="2" t="s">
        <v>15</v>
      </c>
      <c r="B2043">
        <v>560026</v>
      </c>
      <c r="C2043" s="4">
        <v>45600</v>
      </c>
      <c r="D2043">
        <v>22.97</v>
      </c>
      <c r="E2043">
        <v>57.59</v>
      </c>
      <c r="F2043">
        <v>12.35</v>
      </c>
      <c r="G2043">
        <v>5.18</v>
      </c>
      <c r="H2043">
        <v>5.78</v>
      </c>
      <c r="I2043">
        <v>0.83</v>
      </c>
      <c r="J2043">
        <v>29.29</v>
      </c>
      <c r="K2043">
        <f t="shared" si="330"/>
        <v>38.283333333333331</v>
      </c>
      <c r="L2043">
        <f t="shared" si="331"/>
        <v>57.59</v>
      </c>
      <c r="M2043">
        <f t="shared" si="332"/>
        <v>15.4375</v>
      </c>
      <c r="N2043">
        <f t="shared" si="333"/>
        <v>1.2949999999999999</v>
      </c>
      <c r="O2043">
        <f t="shared" si="334"/>
        <v>7.2249999999999996</v>
      </c>
      <c r="P2043">
        <f t="shared" si="335"/>
        <v>9.4318181818181817</v>
      </c>
      <c r="Q2043">
        <f t="shared" si="336"/>
        <v>27.12037037037037</v>
      </c>
      <c r="R2043">
        <f t="shared" si="337"/>
        <v>57.59</v>
      </c>
      <c r="S2043" t="str">
        <f t="shared" si="338"/>
        <v>Satisfactory</v>
      </c>
      <c r="T2043" t="str">
        <f t="shared" si="339"/>
        <v>PM10</v>
      </c>
      <c r="U2043">
        <v>24.95</v>
      </c>
      <c r="V2043">
        <v>43.36</v>
      </c>
    </row>
    <row r="2044" spans="1:22" x14ac:dyDescent="0.3">
      <c r="A2044" s="2" t="s">
        <v>15</v>
      </c>
      <c r="B2044">
        <v>560026</v>
      </c>
      <c r="C2044" s="4">
        <v>45601</v>
      </c>
      <c r="D2044">
        <v>38.700000000000003</v>
      </c>
      <c r="E2044">
        <v>96.5</v>
      </c>
      <c r="F2044">
        <v>12.32</v>
      </c>
      <c r="G2044">
        <v>5.21</v>
      </c>
      <c r="H2044">
        <v>5.39</v>
      </c>
      <c r="I2044">
        <v>1.1100000000000001</v>
      </c>
      <c r="J2044">
        <v>28.32</v>
      </c>
      <c r="K2044">
        <f t="shared" si="330"/>
        <v>64.5</v>
      </c>
      <c r="L2044">
        <f t="shared" si="331"/>
        <v>96.5</v>
      </c>
      <c r="M2044">
        <f t="shared" si="332"/>
        <v>15.4</v>
      </c>
      <c r="N2044">
        <f t="shared" si="333"/>
        <v>1.3025</v>
      </c>
      <c r="O2044">
        <f t="shared" si="334"/>
        <v>6.7374999999999998</v>
      </c>
      <c r="P2044">
        <f t="shared" si="335"/>
        <v>12.613636363636365</v>
      </c>
      <c r="Q2044">
        <f t="shared" si="336"/>
        <v>26.222222222222221</v>
      </c>
      <c r="R2044">
        <f t="shared" si="337"/>
        <v>96.5</v>
      </c>
      <c r="S2044" t="str">
        <f t="shared" si="338"/>
        <v>Satisfactory</v>
      </c>
      <c r="T2044" t="str">
        <f t="shared" si="339"/>
        <v>PM10</v>
      </c>
      <c r="U2044">
        <v>24.64</v>
      </c>
      <c r="V2044">
        <v>41.09</v>
      </c>
    </row>
    <row r="2045" spans="1:22" x14ac:dyDescent="0.3">
      <c r="A2045" s="2" t="s">
        <v>15</v>
      </c>
      <c r="B2045">
        <v>560026</v>
      </c>
      <c r="C2045" s="4">
        <v>45602</v>
      </c>
      <c r="D2045">
        <v>55.01</v>
      </c>
      <c r="E2045">
        <v>137.44</v>
      </c>
      <c r="F2045">
        <v>12.19</v>
      </c>
      <c r="G2045">
        <v>5.26</v>
      </c>
      <c r="H2045">
        <v>5.23</v>
      </c>
      <c r="I2045">
        <v>1.26</v>
      </c>
      <c r="J2045">
        <v>28.5</v>
      </c>
      <c r="K2045">
        <f t="shared" si="330"/>
        <v>91.683333333333337</v>
      </c>
      <c r="L2045">
        <f t="shared" si="331"/>
        <v>124.96000000000001</v>
      </c>
      <c r="M2045">
        <f t="shared" si="332"/>
        <v>15.237500000000001</v>
      </c>
      <c r="N2045">
        <f t="shared" si="333"/>
        <v>1.3149999999999999</v>
      </c>
      <c r="O2045">
        <f t="shared" si="334"/>
        <v>6.5374999999999996</v>
      </c>
      <c r="P2045">
        <f t="shared" si="335"/>
        <v>14.318181818181818</v>
      </c>
      <c r="Q2045">
        <f t="shared" si="336"/>
        <v>26.388888888888889</v>
      </c>
      <c r="R2045">
        <f t="shared" si="337"/>
        <v>124.96000000000001</v>
      </c>
      <c r="S2045" t="str">
        <f t="shared" si="338"/>
        <v>Moderate</v>
      </c>
      <c r="T2045" t="str">
        <f t="shared" si="339"/>
        <v>PM10</v>
      </c>
      <c r="U2045">
        <v>25.21</v>
      </c>
      <c r="V2045">
        <v>38.25</v>
      </c>
    </row>
    <row r="2046" spans="1:22" x14ac:dyDescent="0.3">
      <c r="A2046" s="2" t="s">
        <v>15</v>
      </c>
      <c r="B2046">
        <v>560026</v>
      </c>
      <c r="C2046" s="4">
        <v>45603</v>
      </c>
      <c r="D2046">
        <v>45.27</v>
      </c>
      <c r="E2046">
        <v>113.15</v>
      </c>
      <c r="F2046">
        <v>12.13</v>
      </c>
      <c r="G2046">
        <v>5.26</v>
      </c>
      <c r="H2046">
        <v>4.76</v>
      </c>
      <c r="I2046">
        <v>1.23</v>
      </c>
      <c r="J2046">
        <v>29.45</v>
      </c>
      <c r="K2046">
        <f t="shared" si="330"/>
        <v>75.45</v>
      </c>
      <c r="L2046">
        <f t="shared" si="331"/>
        <v>108.76666666666667</v>
      </c>
      <c r="M2046">
        <f t="shared" si="332"/>
        <v>15.1625</v>
      </c>
      <c r="N2046">
        <f t="shared" si="333"/>
        <v>1.3149999999999999</v>
      </c>
      <c r="O2046">
        <f t="shared" si="334"/>
        <v>5.95</v>
      </c>
      <c r="P2046">
        <f t="shared" si="335"/>
        <v>13.977272727272727</v>
      </c>
      <c r="Q2046">
        <f t="shared" si="336"/>
        <v>27.268518518518519</v>
      </c>
      <c r="R2046">
        <f t="shared" si="337"/>
        <v>108.76666666666667</v>
      </c>
      <c r="S2046" t="str">
        <f t="shared" si="338"/>
        <v>Moderate</v>
      </c>
      <c r="T2046" t="str">
        <f t="shared" si="339"/>
        <v>PM10</v>
      </c>
      <c r="U2046">
        <v>24.22</v>
      </c>
      <c r="V2046">
        <v>42.89</v>
      </c>
    </row>
    <row r="2047" spans="1:22" x14ac:dyDescent="0.3">
      <c r="A2047" s="2" t="s">
        <v>15</v>
      </c>
      <c r="B2047">
        <v>560026</v>
      </c>
      <c r="C2047" s="4">
        <v>45604</v>
      </c>
      <c r="D2047">
        <v>34.880000000000003</v>
      </c>
      <c r="E2047">
        <v>87.12</v>
      </c>
      <c r="F2047">
        <v>12.26</v>
      </c>
      <c r="G2047">
        <v>5.2</v>
      </c>
      <c r="H2047">
        <v>5.2</v>
      </c>
      <c r="I2047">
        <v>1.18</v>
      </c>
      <c r="J2047">
        <v>27.56</v>
      </c>
      <c r="K2047">
        <f t="shared" si="330"/>
        <v>58.13333333333334</v>
      </c>
      <c r="L2047">
        <f t="shared" si="331"/>
        <v>87.12</v>
      </c>
      <c r="M2047">
        <f t="shared" si="332"/>
        <v>15.324999999999999</v>
      </c>
      <c r="N2047">
        <f t="shared" si="333"/>
        <v>1.3</v>
      </c>
      <c r="O2047">
        <f t="shared" si="334"/>
        <v>6.5</v>
      </c>
      <c r="P2047">
        <f t="shared" si="335"/>
        <v>13.409090909090908</v>
      </c>
      <c r="Q2047">
        <f t="shared" si="336"/>
        <v>25.518518518518519</v>
      </c>
      <c r="R2047">
        <f t="shared" si="337"/>
        <v>87.12</v>
      </c>
      <c r="S2047" t="str">
        <f t="shared" si="338"/>
        <v>Satisfactory</v>
      </c>
      <c r="T2047" t="str">
        <f t="shared" si="339"/>
        <v>PM10</v>
      </c>
      <c r="U2047">
        <v>25.27</v>
      </c>
      <c r="V2047">
        <v>40.79</v>
      </c>
    </row>
    <row r="2048" spans="1:22" x14ac:dyDescent="0.3">
      <c r="A2048" s="2" t="s">
        <v>15</v>
      </c>
      <c r="B2048">
        <v>560026</v>
      </c>
      <c r="C2048" s="4">
        <v>45605</v>
      </c>
      <c r="D2048">
        <v>36.54</v>
      </c>
      <c r="E2048">
        <v>91.57</v>
      </c>
      <c r="F2048">
        <v>12.3</v>
      </c>
      <c r="G2048">
        <v>5.25</v>
      </c>
      <c r="H2048">
        <v>4.97</v>
      </c>
      <c r="I2048">
        <v>1.39</v>
      </c>
      <c r="J2048">
        <v>27.99</v>
      </c>
      <c r="K2048">
        <f t="shared" si="330"/>
        <v>60.9</v>
      </c>
      <c r="L2048">
        <f t="shared" si="331"/>
        <v>91.57</v>
      </c>
      <c r="M2048">
        <f t="shared" si="332"/>
        <v>15.375</v>
      </c>
      <c r="N2048">
        <f t="shared" si="333"/>
        <v>1.3125</v>
      </c>
      <c r="O2048">
        <f t="shared" si="334"/>
        <v>6.2125000000000004</v>
      </c>
      <c r="P2048">
        <f t="shared" si="335"/>
        <v>15.795454545454543</v>
      </c>
      <c r="Q2048">
        <f t="shared" si="336"/>
        <v>25.916666666666664</v>
      </c>
      <c r="R2048">
        <f t="shared" si="337"/>
        <v>91.57</v>
      </c>
      <c r="S2048" t="str">
        <f t="shared" si="338"/>
        <v>Satisfactory</v>
      </c>
      <c r="T2048" t="str">
        <f t="shared" si="339"/>
        <v>PM10</v>
      </c>
      <c r="U2048">
        <v>25.03</v>
      </c>
      <c r="V2048">
        <v>38.93</v>
      </c>
    </row>
    <row r="2049" spans="1:22" x14ac:dyDescent="0.3">
      <c r="A2049" s="2" t="s">
        <v>15</v>
      </c>
      <c r="B2049">
        <v>560026</v>
      </c>
      <c r="C2049" s="4">
        <v>45606</v>
      </c>
      <c r="D2049">
        <v>41.31</v>
      </c>
      <c r="E2049">
        <v>103.3</v>
      </c>
      <c r="F2049">
        <v>12.19</v>
      </c>
      <c r="G2049">
        <v>5.23</v>
      </c>
      <c r="H2049">
        <v>5.35</v>
      </c>
      <c r="I2049">
        <v>1.1299999999999999</v>
      </c>
      <c r="J2049">
        <v>29.47</v>
      </c>
      <c r="K2049">
        <f t="shared" si="330"/>
        <v>68.850000000000009</v>
      </c>
      <c r="L2049">
        <f t="shared" si="331"/>
        <v>102.2</v>
      </c>
      <c r="M2049">
        <f t="shared" si="332"/>
        <v>15.237500000000001</v>
      </c>
      <c r="N2049">
        <f t="shared" si="333"/>
        <v>1.3075000000000001</v>
      </c>
      <c r="O2049">
        <f t="shared" si="334"/>
        <v>6.6875</v>
      </c>
      <c r="P2049">
        <f t="shared" si="335"/>
        <v>12.84090909090909</v>
      </c>
      <c r="Q2049">
        <f t="shared" si="336"/>
        <v>27.287037037037035</v>
      </c>
      <c r="R2049">
        <f t="shared" si="337"/>
        <v>102.2</v>
      </c>
      <c r="S2049" t="str">
        <f t="shared" si="338"/>
        <v>Moderate</v>
      </c>
      <c r="T2049" t="str">
        <f t="shared" si="339"/>
        <v>PM10</v>
      </c>
      <c r="U2049">
        <v>24.96</v>
      </c>
      <c r="V2049">
        <v>38.65</v>
      </c>
    </row>
    <row r="2050" spans="1:22" x14ac:dyDescent="0.3">
      <c r="A2050" s="2" t="s">
        <v>15</v>
      </c>
      <c r="B2050">
        <v>560026</v>
      </c>
      <c r="C2050" s="4">
        <v>45607</v>
      </c>
      <c r="D2050">
        <v>48.19</v>
      </c>
      <c r="E2050">
        <v>120.57</v>
      </c>
      <c r="F2050">
        <v>12.12</v>
      </c>
      <c r="G2050">
        <v>5.29</v>
      </c>
      <c r="H2050">
        <v>5.3</v>
      </c>
      <c r="I2050">
        <v>1.21</v>
      </c>
      <c r="J2050">
        <v>29.97</v>
      </c>
      <c r="K2050">
        <f t="shared" si="330"/>
        <v>80.316666666666663</v>
      </c>
      <c r="L2050">
        <f t="shared" si="331"/>
        <v>113.71333333333332</v>
      </c>
      <c r="M2050">
        <f t="shared" si="332"/>
        <v>15.15</v>
      </c>
      <c r="N2050">
        <f t="shared" si="333"/>
        <v>1.3225</v>
      </c>
      <c r="O2050">
        <f t="shared" si="334"/>
        <v>6.625</v>
      </c>
      <c r="P2050">
        <f t="shared" si="335"/>
        <v>13.75</v>
      </c>
      <c r="Q2050">
        <f t="shared" si="336"/>
        <v>27.75</v>
      </c>
      <c r="R2050">
        <f t="shared" si="337"/>
        <v>113.71333333333332</v>
      </c>
      <c r="S2050" t="str">
        <f t="shared" si="338"/>
        <v>Moderate</v>
      </c>
      <c r="T2050" t="str">
        <f t="shared" si="339"/>
        <v>PM10</v>
      </c>
      <c r="U2050">
        <v>24.69</v>
      </c>
      <c r="V2050">
        <v>39.94</v>
      </c>
    </row>
    <row r="2051" spans="1:22" x14ac:dyDescent="0.3">
      <c r="A2051" s="2" t="s">
        <v>15</v>
      </c>
      <c r="B2051">
        <v>560026</v>
      </c>
      <c r="C2051" s="4">
        <v>45608</v>
      </c>
      <c r="D2051">
        <v>50.96</v>
      </c>
      <c r="E2051">
        <v>127.39</v>
      </c>
      <c r="F2051">
        <v>12.1</v>
      </c>
      <c r="G2051">
        <v>5.23</v>
      </c>
      <c r="H2051">
        <v>4.88</v>
      </c>
      <c r="I2051">
        <v>1.26</v>
      </c>
      <c r="J2051">
        <v>29.73</v>
      </c>
      <c r="K2051">
        <f t="shared" si="330"/>
        <v>84.933333333333337</v>
      </c>
      <c r="L2051">
        <f t="shared" si="331"/>
        <v>118.26</v>
      </c>
      <c r="M2051">
        <f t="shared" si="332"/>
        <v>15.125</v>
      </c>
      <c r="N2051">
        <f t="shared" si="333"/>
        <v>1.3075000000000001</v>
      </c>
      <c r="O2051">
        <f t="shared" si="334"/>
        <v>6.1</v>
      </c>
      <c r="P2051">
        <f t="shared" si="335"/>
        <v>14.318181818181818</v>
      </c>
      <c r="Q2051">
        <f t="shared" si="336"/>
        <v>27.527777777777779</v>
      </c>
      <c r="R2051">
        <f t="shared" si="337"/>
        <v>118.26</v>
      </c>
      <c r="S2051" t="str">
        <f t="shared" si="338"/>
        <v>Moderate</v>
      </c>
      <c r="T2051" t="str">
        <f t="shared" si="339"/>
        <v>PM10</v>
      </c>
      <c r="U2051">
        <v>23.95</v>
      </c>
      <c r="V2051">
        <v>42.6</v>
      </c>
    </row>
    <row r="2052" spans="1:22" x14ac:dyDescent="0.3">
      <c r="A2052" s="2" t="s">
        <v>15</v>
      </c>
      <c r="B2052">
        <v>560026</v>
      </c>
      <c r="C2052" s="4">
        <v>45609</v>
      </c>
      <c r="D2052">
        <v>26.21</v>
      </c>
      <c r="E2052">
        <v>65.42</v>
      </c>
      <c r="F2052">
        <v>12.19</v>
      </c>
      <c r="G2052">
        <v>5.34</v>
      </c>
      <c r="H2052">
        <v>4.68</v>
      </c>
      <c r="I2052">
        <v>1.22</v>
      </c>
      <c r="J2052">
        <v>26.53</v>
      </c>
      <c r="K2052">
        <f t="shared" si="330"/>
        <v>43.68333333333333</v>
      </c>
      <c r="L2052">
        <f t="shared" si="331"/>
        <v>65.42</v>
      </c>
      <c r="M2052">
        <f t="shared" si="332"/>
        <v>15.237500000000001</v>
      </c>
      <c r="N2052">
        <f t="shared" si="333"/>
        <v>1.335</v>
      </c>
      <c r="O2052">
        <f t="shared" si="334"/>
        <v>5.85</v>
      </c>
      <c r="P2052">
        <f t="shared" si="335"/>
        <v>13.863636363636363</v>
      </c>
      <c r="Q2052">
        <f t="shared" si="336"/>
        <v>24.564814814814817</v>
      </c>
      <c r="R2052">
        <f t="shared" si="337"/>
        <v>65.42</v>
      </c>
      <c r="S2052" t="str">
        <f t="shared" si="338"/>
        <v>Satisfactory</v>
      </c>
      <c r="T2052" t="str">
        <f t="shared" si="339"/>
        <v>PM10</v>
      </c>
      <c r="U2052">
        <v>24.01</v>
      </c>
      <c r="V2052">
        <v>45.52</v>
      </c>
    </row>
    <row r="2053" spans="1:22" x14ac:dyDescent="0.3">
      <c r="A2053" s="2" t="s">
        <v>15</v>
      </c>
      <c r="B2053">
        <v>560026</v>
      </c>
      <c r="C2053" s="4">
        <v>45610</v>
      </c>
      <c r="D2053">
        <v>24.83</v>
      </c>
      <c r="E2053">
        <v>62.05</v>
      </c>
      <c r="F2053">
        <v>12.28</v>
      </c>
      <c r="G2053">
        <v>5.21</v>
      </c>
      <c r="H2053">
        <v>5.2</v>
      </c>
      <c r="I2053">
        <v>1.2</v>
      </c>
      <c r="J2053">
        <v>27.15</v>
      </c>
      <c r="K2053">
        <f t="shared" si="330"/>
        <v>41.383333333333333</v>
      </c>
      <c r="L2053">
        <f t="shared" si="331"/>
        <v>62.05</v>
      </c>
      <c r="M2053">
        <f t="shared" si="332"/>
        <v>15.35</v>
      </c>
      <c r="N2053">
        <f t="shared" si="333"/>
        <v>1.3025</v>
      </c>
      <c r="O2053">
        <f t="shared" si="334"/>
        <v>6.5</v>
      </c>
      <c r="P2053">
        <f t="shared" si="335"/>
        <v>13.636363636363635</v>
      </c>
      <c r="Q2053">
        <f t="shared" si="336"/>
        <v>25.138888888888889</v>
      </c>
      <c r="R2053">
        <f t="shared" si="337"/>
        <v>62.05</v>
      </c>
      <c r="S2053" t="str">
        <f t="shared" si="338"/>
        <v>Satisfactory</v>
      </c>
      <c r="T2053" t="str">
        <f t="shared" si="339"/>
        <v>PM10</v>
      </c>
      <c r="U2053">
        <v>23.52</v>
      </c>
      <c r="V2053">
        <v>48.01</v>
      </c>
    </row>
    <row r="2054" spans="1:22" x14ac:dyDescent="0.3">
      <c r="A2054" s="2" t="s">
        <v>15</v>
      </c>
      <c r="B2054">
        <v>560026</v>
      </c>
      <c r="C2054" s="4">
        <v>45611</v>
      </c>
      <c r="D2054">
        <v>26.49</v>
      </c>
      <c r="E2054">
        <v>66.27</v>
      </c>
      <c r="F2054">
        <v>12.36</v>
      </c>
      <c r="G2054">
        <v>5.22</v>
      </c>
      <c r="H2054">
        <v>5.1100000000000003</v>
      </c>
      <c r="I2054">
        <v>1.45</v>
      </c>
      <c r="J2054">
        <v>26.71</v>
      </c>
      <c r="K2054">
        <f t="shared" si="330"/>
        <v>44.15</v>
      </c>
      <c r="L2054">
        <f t="shared" si="331"/>
        <v>66.27</v>
      </c>
      <c r="M2054">
        <f t="shared" si="332"/>
        <v>15.45</v>
      </c>
      <c r="N2054">
        <f t="shared" si="333"/>
        <v>1.3049999999999999</v>
      </c>
      <c r="O2054">
        <f t="shared" si="334"/>
        <v>6.3875000000000011</v>
      </c>
      <c r="P2054">
        <f t="shared" si="335"/>
        <v>16.477272727272727</v>
      </c>
      <c r="Q2054">
        <f t="shared" si="336"/>
        <v>24.731481481481481</v>
      </c>
      <c r="R2054">
        <f t="shared" si="337"/>
        <v>66.27</v>
      </c>
      <c r="S2054" t="str">
        <f t="shared" si="338"/>
        <v>Satisfactory</v>
      </c>
      <c r="T2054" t="str">
        <f t="shared" si="339"/>
        <v>PM10</v>
      </c>
      <c r="U2054">
        <v>23.78</v>
      </c>
      <c r="V2054">
        <v>47.93</v>
      </c>
    </row>
    <row r="2055" spans="1:22" x14ac:dyDescent="0.3">
      <c r="A2055" s="2" t="s">
        <v>15</v>
      </c>
      <c r="B2055">
        <v>560026</v>
      </c>
      <c r="C2055" s="4">
        <v>45612</v>
      </c>
      <c r="D2055">
        <v>26.24</v>
      </c>
      <c r="E2055">
        <v>65.61</v>
      </c>
      <c r="F2055">
        <v>12.41</v>
      </c>
      <c r="G2055">
        <v>5.18</v>
      </c>
      <c r="H2055">
        <v>4.83</v>
      </c>
      <c r="I2055">
        <v>1.24</v>
      </c>
      <c r="J2055">
        <v>26.24</v>
      </c>
      <c r="K2055">
        <f t="shared" si="330"/>
        <v>43.733333333333334</v>
      </c>
      <c r="L2055">
        <f t="shared" si="331"/>
        <v>65.61</v>
      </c>
      <c r="M2055">
        <f t="shared" si="332"/>
        <v>15.512499999999999</v>
      </c>
      <c r="N2055">
        <f t="shared" si="333"/>
        <v>1.2949999999999999</v>
      </c>
      <c r="O2055">
        <f t="shared" si="334"/>
        <v>6.0374999999999996</v>
      </c>
      <c r="P2055">
        <f t="shared" si="335"/>
        <v>14.09090909090909</v>
      </c>
      <c r="Q2055">
        <f t="shared" si="336"/>
        <v>24.296296296296294</v>
      </c>
      <c r="R2055">
        <f t="shared" si="337"/>
        <v>65.61</v>
      </c>
      <c r="S2055" t="str">
        <f t="shared" si="338"/>
        <v>Satisfactory</v>
      </c>
      <c r="T2055" t="str">
        <f t="shared" si="339"/>
        <v>PM10</v>
      </c>
      <c r="U2055">
        <v>24.1</v>
      </c>
      <c r="V2055">
        <v>46.47</v>
      </c>
    </row>
    <row r="2056" spans="1:22" x14ac:dyDescent="0.3">
      <c r="A2056" s="2" t="s">
        <v>15</v>
      </c>
      <c r="B2056">
        <v>560026</v>
      </c>
      <c r="C2056" s="4">
        <v>45613</v>
      </c>
      <c r="D2056">
        <v>52.92</v>
      </c>
      <c r="E2056">
        <v>132.47999999999999</v>
      </c>
      <c r="F2056">
        <v>12.24</v>
      </c>
      <c r="G2056">
        <v>5.18</v>
      </c>
      <c r="H2056">
        <v>4.3499999999999996</v>
      </c>
      <c r="I2056">
        <v>1.2</v>
      </c>
      <c r="J2056">
        <v>27.89</v>
      </c>
      <c r="K2056">
        <f t="shared" ref="K2056:K2100" si="340">IF(ISTEXT(D2056),0,IF(D2056&lt;=30,D2056*50/30,IF(AND(D2056&gt;30,D2056&lt;=60),50+(D2056-30)*50/30,IF(AND(D2056&gt;60,D2056&lt;=90),100+(D2056-60)*100/30,IF(AND(D2056&gt;90,D2056&lt;=120),200+(D2056-90)*(100/30),IF(AND(D2056&gt;120,D2056&lt;=250),300+(D2056-120)*(100/130),IF(D2056&gt;250,400+(D2056-250)*(100/130))))))))</f>
        <v>88.2</v>
      </c>
      <c r="L2056">
        <f t="shared" ref="L2056:L2100" si="341">IF(ISTEXT(E2056),0,IF(E2056&lt;=50,E2056,IF(AND(E2056&gt;50,E2056&lt;=100),E2056,IF(AND(E2056&gt;100,E2056&lt;=250),100+(E2056-100)*100/150,IF(AND(E2056&gt;250,E2056&lt;=350),200+(E2056-250),IF(AND(E2056&gt;350,E2056&lt;=430),300+(E2056-350)*(100/80),IF(E2056&gt;430,400+(E2056-430)*(100/80))))))))</f>
        <v>121.65333333333334</v>
      </c>
      <c r="M2056">
        <f t="shared" ref="M2056:M2100" si="342">IF(ISTEXT(F2056),0,IF(F2056&lt;=40,F2056*50/40,IF(AND(F2056&gt;40,F2056&lt;=80),50+(F2056-40)*50/40,IF(AND(F2056&gt;80,F2056&lt;=180),100+(F2056-80)*100/100,IF(AND(F2056&gt;180,F2056&lt;=280),200+(F2056-180)*(100/100),IF(AND(F2056&gt;280,F2056&lt;=400),300+(F2056-280)*(100/120),IF(F2056&gt;400,400+(F2056-400)*(100/120))))))))</f>
        <v>15.3</v>
      </c>
      <c r="N2056">
        <f t="shared" ref="N2056:N2100" si="343">IF(ISTEXT(G2056),0,IF(G2056&lt;=200,G2056*50/200,IF(AND(G2056&gt;200,G2056&lt;=400),50+(G2056-200)*50/200,IF(AND(G2056&gt;400,G2056&lt;=800),100+(G2056-400)*100/400,IF(AND(G2056&gt;800,G2056&lt;=1200),200+(G2056-800)*(100/400),IF(AND(G2056&gt;1200,G2056&lt;=1800),300+(G2056-1200)*(100/600),IF(G2056&gt;1800,400+(G2056-1800)*(100/600))))))))</f>
        <v>1.2949999999999999</v>
      </c>
      <c r="O2056">
        <f t="shared" ref="O2056:O2100" si="344">IF(ISTEXT(H2056),0,IF(H2056&lt;=40,H2056*50/40,IF(AND(H2056&gt;40,H2056&lt;=80),50+(H2056-40)*50/40,IF(AND(H2056&gt;80,H2056&lt;=380),100+(H2056-80)*100/300,IF(AND(H2056&gt;380,H2056&lt;=800),200+(H2056-380)*(100/420),IF(AND(H2056&gt;800,H2056&lt;=1600),300+(H2056-800)*(100/800),IF(H2056&gt;1600,400+(H2056-1600)*(100/800))))))))</f>
        <v>5.4374999999999991</v>
      </c>
      <c r="P2056">
        <f t="shared" ref="P2056:P2100" si="345">IF(I2056&lt;=4.4,(50-0)/(4.4-0)*(I2056-0)+0,
IF(I2056&lt;=9.4,(100-51)/(9.4-4.5)*(I2056-4.5)+51,
IF(I2056&lt;=12.4,(150-101)/(12.4-9.5)*(I2056-9.5)+101,
IF(I2056&lt;=15.4,(200-151)/(15.4-12.5)*(I2056-12.5)+151,
IF(I2056&lt;=30.4,(300-201)/(30.4-15.5)*(I2056-15.5)+201,
(500-301)/(50.4-30.5)*(I2056-30.5)+301)))))</f>
        <v>13.636363636363635</v>
      </c>
      <c r="Q2056">
        <f t="shared" ref="Q2056:Q2100" si="346">IF(J2056&lt;=54,(50-0)/(54-0)*(J2056-0)+0,
IF(J2056&lt;=70,(100-51)/(70-55)*(J2056-55)+51,
IF(J2056&lt;=85,(150-101)/(85-71)*(J2056-71)+101,
IF(J2056&lt;=105,(200-151)/(105-86)*(J2056-86)+151,
IF(J2056&lt;=200,(300-201)/(200-106)*(J2056-106)+201,
(500-301)/(300-201)*(J2056-201)+301)))))</f>
        <v>25.824074074074076</v>
      </c>
      <c r="R2056">
        <f t="shared" ref="R2056:R2100" si="347">MAX(K2056:Q2056)</f>
        <v>121.65333333333334</v>
      </c>
      <c r="S2056" t="str">
        <f t="shared" ref="S2056:S2100" si="348">IF(R2056&lt;=50,"Good",
IF(R2056&lt;=100,"Satisfactory",
IF(R2056&lt;=200,"Moderate",
IF(R2056&lt;=300,"Poor",
IF(R2056&lt;=400,"Very Poor",
"Severe")))))</f>
        <v>Moderate</v>
      </c>
      <c r="T2056" t="str">
        <f t="shared" ref="T2056:T2100" si="349">IF(MAX(K2056:Q2056)=K2056,"PM2.5",
IF(MAX(K2056:Q2056)=L2056,"PM10",
IF(MAX(K2056:Q2056)=M2056,"NO2",
IF(MAX(K2056:Q2056)=N2056,"NH3",
IF(MAX(K2056:Q2056)=O2056,"SO2",
IF(MAX(K2056:Q2056)=P2056,"CO",
IF(MAX(K2056:Q2056)=Q2056,"OZONE","")))))))</f>
        <v>PM10</v>
      </c>
      <c r="U2056">
        <v>24.31</v>
      </c>
      <c r="V2056">
        <v>44.07</v>
      </c>
    </row>
    <row r="2057" spans="1:22" x14ac:dyDescent="0.3">
      <c r="A2057" s="2" t="s">
        <v>15</v>
      </c>
      <c r="B2057">
        <v>560026</v>
      </c>
      <c r="C2057" s="4">
        <v>45614</v>
      </c>
      <c r="D2057">
        <v>52.93</v>
      </c>
      <c r="E2057">
        <v>132.38</v>
      </c>
      <c r="F2057">
        <v>12.31</v>
      </c>
      <c r="G2057">
        <v>5.29</v>
      </c>
      <c r="H2057">
        <v>4.72</v>
      </c>
      <c r="I2057">
        <v>1.2</v>
      </c>
      <c r="J2057">
        <v>30.11</v>
      </c>
      <c r="K2057">
        <f t="shared" si="340"/>
        <v>88.216666666666669</v>
      </c>
      <c r="L2057">
        <f t="shared" si="341"/>
        <v>121.58666666666666</v>
      </c>
      <c r="M2057">
        <f t="shared" si="342"/>
        <v>15.387499999999999</v>
      </c>
      <c r="N2057">
        <f t="shared" si="343"/>
        <v>1.3225</v>
      </c>
      <c r="O2057">
        <f t="shared" si="344"/>
        <v>5.9</v>
      </c>
      <c r="P2057">
        <f t="shared" si="345"/>
        <v>13.636363636363635</v>
      </c>
      <c r="Q2057">
        <f t="shared" si="346"/>
        <v>27.87962962962963</v>
      </c>
      <c r="R2057">
        <f t="shared" si="347"/>
        <v>121.58666666666666</v>
      </c>
      <c r="S2057" t="str">
        <f t="shared" si="348"/>
        <v>Moderate</v>
      </c>
      <c r="T2057" t="str">
        <f t="shared" si="349"/>
        <v>PM10</v>
      </c>
      <c r="U2057">
        <v>23.92</v>
      </c>
      <c r="V2057">
        <v>43.85</v>
      </c>
    </row>
    <row r="2058" spans="1:22" x14ac:dyDescent="0.3">
      <c r="A2058" s="2" t="s">
        <v>15</v>
      </c>
      <c r="B2058">
        <v>560026</v>
      </c>
      <c r="C2058" s="4">
        <v>45615</v>
      </c>
      <c r="D2058">
        <v>57</v>
      </c>
      <c r="E2058">
        <v>142.38</v>
      </c>
      <c r="F2058">
        <v>12.24</v>
      </c>
      <c r="G2058">
        <v>5.18</v>
      </c>
      <c r="H2058">
        <v>4.87</v>
      </c>
      <c r="I2058">
        <v>1.43</v>
      </c>
      <c r="J2058">
        <v>30.65</v>
      </c>
      <c r="K2058">
        <f t="shared" si="340"/>
        <v>95</v>
      </c>
      <c r="L2058">
        <f t="shared" si="341"/>
        <v>128.25333333333333</v>
      </c>
      <c r="M2058">
        <f t="shared" si="342"/>
        <v>15.3</v>
      </c>
      <c r="N2058">
        <f t="shared" si="343"/>
        <v>1.2949999999999999</v>
      </c>
      <c r="O2058">
        <f t="shared" si="344"/>
        <v>6.0875000000000004</v>
      </c>
      <c r="P2058">
        <f t="shared" si="345"/>
        <v>16.25</v>
      </c>
      <c r="Q2058">
        <f t="shared" si="346"/>
        <v>28.37962962962963</v>
      </c>
      <c r="R2058">
        <f t="shared" si="347"/>
        <v>128.25333333333333</v>
      </c>
      <c r="S2058" t="str">
        <f t="shared" si="348"/>
        <v>Moderate</v>
      </c>
      <c r="T2058" t="str">
        <f t="shared" si="349"/>
        <v>PM10</v>
      </c>
      <c r="U2058">
        <v>23.83</v>
      </c>
      <c r="V2058">
        <v>41.64</v>
      </c>
    </row>
    <row r="2059" spans="1:22" x14ac:dyDescent="0.3">
      <c r="A2059" s="2" t="s">
        <v>15</v>
      </c>
      <c r="B2059">
        <v>560026</v>
      </c>
      <c r="C2059" s="4">
        <v>45616</v>
      </c>
      <c r="D2059">
        <v>44.75</v>
      </c>
      <c r="E2059">
        <v>111.94</v>
      </c>
      <c r="F2059">
        <v>12.22</v>
      </c>
      <c r="G2059">
        <v>5.29</v>
      </c>
      <c r="H2059">
        <v>4.93</v>
      </c>
      <c r="I2059">
        <v>1.1200000000000001</v>
      </c>
      <c r="J2059">
        <v>36.24</v>
      </c>
      <c r="K2059">
        <f t="shared" si="340"/>
        <v>74.583333333333329</v>
      </c>
      <c r="L2059">
        <f t="shared" si="341"/>
        <v>107.96</v>
      </c>
      <c r="M2059">
        <f t="shared" si="342"/>
        <v>15.275</v>
      </c>
      <c r="N2059">
        <f t="shared" si="343"/>
        <v>1.3225</v>
      </c>
      <c r="O2059">
        <f t="shared" si="344"/>
        <v>6.1624999999999996</v>
      </c>
      <c r="P2059">
        <f t="shared" si="345"/>
        <v>12.727272727272728</v>
      </c>
      <c r="Q2059">
        <f t="shared" si="346"/>
        <v>33.555555555555557</v>
      </c>
      <c r="R2059">
        <f t="shared" si="347"/>
        <v>107.96</v>
      </c>
      <c r="S2059" t="str">
        <f t="shared" si="348"/>
        <v>Moderate</v>
      </c>
      <c r="T2059" t="str">
        <f t="shared" si="349"/>
        <v>PM10</v>
      </c>
      <c r="U2059">
        <v>23.14</v>
      </c>
      <c r="V2059">
        <v>40.799999999999997</v>
      </c>
    </row>
    <row r="2060" spans="1:22" x14ac:dyDescent="0.3">
      <c r="A2060" s="2" t="s">
        <v>15</v>
      </c>
      <c r="B2060">
        <v>560026</v>
      </c>
      <c r="C2060" s="4">
        <v>45617</v>
      </c>
      <c r="D2060">
        <v>51.55</v>
      </c>
      <c r="E2060">
        <v>128.93</v>
      </c>
      <c r="F2060">
        <v>12.23</v>
      </c>
      <c r="G2060">
        <v>5.26</v>
      </c>
      <c r="H2060">
        <v>5.49</v>
      </c>
      <c r="I2060">
        <v>1.34</v>
      </c>
      <c r="J2060">
        <v>37.83</v>
      </c>
      <c r="K2060">
        <f t="shared" si="340"/>
        <v>85.916666666666657</v>
      </c>
      <c r="L2060">
        <f t="shared" si="341"/>
        <v>119.28666666666668</v>
      </c>
      <c r="M2060">
        <f t="shared" si="342"/>
        <v>15.2875</v>
      </c>
      <c r="N2060">
        <f t="shared" si="343"/>
        <v>1.3149999999999999</v>
      </c>
      <c r="O2060">
        <f t="shared" si="344"/>
        <v>6.8624999999999998</v>
      </c>
      <c r="P2060">
        <f t="shared" si="345"/>
        <v>15.227272727272728</v>
      </c>
      <c r="Q2060">
        <f t="shared" si="346"/>
        <v>35.027777777777779</v>
      </c>
      <c r="R2060">
        <f t="shared" si="347"/>
        <v>119.28666666666668</v>
      </c>
      <c r="S2060" t="str">
        <f t="shared" si="348"/>
        <v>Moderate</v>
      </c>
      <c r="T2060" t="str">
        <f t="shared" si="349"/>
        <v>PM10</v>
      </c>
      <c r="U2060">
        <v>23.63</v>
      </c>
      <c r="V2060">
        <v>39.67</v>
      </c>
    </row>
    <row r="2061" spans="1:22" x14ac:dyDescent="0.3">
      <c r="A2061" s="2" t="s">
        <v>15</v>
      </c>
      <c r="B2061">
        <v>560026</v>
      </c>
      <c r="C2061" s="4">
        <v>45618</v>
      </c>
      <c r="D2061">
        <v>48.01</v>
      </c>
      <c r="E2061">
        <v>120.25</v>
      </c>
      <c r="F2061">
        <v>12.28</v>
      </c>
      <c r="G2061">
        <v>5.2</v>
      </c>
      <c r="H2061">
        <v>4.9400000000000004</v>
      </c>
      <c r="I2061">
        <v>1.23</v>
      </c>
      <c r="J2061">
        <v>32.39</v>
      </c>
      <c r="K2061">
        <f t="shared" si="340"/>
        <v>80.016666666666666</v>
      </c>
      <c r="L2061">
        <f t="shared" si="341"/>
        <v>113.5</v>
      </c>
      <c r="M2061">
        <f t="shared" si="342"/>
        <v>15.35</v>
      </c>
      <c r="N2061">
        <f t="shared" si="343"/>
        <v>1.3</v>
      </c>
      <c r="O2061">
        <f t="shared" si="344"/>
        <v>6.1750000000000007</v>
      </c>
      <c r="P2061">
        <f t="shared" si="345"/>
        <v>13.977272727272727</v>
      </c>
      <c r="Q2061">
        <f t="shared" si="346"/>
        <v>29.99074074074074</v>
      </c>
      <c r="R2061">
        <f t="shared" si="347"/>
        <v>113.5</v>
      </c>
      <c r="S2061" t="str">
        <f t="shared" si="348"/>
        <v>Moderate</v>
      </c>
      <c r="T2061" t="str">
        <f t="shared" si="349"/>
        <v>PM10</v>
      </c>
      <c r="U2061">
        <v>24</v>
      </c>
      <c r="V2061">
        <v>37.92</v>
      </c>
    </row>
    <row r="2062" spans="1:22" x14ac:dyDescent="0.3">
      <c r="A2062" s="2" t="s">
        <v>15</v>
      </c>
      <c r="B2062">
        <v>560026</v>
      </c>
      <c r="C2062" s="4">
        <v>45619</v>
      </c>
      <c r="D2062">
        <v>47.98</v>
      </c>
      <c r="E2062">
        <v>120.19</v>
      </c>
      <c r="F2062">
        <v>12.22</v>
      </c>
      <c r="G2062">
        <v>5.3</v>
      </c>
      <c r="H2062">
        <v>5.61</v>
      </c>
      <c r="I2062">
        <v>1.1499999999999999</v>
      </c>
      <c r="J2062">
        <v>43.62</v>
      </c>
      <c r="K2062">
        <f t="shared" si="340"/>
        <v>79.966666666666669</v>
      </c>
      <c r="L2062">
        <f t="shared" si="341"/>
        <v>113.46</v>
      </c>
      <c r="M2062">
        <f t="shared" si="342"/>
        <v>15.275</v>
      </c>
      <c r="N2062">
        <f t="shared" si="343"/>
        <v>1.325</v>
      </c>
      <c r="O2062">
        <f t="shared" si="344"/>
        <v>7.0125000000000002</v>
      </c>
      <c r="P2062">
        <f t="shared" si="345"/>
        <v>13.068181818181817</v>
      </c>
      <c r="Q2062">
        <f t="shared" si="346"/>
        <v>40.388888888888886</v>
      </c>
      <c r="R2062">
        <f t="shared" si="347"/>
        <v>113.46</v>
      </c>
      <c r="S2062" t="str">
        <f t="shared" si="348"/>
        <v>Moderate</v>
      </c>
      <c r="T2062" t="str">
        <f t="shared" si="349"/>
        <v>PM10</v>
      </c>
      <c r="U2062">
        <v>23.61</v>
      </c>
      <c r="V2062">
        <v>39.68</v>
      </c>
    </row>
    <row r="2063" spans="1:22" x14ac:dyDescent="0.3">
      <c r="A2063" s="2" t="s">
        <v>15</v>
      </c>
      <c r="B2063">
        <v>560026</v>
      </c>
      <c r="C2063" s="4">
        <v>45620</v>
      </c>
      <c r="D2063">
        <v>44.98</v>
      </c>
      <c r="E2063">
        <v>112.33</v>
      </c>
      <c r="F2063">
        <v>12.19</v>
      </c>
      <c r="G2063">
        <v>5.27</v>
      </c>
      <c r="H2063">
        <v>5.44</v>
      </c>
      <c r="I2063">
        <v>1.1399999999999999</v>
      </c>
      <c r="J2063">
        <v>33.6</v>
      </c>
      <c r="K2063">
        <f t="shared" si="340"/>
        <v>74.966666666666669</v>
      </c>
      <c r="L2063">
        <f t="shared" si="341"/>
        <v>108.22</v>
      </c>
      <c r="M2063">
        <f t="shared" si="342"/>
        <v>15.237500000000001</v>
      </c>
      <c r="N2063">
        <f t="shared" si="343"/>
        <v>1.3174999999999999</v>
      </c>
      <c r="O2063">
        <f t="shared" si="344"/>
        <v>6.8</v>
      </c>
      <c r="P2063">
        <f t="shared" si="345"/>
        <v>12.954545454545453</v>
      </c>
      <c r="Q2063">
        <f t="shared" si="346"/>
        <v>31.111111111111114</v>
      </c>
      <c r="R2063">
        <f t="shared" si="347"/>
        <v>108.22</v>
      </c>
      <c r="S2063" t="str">
        <f t="shared" si="348"/>
        <v>Moderate</v>
      </c>
      <c r="T2063" t="str">
        <f t="shared" si="349"/>
        <v>PM10</v>
      </c>
      <c r="U2063">
        <v>24.13</v>
      </c>
      <c r="V2063">
        <v>40.64</v>
      </c>
    </row>
    <row r="2064" spans="1:22" x14ac:dyDescent="0.3">
      <c r="A2064" s="2" t="s">
        <v>15</v>
      </c>
      <c r="B2064">
        <v>560026</v>
      </c>
      <c r="C2064" s="4">
        <v>45621</v>
      </c>
      <c r="D2064">
        <v>42.76</v>
      </c>
      <c r="E2064">
        <v>107.22</v>
      </c>
      <c r="F2064">
        <v>12.26</v>
      </c>
      <c r="G2064">
        <v>5.19</v>
      </c>
      <c r="H2064">
        <v>5.01</v>
      </c>
      <c r="I2064">
        <v>1.1399999999999999</v>
      </c>
      <c r="J2064">
        <v>29.59</v>
      </c>
      <c r="K2064">
        <f t="shared" si="340"/>
        <v>71.266666666666666</v>
      </c>
      <c r="L2064">
        <f t="shared" si="341"/>
        <v>104.81333333333333</v>
      </c>
      <c r="M2064">
        <f t="shared" si="342"/>
        <v>15.324999999999999</v>
      </c>
      <c r="N2064">
        <f t="shared" si="343"/>
        <v>1.2975000000000001</v>
      </c>
      <c r="O2064">
        <f t="shared" si="344"/>
        <v>6.2625000000000002</v>
      </c>
      <c r="P2064">
        <f t="shared" si="345"/>
        <v>12.954545454545453</v>
      </c>
      <c r="Q2064">
        <f t="shared" si="346"/>
        <v>27.398148148148149</v>
      </c>
      <c r="R2064">
        <f t="shared" si="347"/>
        <v>104.81333333333333</v>
      </c>
      <c r="S2064" t="str">
        <f t="shared" si="348"/>
        <v>Moderate</v>
      </c>
      <c r="T2064" t="str">
        <f t="shared" si="349"/>
        <v>PM10</v>
      </c>
      <c r="U2064">
        <v>23.68</v>
      </c>
      <c r="V2064">
        <v>39.590000000000003</v>
      </c>
    </row>
    <row r="2065" spans="1:22" x14ac:dyDescent="0.3">
      <c r="A2065" s="2" t="s">
        <v>15</v>
      </c>
      <c r="B2065">
        <v>560026</v>
      </c>
      <c r="C2065" s="4">
        <v>45622</v>
      </c>
      <c r="D2065">
        <v>45.91</v>
      </c>
      <c r="E2065">
        <v>114.84</v>
      </c>
      <c r="F2065">
        <v>12.31</v>
      </c>
      <c r="G2065">
        <v>5.38</v>
      </c>
      <c r="H2065">
        <v>5.51</v>
      </c>
      <c r="I2065">
        <v>1.2</v>
      </c>
      <c r="J2065">
        <v>30.41</v>
      </c>
      <c r="K2065">
        <f t="shared" si="340"/>
        <v>76.516666666666652</v>
      </c>
      <c r="L2065">
        <f t="shared" si="341"/>
        <v>109.89333333333333</v>
      </c>
      <c r="M2065">
        <f t="shared" si="342"/>
        <v>15.387499999999999</v>
      </c>
      <c r="N2065">
        <f t="shared" si="343"/>
        <v>1.345</v>
      </c>
      <c r="O2065">
        <f t="shared" si="344"/>
        <v>6.8875000000000002</v>
      </c>
      <c r="P2065">
        <f t="shared" si="345"/>
        <v>13.636363636363635</v>
      </c>
      <c r="Q2065">
        <f t="shared" si="346"/>
        <v>28.157407407407408</v>
      </c>
      <c r="R2065">
        <f t="shared" si="347"/>
        <v>109.89333333333333</v>
      </c>
      <c r="S2065" t="str">
        <f t="shared" si="348"/>
        <v>Moderate</v>
      </c>
      <c r="T2065" t="str">
        <f t="shared" si="349"/>
        <v>PM10</v>
      </c>
      <c r="U2065">
        <v>21.91</v>
      </c>
      <c r="V2065">
        <v>41.92</v>
      </c>
    </row>
    <row r="2066" spans="1:22" x14ac:dyDescent="0.3">
      <c r="A2066" s="2" t="s">
        <v>15</v>
      </c>
      <c r="B2066">
        <v>560026</v>
      </c>
      <c r="C2066" s="4">
        <v>45623</v>
      </c>
      <c r="D2066">
        <v>56.44</v>
      </c>
      <c r="E2066">
        <v>141.30000000000001</v>
      </c>
      <c r="F2066">
        <v>12.25</v>
      </c>
      <c r="G2066">
        <v>5.22</v>
      </c>
      <c r="H2066">
        <v>5.44</v>
      </c>
      <c r="I2066">
        <v>1.33</v>
      </c>
      <c r="J2066">
        <v>31.65</v>
      </c>
      <c r="K2066">
        <f t="shared" si="340"/>
        <v>94.066666666666663</v>
      </c>
      <c r="L2066">
        <f t="shared" si="341"/>
        <v>127.53333333333333</v>
      </c>
      <c r="M2066">
        <f t="shared" si="342"/>
        <v>15.3125</v>
      </c>
      <c r="N2066">
        <f t="shared" si="343"/>
        <v>1.3049999999999999</v>
      </c>
      <c r="O2066">
        <f t="shared" si="344"/>
        <v>6.8</v>
      </c>
      <c r="P2066">
        <f t="shared" si="345"/>
        <v>15.113636363636363</v>
      </c>
      <c r="Q2066">
        <f t="shared" si="346"/>
        <v>29.305555555555554</v>
      </c>
      <c r="R2066">
        <f t="shared" si="347"/>
        <v>127.53333333333333</v>
      </c>
      <c r="S2066" t="str">
        <f t="shared" si="348"/>
        <v>Moderate</v>
      </c>
      <c r="T2066" t="str">
        <f t="shared" si="349"/>
        <v>PM10</v>
      </c>
      <c r="U2066">
        <v>21.8</v>
      </c>
      <c r="V2066">
        <v>40.81</v>
      </c>
    </row>
    <row r="2067" spans="1:22" x14ac:dyDescent="0.3">
      <c r="A2067" s="2" t="s">
        <v>15</v>
      </c>
      <c r="B2067">
        <v>560026</v>
      </c>
      <c r="C2067" s="4">
        <v>45624</v>
      </c>
      <c r="D2067">
        <v>58.15</v>
      </c>
      <c r="E2067">
        <v>145.28</v>
      </c>
      <c r="F2067">
        <v>12.22</v>
      </c>
      <c r="G2067">
        <v>5.32</v>
      </c>
      <c r="H2067">
        <v>5.74</v>
      </c>
      <c r="I2067">
        <v>1.17</v>
      </c>
      <c r="J2067">
        <v>32.99</v>
      </c>
      <c r="K2067">
        <f t="shared" si="340"/>
        <v>96.916666666666657</v>
      </c>
      <c r="L2067">
        <f t="shared" si="341"/>
        <v>130.18666666666667</v>
      </c>
      <c r="M2067">
        <f t="shared" si="342"/>
        <v>15.275</v>
      </c>
      <c r="N2067">
        <f t="shared" si="343"/>
        <v>1.33</v>
      </c>
      <c r="O2067">
        <f t="shared" si="344"/>
        <v>7.1749999999999998</v>
      </c>
      <c r="P2067">
        <f t="shared" si="345"/>
        <v>13.295454545454545</v>
      </c>
      <c r="Q2067">
        <f t="shared" si="346"/>
        <v>30.546296296296298</v>
      </c>
      <c r="R2067">
        <f t="shared" si="347"/>
        <v>130.18666666666667</v>
      </c>
      <c r="S2067" t="str">
        <f t="shared" si="348"/>
        <v>Moderate</v>
      </c>
      <c r="T2067" t="str">
        <f t="shared" si="349"/>
        <v>PM10</v>
      </c>
      <c r="U2067">
        <v>22.79</v>
      </c>
      <c r="V2067">
        <v>32.46</v>
      </c>
    </row>
    <row r="2068" spans="1:22" x14ac:dyDescent="0.3">
      <c r="A2068" s="2" t="s">
        <v>15</v>
      </c>
      <c r="B2068">
        <v>560026</v>
      </c>
      <c r="C2068" s="4">
        <v>45625</v>
      </c>
      <c r="D2068">
        <v>52.31</v>
      </c>
      <c r="E2068">
        <v>130.44</v>
      </c>
      <c r="F2068">
        <v>12.25</v>
      </c>
      <c r="G2068">
        <v>5.24</v>
      </c>
      <c r="H2068">
        <v>5.24</v>
      </c>
      <c r="I2068">
        <v>1.23</v>
      </c>
      <c r="J2068">
        <v>30.72</v>
      </c>
      <c r="K2068">
        <f t="shared" si="340"/>
        <v>87.183333333333337</v>
      </c>
      <c r="L2068">
        <f t="shared" si="341"/>
        <v>120.29333333333334</v>
      </c>
      <c r="M2068">
        <f t="shared" si="342"/>
        <v>15.3125</v>
      </c>
      <c r="N2068">
        <f t="shared" si="343"/>
        <v>1.31</v>
      </c>
      <c r="O2068">
        <f t="shared" si="344"/>
        <v>6.55</v>
      </c>
      <c r="P2068">
        <f t="shared" si="345"/>
        <v>13.977272727272727</v>
      </c>
      <c r="Q2068">
        <f t="shared" si="346"/>
        <v>28.444444444444443</v>
      </c>
      <c r="R2068">
        <f t="shared" si="347"/>
        <v>120.29333333333334</v>
      </c>
      <c r="S2068" t="str">
        <f t="shared" si="348"/>
        <v>Moderate</v>
      </c>
      <c r="T2068" t="str">
        <f t="shared" si="349"/>
        <v>PM10</v>
      </c>
      <c r="U2068">
        <v>23.01</v>
      </c>
      <c r="V2068">
        <v>38.729999999999997</v>
      </c>
    </row>
    <row r="2069" spans="1:22" x14ac:dyDescent="0.3">
      <c r="A2069" s="2" t="s">
        <v>15</v>
      </c>
      <c r="B2069">
        <v>560026</v>
      </c>
      <c r="C2069" s="4">
        <v>45626</v>
      </c>
      <c r="D2069">
        <v>38.89</v>
      </c>
      <c r="E2069">
        <v>97.64</v>
      </c>
      <c r="F2069">
        <v>12.4</v>
      </c>
      <c r="G2069">
        <v>5.16</v>
      </c>
      <c r="H2069">
        <v>5.84</v>
      </c>
      <c r="I2069">
        <v>1.18</v>
      </c>
      <c r="J2069">
        <v>28.35</v>
      </c>
      <c r="K2069">
        <f t="shared" si="340"/>
        <v>64.816666666666663</v>
      </c>
      <c r="L2069">
        <f t="shared" si="341"/>
        <v>97.64</v>
      </c>
      <c r="M2069">
        <f t="shared" si="342"/>
        <v>15.5</v>
      </c>
      <c r="N2069">
        <f t="shared" si="343"/>
        <v>1.29</v>
      </c>
      <c r="O2069">
        <f t="shared" si="344"/>
        <v>7.3</v>
      </c>
      <c r="P2069">
        <f t="shared" si="345"/>
        <v>13.409090909090908</v>
      </c>
      <c r="Q2069">
        <f t="shared" si="346"/>
        <v>26.25</v>
      </c>
      <c r="R2069">
        <f t="shared" si="347"/>
        <v>97.64</v>
      </c>
      <c r="S2069" t="str">
        <f t="shared" si="348"/>
        <v>Satisfactory</v>
      </c>
      <c r="T2069" t="str">
        <f t="shared" si="349"/>
        <v>PM10</v>
      </c>
      <c r="U2069">
        <v>21.86</v>
      </c>
      <c r="V2069">
        <v>45.06</v>
      </c>
    </row>
    <row r="2070" spans="1:22" x14ac:dyDescent="0.3">
      <c r="A2070" s="2" t="s">
        <v>15</v>
      </c>
      <c r="B2070">
        <v>560026</v>
      </c>
      <c r="C2070" s="4">
        <v>45627</v>
      </c>
      <c r="D2070">
        <v>17.600000000000001</v>
      </c>
      <c r="E2070">
        <v>44.12</v>
      </c>
      <c r="F2070">
        <v>12.19</v>
      </c>
      <c r="G2070">
        <v>5.28</v>
      </c>
      <c r="H2070">
        <v>4.75</v>
      </c>
      <c r="I2070">
        <v>0.94</v>
      </c>
      <c r="J2070">
        <v>29</v>
      </c>
      <c r="K2070">
        <f t="shared" si="340"/>
        <v>29.333333333333336</v>
      </c>
      <c r="L2070">
        <f t="shared" si="341"/>
        <v>44.12</v>
      </c>
      <c r="M2070">
        <f t="shared" si="342"/>
        <v>15.237500000000001</v>
      </c>
      <c r="N2070">
        <f t="shared" si="343"/>
        <v>1.32</v>
      </c>
      <c r="O2070">
        <f t="shared" si="344"/>
        <v>5.9375</v>
      </c>
      <c r="P2070">
        <f t="shared" si="345"/>
        <v>10.681818181818182</v>
      </c>
      <c r="Q2070">
        <f t="shared" si="346"/>
        <v>26.851851851851851</v>
      </c>
      <c r="R2070">
        <f t="shared" si="347"/>
        <v>44.12</v>
      </c>
      <c r="S2070" t="str">
        <f t="shared" si="348"/>
        <v>Good</v>
      </c>
      <c r="T2070" t="str">
        <f t="shared" si="349"/>
        <v>PM10</v>
      </c>
      <c r="U2070">
        <v>21.19</v>
      </c>
      <c r="V2070">
        <v>49.83</v>
      </c>
    </row>
    <row r="2071" spans="1:22" x14ac:dyDescent="0.3">
      <c r="A2071" s="2" t="s">
        <v>15</v>
      </c>
      <c r="B2071">
        <v>560026</v>
      </c>
      <c r="C2071" s="4">
        <v>45628</v>
      </c>
      <c r="D2071">
        <v>13.54</v>
      </c>
      <c r="E2071">
        <v>34.1</v>
      </c>
      <c r="F2071">
        <v>12.37</v>
      </c>
      <c r="G2071">
        <v>5.19</v>
      </c>
      <c r="H2071">
        <v>4.78</v>
      </c>
      <c r="I2071">
        <v>1.39</v>
      </c>
      <c r="J2071">
        <v>27.28</v>
      </c>
      <c r="K2071">
        <f t="shared" si="340"/>
        <v>22.566666666666666</v>
      </c>
      <c r="L2071">
        <f t="shared" si="341"/>
        <v>34.1</v>
      </c>
      <c r="M2071">
        <f t="shared" si="342"/>
        <v>15.4625</v>
      </c>
      <c r="N2071">
        <f t="shared" si="343"/>
        <v>1.2975000000000001</v>
      </c>
      <c r="O2071">
        <f t="shared" si="344"/>
        <v>5.9749999999999996</v>
      </c>
      <c r="P2071">
        <f t="shared" si="345"/>
        <v>15.795454545454543</v>
      </c>
      <c r="Q2071">
        <f t="shared" si="346"/>
        <v>25.25925925925926</v>
      </c>
      <c r="R2071">
        <f t="shared" si="347"/>
        <v>34.1</v>
      </c>
      <c r="S2071" t="str">
        <f t="shared" si="348"/>
        <v>Good</v>
      </c>
      <c r="T2071" t="str">
        <f t="shared" si="349"/>
        <v>PM10</v>
      </c>
      <c r="U2071">
        <v>21.63</v>
      </c>
      <c r="V2071">
        <v>53.34</v>
      </c>
    </row>
    <row r="2072" spans="1:22" x14ac:dyDescent="0.3">
      <c r="A2072" s="2" t="s">
        <v>15</v>
      </c>
      <c r="B2072">
        <v>560026</v>
      </c>
      <c r="C2072" s="4">
        <v>45629</v>
      </c>
      <c r="D2072">
        <v>15.03</v>
      </c>
      <c r="E2072">
        <v>37.700000000000003</v>
      </c>
      <c r="F2072">
        <v>12.23</v>
      </c>
      <c r="G2072">
        <v>5.3</v>
      </c>
      <c r="H2072">
        <v>4.09</v>
      </c>
      <c r="I2072">
        <v>1.33</v>
      </c>
      <c r="J2072">
        <v>35.17</v>
      </c>
      <c r="K2072">
        <f t="shared" si="340"/>
        <v>25.05</v>
      </c>
      <c r="L2072">
        <f t="shared" si="341"/>
        <v>37.700000000000003</v>
      </c>
      <c r="M2072">
        <f t="shared" si="342"/>
        <v>15.2875</v>
      </c>
      <c r="N2072">
        <f t="shared" si="343"/>
        <v>1.325</v>
      </c>
      <c r="O2072">
        <f t="shared" si="344"/>
        <v>5.1124999999999998</v>
      </c>
      <c r="P2072">
        <f t="shared" si="345"/>
        <v>15.113636363636363</v>
      </c>
      <c r="Q2072">
        <f t="shared" si="346"/>
        <v>32.564814814814817</v>
      </c>
      <c r="R2072">
        <f t="shared" si="347"/>
        <v>37.700000000000003</v>
      </c>
      <c r="S2072" t="str">
        <f t="shared" si="348"/>
        <v>Good</v>
      </c>
      <c r="T2072" t="str">
        <f t="shared" si="349"/>
        <v>PM10</v>
      </c>
      <c r="U2072">
        <v>22.6</v>
      </c>
      <c r="V2072">
        <v>52.45</v>
      </c>
    </row>
    <row r="2073" spans="1:22" x14ac:dyDescent="0.3">
      <c r="A2073" s="2" t="s">
        <v>15</v>
      </c>
      <c r="B2073">
        <v>560026</v>
      </c>
      <c r="C2073" s="4">
        <v>45630</v>
      </c>
      <c r="D2073">
        <v>37.450000000000003</v>
      </c>
      <c r="E2073">
        <v>93.7</v>
      </c>
      <c r="F2073">
        <v>12.05</v>
      </c>
      <c r="G2073">
        <v>5.27</v>
      </c>
      <c r="H2073">
        <v>4.62</v>
      </c>
      <c r="I2073">
        <v>0.94</v>
      </c>
      <c r="J2073">
        <v>30.7</v>
      </c>
      <c r="K2073">
        <f t="shared" si="340"/>
        <v>62.416666666666671</v>
      </c>
      <c r="L2073">
        <f t="shared" si="341"/>
        <v>93.7</v>
      </c>
      <c r="M2073">
        <f t="shared" si="342"/>
        <v>15.0625</v>
      </c>
      <c r="N2073">
        <f t="shared" si="343"/>
        <v>1.3174999999999999</v>
      </c>
      <c r="O2073">
        <f t="shared" si="344"/>
        <v>5.7750000000000004</v>
      </c>
      <c r="P2073">
        <f t="shared" si="345"/>
        <v>10.681818181818182</v>
      </c>
      <c r="Q2073">
        <f t="shared" si="346"/>
        <v>28.425925925925924</v>
      </c>
      <c r="R2073">
        <f t="shared" si="347"/>
        <v>93.7</v>
      </c>
      <c r="S2073" t="str">
        <f t="shared" si="348"/>
        <v>Satisfactory</v>
      </c>
      <c r="T2073" t="str">
        <f t="shared" si="349"/>
        <v>PM10</v>
      </c>
      <c r="U2073">
        <v>23.98</v>
      </c>
      <c r="V2073">
        <v>44.71</v>
      </c>
    </row>
    <row r="2074" spans="1:22" x14ac:dyDescent="0.3">
      <c r="A2074" s="2" t="s">
        <v>15</v>
      </c>
      <c r="B2074">
        <v>560026</v>
      </c>
      <c r="C2074" s="4">
        <v>45631</v>
      </c>
      <c r="D2074">
        <v>38.72</v>
      </c>
      <c r="E2074">
        <v>96.75</v>
      </c>
      <c r="F2074">
        <v>12.3</v>
      </c>
      <c r="G2074">
        <v>5.22</v>
      </c>
      <c r="H2074">
        <v>4.71</v>
      </c>
      <c r="I2074">
        <v>1.1499999999999999</v>
      </c>
      <c r="J2074">
        <v>26.34</v>
      </c>
      <c r="K2074">
        <f t="shared" si="340"/>
        <v>64.533333333333331</v>
      </c>
      <c r="L2074">
        <f t="shared" si="341"/>
        <v>96.75</v>
      </c>
      <c r="M2074">
        <f t="shared" si="342"/>
        <v>15.375</v>
      </c>
      <c r="N2074">
        <f t="shared" si="343"/>
        <v>1.3049999999999999</v>
      </c>
      <c r="O2074">
        <f t="shared" si="344"/>
        <v>5.8875000000000002</v>
      </c>
      <c r="P2074">
        <f t="shared" si="345"/>
        <v>13.068181818181817</v>
      </c>
      <c r="Q2074">
        <f t="shared" si="346"/>
        <v>24.388888888888889</v>
      </c>
      <c r="R2074">
        <f t="shared" si="347"/>
        <v>96.75</v>
      </c>
      <c r="S2074" t="str">
        <f t="shared" si="348"/>
        <v>Satisfactory</v>
      </c>
      <c r="T2074" t="str">
        <f t="shared" si="349"/>
        <v>PM10</v>
      </c>
      <c r="U2074">
        <v>24.19</v>
      </c>
      <c r="V2074">
        <v>46.12</v>
      </c>
    </row>
    <row r="2075" spans="1:22" x14ac:dyDescent="0.3">
      <c r="A2075" s="2" t="s">
        <v>15</v>
      </c>
      <c r="B2075">
        <v>560026</v>
      </c>
      <c r="C2075" s="4">
        <v>45632</v>
      </c>
      <c r="D2075">
        <v>31.08</v>
      </c>
      <c r="E2075">
        <v>77.69</v>
      </c>
      <c r="F2075">
        <v>12.35</v>
      </c>
      <c r="G2075">
        <v>5.18</v>
      </c>
      <c r="H2075">
        <v>4.8499999999999996</v>
      </c>
      <c r="I2075">
        <v>0.86</v>
      </c>
      <c r="J2075">
        <v>30.65</v>
      </c>
      <c r="K2075">
        <f t="shared" si="340"/>
        <v>51.8</v>
      </c>
      <c r="L2075">
        <f t="shared" si="341"/>
        <v>77.69</v>
      </c>
      <c r="M2075">
        <f t="shared" si="342"/>
        <v>15.4375</v>
      </c>
      <c r="N2075">
        <f t="shared" si="343"/>
        <v>1.2949999999999999</v>
      </c>
      <c r="O2075">
        <f t="shared" si="344"/>
        <v>6.0624999999999991</v>
      </c>
      <c r="P2075">
        <f t="shared" si="345"/>
        <v>9.7727272727272716</v>
      </c>
      <c r="Q2075">
        <f t="shared" si="346"/>
        <v>28.37962962962963</v>
      </c>
      <c r="R2075">
        <f t="shared" si="347"/>
        <v>77.69</v>
      </c>
      <c r="S2075" t="str">
        <f t="shared" si="348"/>
        <v>Satisfactory</v>
      </c>
      <c r="T2075" t="str">
        <f t="shared" si="349"/>
        <v>PM10</v>
      </c>
      <c r="U2075">
        <v>25.19</v>
      </c>
      <c r="V2075">
        <v>43.81</v>
      </c>
    </row>
    <row r="2076" spans="1:22" x14ac:dyDescent="0.3">
      <c r="A2076" s="2" t="s">
        <v>15</v>
      </c>
      <c r="B2076">
        <v>560026</v>
      </c>
      <c r="C2076" s="4">
        <v>45633</v>
      </c>
      <c r="D2076">
        <v>36.75</v>
      </c>
      <c r="E2076">
        <v>92.03</v>
      </c>
      <c r="F2076">
        <v>12.28</v>
      </c>
      <c r="G2076">
        <v>5.14</v>
      </c>
      <c r="H2076">
        <v>4.8499999999999996</v>
      </c>
      <c r="I2076">
        <v>1.01</v>
      </c>
      <c r="J2076">
        <v>28.87</v>
      </c>
      <c r="K2076">
        <f t="shared" si="340"/>
        <v>61.25</v>
      </c>
      <c r="L2076">
        <f t="shared" si="341"/>
        <v>92.03</v>
      </c>
      <c r="M2076">
        <f t="shared" si="342"/>
        <v>15.35</v>
      </c>
      <c r="N2076">
        <f t="shared" si="343"/>
        <v>1.2849999999999999</v>
      </c>
      <c r="O2076">
        <f t="shared" si="344"/>
        <v>6.0624999999999991</v>
      </c>
      <c r="P2076">
        <f t="shared" si="345"/>
        <v>11.477272727272727</v>
      </c>
      <c r="Q2076">
        <f t="shared" si="346"/>
        <v>26.731481481481481</v>
      </c>
      <c r="R2076">
        <f t="shared" si="347"/>
        <v>92.03</v>
      </c>
      <c r="S2076" t="str">
        <f t="shared" si="348"/>
        <v>Satisfactory</v>
      </c>
      <c r="T2076" t="str">
        <f t="shared" si="349"/>
        <v>PM10</v>
      </c>
      <c r="U2076">
        <v>24.82</v>
      </c>
      <c r="V2076">
        <v>44.81</v>
      </c>
    </row>
    <row r="2077" spans="1:22" x14ac:dyDescent="0.3">
      <c r="A2077" s="2" t="s">
        <v>15</v>
      </c>
      <c r="B2077">
        <v>560026</v>
      </c>
      <c r="C2077" s="4">
        <v>45634</v>
      </c>
      <c r="D2077">
        <v>18.850000000000001</v>
      </c>
      <c r="E2077">
        <v>47.35</v>
      </c>
      <c r="F2077">
        <v>12.31</v>
      </c>
      <c r="G2077">
        <v>5.24</v>
      </c>
      <c r="H2077">
        <v>4.13</v>
      </c>
      <c r="I2077">
        <v>0.65</v>
      </c>
      <c r="J2077">
        <v>40.19</v>
      </c>
      <c r="K2077">
        <f t="shared" si="340"/>
        <v>31.416666666666671</v>
      </c>
      <c r="L2077">
        <f t="shared" si="341"/>
        <v>47.35</v>
      </c>
      <c r="M2077">
        <f t="shared" si="342"/>
        <v>15.387499999999999</v>
      </c>
      <c r="N2077">
        <f t="shared" si="343"/>
        <v>1.31</v>
      </c>
      <c r="O2077">
        <f t="shared" si="344"/>
        <v>5.1624999999999996</v>
      </c>
      <c r="P2077">
        <f t="shared" si="345"/>
        <v>7.3863636363636367</v>
      </c>
      <c r="Q2077">
        <f t="shared" si="346"/>
        <v>37.212962962962962</v>
      </c>
      <c r="R2077">
        <f t="shared" si="347"/>
        <v>47.35</v>
      </c>
      <c r="S2077" t="str">
        <f t="shared" si="348"/>
        <v>Good</v>
      </c>
      <c r="T2077" t="str">
        <f t="shared" si="349"/>
        <v>PM10</v>
      </c>
      <c r="U2077">
        <v>25.02</v>
      </c>
      <c r="V2077">
        <v>40.090000000000003</v>
      </c>
    </row>
    <row r="2078" spans="1:22" x14ac:dyDescent="0.3">
      <c r="A2078" s="2" t="s">
        <v>15</v>
      </c>
      <c r="B2078">
        <v>560026</v>
      </c>
      <c r="C2078" s="4">
        <v>45635</v>
      </c>
      <c r="D2078">
        <v>32.799999999999997</v>
      </c>
      <c r="E2078">
        <v>82.27</v>
      </c>
      <c r="F2078">
        <v>12.19</v>
      </c>
      <c r="G2078">
        <v>5.21</v>
      </c>
      <c r="H2078">
        <v>4.5599999999999996</v>
      </c>
      <c r="I2078">
        <v>0.89</v>
      </c>
      <c r="J2078">
        <v>44.34</v>
      </c>
      <c r="K2078">
        <f t="shared" si="340"/>
        <v>54.666666666666664</v>
      </c>
      <c r="L2078">
        <f t="shared" si="341"/>
        <v>82.27</v>
      </c>
      <c r="M2078">
        <f t="shared" si="342"/>
        <v>15.237500000000001</v>
      </c>
      <c r="N2078">
        <f t="shared" si="343"/>
        <v>1.3025</v>
      </c>
      <c r="O2078">
        <f t="shared" si="344"/>
        <v>5.6999999999999993</v>
      </c>
      <c r="P2078">
        <f t="shared" si="345"/>
        <v>10.113636363636363</v>
      </c>
      <c r="Q2078">
        <f t="shared" si="346"/>
        <v>41.055555555555557</v>
      </c>
      <c r="R2078">
        <f t="shared" si="347"/>
        <v>82.27</v>
      </c>
      <c r="S2078" t="str">
        <f t="shared" si="348"/>
        <v>Satisfactory</v>
      </c>
      <c r="T2078" t="str">
        <f t="shared" si="349"/>
        <v>PM10</v>
      </c>
      <c r="U2078">
        <v>24.43</v>
      </c>
      <c r="V2078">
        <v>41.76</v>
      </c>
    </row>
    <row r="2079" spans="1:22" x14ac:dyDescent="0.3">
      <c r="A2079" s="2" t="s">
        <v>15</v>
      </c>
      <c r="B2079">
        <v>560026</v>
      </c>
      <c r="C2079" s="4">
        <v>45636</v>
      </c>
      <c r="D2079">
        <v>48.95</v>
      </c>
      <c r="E2079">
        <v>122.79</v>
      </c>
      <c r="F2079">
        <v>12.26</v>
      </c>
      <c r="G2079">
        <v>5.26</v>
      </c>
      <c r="H2079">
        <v>4.7699999999999996</v>
      </c>
      <c r="I2079">
        <v>1.1599999999999999</v>
      </c>
      <c r="J2079">
        <v>30.78</v>
      </c>
      <c r="K2079">
        <f t="shared" si="340"/>
        <v>81.583333333333343</v>
      </c>
      <c r="L2079">
        <f t="shared" si="341"/>
        <v>115.19333333333334</v>
      </c>
      <c r="M2079">
        <f t="shared" si="342"/>
        <v>15.324999999999999</v>
      </c>
      <c r="N2079">
        <f t="shared" si="343"/>
        <v>1.3149999999999999</v>
      </c>
      <c r="O2079">
        <f t="shared" si="344"/>
        <v>5.9624999999999995</v>
      </c>
      <c r="P2079">
        <f t="shared" si="345"/>
        <v>13.18181818181818</v>
      </c>
      <c r="Q2079">
        <f t="shared" si="346"/>
        <v>28.5</v>
      </c>
      <c r="R2079">
        <f t="shared" si="347"/>
        <v>115.19333333333334</v>
      </c>
      <c r="S2079" t="str">
        <f t="shared" si="348"/>
        <v>Moderate</v>
      </c>
      <c r="T2079" t="str">
        <f t="shared" si="349"/>
        <v>PM10</v>
      </c>
      <c r="U2079">
        <v>24.39</v>
      </c>
      <c r="V2079">
        <v>41.64</v>
      </c>
    </row>
    <row r="2080" spans="1:22" x14ac:dyDescent="0.3">
      <c r="A2080" s="2" t="s">
        <v>15</v>
      </c>
      <c r="B2080">
        <v>560026</v>
      </c>
      <c r="C2080" s="4">
        <v>45637</v>
      </c>
      <c r="D2080">
        <v>45.16</v>
      </c>
      <c r="E2080">
        <v>113.05</v>
      </c>
      <c r="F2080">
        <v>12.2</v>
      </c>
      <c r="G2080">
        <v>5.26</v>
      </c>
      <c r="H2080">
        <v>4.79</v>
      </c>
      <c r="I2080">
        <v>1.06</v>
      </c>
      <c r="J2080">
        <v>30.07</v>
      </c>
      <c r="K2080">
        <f t="shared" si="340"/>
        <v>75.266666666666652</v>
      </c>
      <c r="L2080">
        <f t="shared" si="341"/>
        <v>108.7</v>
      </c>
      <c r="M2080">
        <f t="shared" si="342"/>
        <v>15.25</v>
      </c>
      <c r="N2080">
        <f t="shared" si="343"/>
        <v>1.3149999999999999</v>
      </c>
      <c r="O2080">
        <f t="shared" si="344"/>
        <v>5.9874999999999998</v>
      </c>
      <c r="P2080">
        <f t="shared" si="345"/>
        <v>12.045454545454545</v>
      </c>
      <c r="Q2080">
        <f t="shared" si="346"/>
        <v>27.842592592592592</v>
      </c>
      <c r="R2080">
        <f t="shared" si="347"/>
        <v>108.7</v>
      </c>
      <c r="S2080" t="str">
        <f t="shared" si="348"/>
        <v>Moderate</v>
      </c>
      <c r="T2080" t="str">
        <f t="shared" si="349"/>
        <v>PM10</v>
      </c>
      <c r="U2080">
        <v>23.38</v>
      </c>
      <c r="V2080">
        <v>41.68</v>
      </c>
    </row>
    <row r="2081" spans="1:22" x14ac:dyDescent="0.3">
      <c r="A2081" s="2" t="s">
        <v>15</v>
      </c>
      <c r="B2081">
        <v>560026</v>
      </c>
      <c r="C2081" s="4">
        <v>45638</v>
      </c>
      <c r="D2081">
        <v>30.66</v>
      </c>
      <c r="E2081">
        <v>76.510000000000005</v>
      </c>
      <c r="F2081">
        <v>12.3</v>
      </c>
      <c r="G2081">
        <v>5.21</v>
      </c>
      <c r="H2081">
        <v>4.6500000000000004</v>
      </c>
      <c r="I2081">
        <v>1.47</v>
      </c>
      <c r="J2081">
        <v>29.55</v>
      </c>
      <c r="K2081">
        <f t="shared" si="340"/>
        <v>51.1</v>
      </c>
      <c r="L2081">
        <f t="shared" si="341"/>
        <v>76.510000000000005</v>
      </c>
      <c r="M2081">
        <f t="shared" si="342"/>
        <v>15.375</v>
      </c>
      <c r="N2081">
        <f t="shared" si="343"/>
        <v>1.3025</v>
      </c>
      <c r="O2081">
        <f t="shared" si="344"/>
        <v>5.8125000000000009</v>
      </c>
      <c r="P2081">
        <f t="shared" si="345"/>
        <v>16.704545454545453</v>
      </c>
      <c r="Q2081">
        <f t="shared" si="346"/>
        <v>27.361111111111111</v>
      </c>
      <c r="R2081">
        <f t="shared" si="347"/>
        <v>76.510000000000005</v>
      </c>
      <c r="S2081" t="str">
        <f t="shared" si="348"/>
        <v>Satisfactory</v>
      </c>
      <c r="T2081" t="str">
        <f t="shared" si="349"/>
        <v>PM10</v>
      </c>
      <c r="U2081">
        <v>21.65</v>
      </c>
      <c r="V2081">
        <v>45.59</v>
      </c>
    </row>
    <row r="2082" spans="1:22" x14ac:dyDescent="0.3">
      <c r="A2082" s="2" t="s">
        <v>15</v>
      </c>
      <c r="B2082">
        <v>560026</v>
      </c>
      <c r="C2082" s="4">
        <v>45639</v>
      </c>
      <c r="D2082">
        <v>47.19</v>
      </c>
      <c r="E2082">
        <v>117.88</v>
      </c>
      <c r="F2082">
        <v>12.27</v>
      </c>
      <c r="G2082">
        <v>5.25</v>
      </c>
      <c r="H2082">
        <v>4.76</v>
      </c>
      <c r="I2082">
        <v>1.42</v>
      </c>
      <c r="J2082">
        <v>28.42</v>
      </c>
      <c r="K2082">
        <f t="shared" si="340"/>
        <v>78.649999999999991</v>
      </c>
      <c r="L2082">
        <f t="shared" si="341"/>
        <v>111.92</v>
      </c>
      <c r="M2082">
        <f t="shared" si="342"/>
        <v>15.3375</v>
      </c>
      <c r="N2082">
        <f t="shared" si="343"/>
        <v>1.3125</v>
      </c>
      <c r="O2082">
        <f t="shared" si="344"/>
        <v>5.95</v>
      </c>
      <c r="P2082">
        <f t="shared" si="345"/>
        <v>16.136363636363637</v>
      </c>
      <c r="Q2082">
        <f t="shared" si="346"/>
        <v>26.314814814814817</v>
      </c>
      <c r="R2082">
        <f t="shared" si="347"/>
        <v>111.92</v>
      </c>
      <c r="S2082" t="str">
        <f t="shared" si="348"/>
        <v>Moderate</v>
      </c>
      <c r="T2082" t="str">
        <f t="shared" si="349"/>
        <v>PM10</v>
      </c>
      <c r="U2082">
        <v>22.22</v>
      </c>
      <c r="V2082">
        <v>45.56</v>
      </c>
    </row>
    <row r="2083" spans="1:22" x14ac:dyDescent="0.3">
      <c r="A2083" s="2" t="s">
        <v>15</v>
      </c>
      <c r="B2083">
        <v>560026</v>
      </c>
      <c r="C2083" s="4">
        <v>45640</v>
      </c>
      <c r="D2083">
        <v>56.8</v>
      </c>
      <c r="E2083">
        <v>141.97999999999999</v>
      </c>
      <c r="F2083">
        <v>12.2</v>
      </c>
      <c r="G2083">
        <v>5.32</v>
      </c>
      <c r="H2083">
        <v>5.48</v>
      </c>
      <c r="I2083">
        <v>1.1499999999999999</v>
      </c>
      <c r="J2083">
        <v>30.32</v>
      </c>
      <c r="K2083">
        <f t="shared" si="340"/>
        <v>94.666666666666657</v>
      </c>
      <c r="L2083">
        <f t="shared" si="341"/>
        <v>127.98666666666666</v>
      </c>
      <c r="M2083">
        <f t="shared" si="342"/>
        <v>15.25</v>
      </c>
      <c r="N2083">
        <f t="shared" si="343"/>
        <v>1.33</v>
      </c>
      <c r="O2083">
        <f t="shared" si="344"/>
        <v>6.85</v>
      </c>
      <c r="P2083">
        <f t="shared" si="345"/>
        <v>13.068181818181817</v>
      </c>
      <c r="Q2083">
        <f t="shared" si="346"/>
        <v>28.074074074074076</v>
      </c>
      <c r="R2083">
        <f t="shared" si="347"/>
        <v>127.98666666666666</v>
      </c>
      <c r="S2083" t="str">
        <f t="shared" si="348"/>
        <v>Moderate</v>
      </c>
      <c r="T2083" t="str">
        <f t="shared" si="349"/>
        <v>PM10</v>
      </c>
      <c r="U2083">
        <v>22.84</v>
      </c>
      <c r="V2083">
        <v>41.59</v>
      </c>
    </row>
    <row r="2084" spans="1:22" x14ac:dyDescent="0.3">
      <c r="A2084" s="2" t="s">
        <v>15</v>
      </c>
      <c r="B2084">
        <v>560026</v>
      </c>
      <c r="C2084" s="4">
        <v>45641</v>
      </c>
      <c r="D2084">
        <v>53.02</v>
      </c>
      <c r="E2084">
        <v>132.59</v>
      </c>
      <c r="F2084">
        <v>12.26</v>
      </c>
      <c r="G2084">
        <v>5.18</v>
      </c>
      <c r="H2084">
        <v>5.19</v>
      </c>
      <c r="I2084">
        <v>0.83</v>
      </c>
      <c r="J2084">
        <v>33.369999999999997</v>
      </c>
      <c r="K2084">
        <f t="shared" si="340"/>
        <v>88.366666666666674</v>
      </c>
      <c r="L2084">
        <f t="shared" si="341"/>
        <v>121.72666666666667</v>
      </c>
      <c r="M2084">
        <f t="shared" si="342"/>
        <v>15.324999999999999</v>
      </c>
      <c r="N2084">
        <f t="shared" si="343"/>
        <v>1.2949999999999999</v>
      </c>
      <c r="O2084">
        <f t="shared" si="344"/>
        <v>6.4874999999999998</v>
      </c>
      <c r="P2084">
        <f t="shared" si="345"/>
        <v>9.4318181818181817</v>
      </c>
      <c r="Q2084">
        <f t="shared" si="346"/>
        <v>30.898148148148145</v>
      </c>
      <c r="R2084">
        <f t="shared" si="347"/>
        <v>121.72666666666667</v>
      </c>
      <c r="S2084" t="str">
        <f t="shared" si="348"/>
        <v>Moderate</v>
      </c>
      <c r="T2084" t="str">
        <f t="shared" si="349"/>
        <v>PM10</v>
      </c>
      <c r="U2084">
        <v>21.79</v>
      </c>
      <c r="V2084">
        <v>37.85</v>
      </c>
    </row>
    <row r="2085" spans="1:22" x14ac:dyDescent="0.3">
      <c r="A2085" s="2" t="s">
        <v>15</v>
      </c>
      <c r="B2085">
        <v>560026</v>
      </c>
      <c r="C2085" s="4">
        <v>45642</v>
      </c>
      <c r="D2085">
        <v>62.56</v>
      </c>
      <c r="E2085">
        <v>156.41999999999999</v>
      </c>
      <c r="F2085">
        <v>12.1</v>
      </c>
      <c r="G2085">
        <v>5.31</v>
      </c>
      <c r="H2085">
        <v>5.12</v>
      </c>
      <c r="I2085">
        <v>1.28</v>
      </c>
      <c r="J2085">
        <v>34.04</v>
      </c>
      <c r="K2085">
        <f t="shared" si="340"/>
        <v>108.53333333333335</v>
      </c>
      <c r="L2085">
        <f t="shared" si="341"/>
        <v>137.61333333333334</v>
      </c>
      <c r="M2085">
        <f t="shared" si="342"/>
        <v>15.125</v>
      </c>
      <c r="N2085">
        <f t="shared" si="343"/>
        <v>1.3274999999999999</v>
      </c>
      <c r="O2085">
        <f t="shared" si="344"/>
        <v>6.4</v>
      </c>
      <c r="P2085">
        <f t="shared" si="345"/>
        <v>14.545454545454545</v>
      </c>
      <c r="Q2085">
        <f t="shared" si="346"/>
        <v>31.518518518518519</v>
      </c>
      <c r="R2085">
        <f t="shared" si="347"/>
        <v>137.61333333333334</v>
      </c>
      <c r="S2085" t="str">
        <f t="shared" si="348"/>
        <v>Moderate</v>
      </c>
      <c r="T2085" t="str">
        <f t="shared" si="349"/>
        <v>PM10</v>
      </c>
      <c r="U2085">
        <v>22.1</v>
      </c>
      <c r="V2085">
        <v>33.78</v>
      </c>
    </row>
    <row r="2086" spans="1:22" x14ac:dyDescent="0.3">
      <c r="A2086" s="2" t="s">
        <v>15</v>
      </c>
      <c r="B2086">
        <v>560026</v>
      </c>
      <c r="C2086" s="4">
        <v>45643</v>
      </c>
      <c r="D2086">
        <v>61.83</v>
      </c>
      <c r="E2086">
        <v>154.38999999999999</v>
      </c>
      <c r="F2086">
        <v>12.25</v>
      </c>
      <c r="G2086">
        <v>5.23</v>
      </c>
      <c r="H2086">
        <v>5.55</v>
      </c>
      <c r="I2086">
        <v>1.25</v>
      </c>
      <c r="J2086">
        <v>30.26</v>
      </c>
      <c r="K2086">
        <f t="shared" si="340"/>
        <v>106.1</v>
      </c>
      <c r="L2086">
        <f t="shared" si="341"/>
        <v>136.26</v>
      </c>
      <c r="M2086">
        <f t="shared" si="342"/>
        <v>15.3125</v>
      </c>
      <c r="N2086">
        <f t="shared" si="343"/>
        <v>1.3075000000000001</v>
      </c>
      <c r="O2086">
        <f t="shared" si="344"/>
        <v>6.9375</v>
      </c>
      <c r="P2086">
        <f t="shared" si="345"/>
        <v>14.204545454545453</v>
      </c>
      <c r="Q2086">
        <f t="shared" si="346"/>
        <v>28.018518518518519</v>
      </c>
      <c r="R2086">
        <f t="shared" si="347"/>
        <v>136.26</v>
      </c>
      <c r="S2086" t="str">
        <f t="shared" si="348"/>
        <v>Moderate</v>
      </c>
      <c r="T2086" t="str">
        <f t="shared" si="349"/>
        <v>PM10</v>
      </c>
      <c r="U2086">
        <v>22.76</v>
      </c>
      <c r="V2086">
        <v>39.28</v>
      </c>
    </row>
    <row r="2087" spans="1:22" x14ac:dyDescent="0.3">
      <c r="A2087" s="2" t="s">
        <v>15</v>
      </c>
      <c r="B2087">
        <v>560026</v>
      </c>
      <c r="C2087" s="4">
        <v>45644</v>
      </c>
      <c r="D2087">
        <v>47.18</v>
      </c>
      <c r="E2087">
        <v>118.19</v>
      </c>
      <c r="F2087">
        <v>12.32</v>
      </c>
      <c r="G2087">
        <v>5.23</v>
      </c>
      <c r="H2087">
        <v>5.36</v>
      </c>
      <c r="I2087">
        <v>1.34</v>
      </c>
      <c r="J2087">
        <v>27.14</v>
      </c>
      <c r="K2087">
        <f t="shared" si="340"/>
        <v>78.633333333333326</v>
      </c>
      <c r="L2087">
        <f t="shared" si="341"/>
        <v>112.12666666666667</v>
      </c>
      <c r="M2087">
        <f t="shared" si="342"/>
        <v>15.4</v>
      </c>
      <c r="N2087">
        <f t="shared" si="343"/>
        <v>1.3075000000000001</v>
      </c>
      <c r="O2087">
        <f t="shared" si="344"/>
        <v>6.7</v>
      </c>
      <c r="P2087">
        <f t="shared" si="345"/>
        <v>15.227272727272728</v>
      </c>
      <c r="Q2087">
        <f t="shared" si="346"/>
        <v>25.12962962962963</v>
      </c>
      <c r="R2087">
        <f t="shared" si="347"/>
        <v>112.12666666666667</v>
      </c>
      <c r="S2087" t="str">
        <f t="shared" si="348"/>
        <v>Moderate</v>
      </c>
      <c r="T2087" t="str">
        <f t="shared" si="349"/>
        <v>PM10</v>
      </c>
      <c r="U2087">
        <v>23.49</v>
      </c>
      <c r="V2087">
        <v>41.51</v>
      </c>
    </row>
    <row r="2088" spans="1:22" x14ac:dyDescent="0.3">
      <c r="A2088" s="2" t="s">
        <v>15</v>
      </c>
      <c r="B2088">
        <v>560026</v>
      </c>
      <c r="C2088" s="4">
        <v>45645</v>
      </c>
      <c r="D2088">
        <v>43.16</v>
      </c>
      <c r="E2088">
        <v>108.01</v>
      </c>
      <c r="F2088">
        <v>12.27</v>
      </c>
      <c r="G2088">
        <v>5.15</v>
      </c>
      <c r="H2088">
        <v>5.25</v>
      </c>
      <c r="I2088">
        <v>1.27</v>
      </c>
      <c r="J2088">
        <v>28.45</v>
      </c>
      <c r="K2088">
        <f t="shared" si="340"/>
        <v>71.933333333333323</v>
      </c>
      <c r="L2088">
        <f t="shared" si="341"/>
        <v>105.34</v>
      </c>
      <c r="M2088">
        <f t="shared" si="342"/>
        <v>15.3375</v>
      </c>
      <c r="N2088">
        <f t="shared" si="343"/>
        <v>1.2875000000000001</v>
      </c>
      <c r="O2088">
        <f t="shared" si="344"/>
        <v>6.5625</v>
      </c>
      <c r="P2088">
        <f t="shared" si="345"/>
        <v>14.431818181818182</v>
      </c>
      <c r="Q2088">
        <f t="shared" si="346"/>
        <v>26.342592592592592</v>
      </c>
      <c r="R2088">
        <f t="shared" si="347"/>
        <v>105.34</v>
      </c>
      <c r="S2088" t="str">
        <f t="shared" si="348"/>
        <v>Moderate</v>
      </c>
      <c r="T2088" t="str">
        <f t="shared" si="349"/>
        <v>PM10</v>
      </c>
      <c r="U2088">
        <v>24.37</v>
      </c>
      <c r="V2088">
        <v>43.09</v>
      </c>
    </row>
    <row r="2089" spans="1:22" x14ac:dyDescent="0.3">
      <c r="A2089" s="2" t="s">
        <v>15</v>
      </c>
      <c r="B2089">
        <v>560026</v>
      </c>
      <c r="C2089" s="4">
        <v>45646</v>
      </c>
      <c r="D2089">
        <v>44.66</v>
      </c>
      <c r="E2089">
        <v>111.65</v>
      </c>
      <c r="F2089">
        <v>12.16</v>
      </c>
      <c r="G2089">
        <v>5.26</v>
      </c>
      <c r="H2089">
        <v>5.65</v>
      </c>
      <c r="I2089">
        <v>1.25</v>
      </c>
      <c r="J2089">
        <v>27.23</v>
      </c>
      <c r="K2089">
        <f t="shared" si="340"/>
        <v>74.433333333333323</v>
      </c>
      <c r="L2089">
        <f t="shared" si="341"/>
        <v>107.76666666666667</v>
      </c>
      <c r="M2089">
        <f t="shared" si="342"/>
        <v>15.2</v>
      </c>
      <c r="N2089">
        <f t="shared" si="343"/>
        <v>1.3149999999999999</v>
      </c>
      <c r="O2089">
        <f t="shared" si="344"/>
        <v>7.0625</v>
      </c>
      <c r="P2089">
        <f t="shared" si="345"/>
        <v>14.204545454545453</v>
      </c>
      <c r="Q2089">
        <f t="shared" si="346"/>
        <v>25.212962962962962</v>
      </c>
      <c r="R2089">
        <f t="shared" si="347"/>
        <v>107.76666666666667</v>
      </c>
      <c r="S2089" t="str">
        <f t="shared" si="348"/>
        <v>Moderate</v>
      </c>
      <c r="T2089" t="str">
        <f t="shared" si="349"/>
        <v>PM10</v>
      </c>
      <c r="U2089">
        <v>24.48</v>
      </c>
      <c r="V2089">
        <v>43.55</v>
      </c>
    </row>
    <row r="2090" spans="1:22" x14ac:dyDescent="0.3">
      <c r="A2090" s="2" t="s">
        <v>15</v>
      </c>
      <c r="B2090">
        <v>560026</v>
      </c>
      <c r="C2090" s="4">
        <v>45647</v>
      </c>
      <c r="D2090">
        <v>46.99</v>
      </c>
      <c r="E2090">
        <v>117.59</v>
      </c>
      <c r="F2090">
        <v>12.28</v>
      </c>
      <c r="G2090">
        <v>5.2</v>
      </c>
      <c r="H2090">
        <v>5.2</v>
      </c>
      <c r="I2090">
        <v>1.47</v>
      </c>
      <c r="J2090">
        <v>28.31</v>
      </c>
      <c r="K2090">
        <f t="shared" si="340"/>
        <v>78.316666666666663</v>
      </c>
      <c r="L2090">
        <f t="shared" si="341"/>
        <v>111.72666666666667</v>
      </c>
      <c r="M2090">
        <f t="shared" si="342"/>
        <v>15.35</v>
      </c>
      <c r="N2090">
        <f t="shared" si="343"/>
        <v>1.3</v>
      </c>
      <c r="O2090">
        <f t="shared" si="344"/>
        <v>6.5</v>
      </c>
      <c r="P2090">
        <f t="shared" si="345"/>
        <v>16.704545454545453</v>
      </c>
      <c r="Q2090">
        <f t="shared" si="346"/>
        <v>26.212962962962962</v>
      </c>
      <c r="R2090">
        <f t="shared" si="347"/>
        <v>111.72666666666667</v>
      </c>
      <c r="S2090" t="str">
        <f t="shared" si="348"/>
        <v>Moderate</v>
      </c>
      <c r="T2090" t="str">
        <f t="shared" si="349"/>
        <v>PM10</v>
      </c>
      <c r="U2090">
        <v>25.04</v>
      </c>
      <c r="V2090">
        <v>40.659999999999997</v>
      </c>
    </row>
    <row r="2091" spans="1:22" x14ac:dyDescent="0.3">
      <c r="A2091" s="2" t="s">
        <v>15</v>
      </c>
      <c r="B2091">
        <v>560026</v>
      </c>
      <c r="C2091" s="4">
        <v>45648</v>
      </c>
      <c r="D2091">
        <v>33.14</v>
      </c>
      <c r="E2091">
        <v>82.83</v>
      </c>
      <c r="F2091">
        <v>12.32</v>
      </c>
      <c r="G2091">
        <v>5.17</v>
      </c>
      <c r="H2091">
        <v>4.84</v>
      </c>
      <c r="I2091">
        <v>0.84</v>
      </c>
      <c r="J2091">
        <v>39.33</v>
      </c>
      <c r="K2091">
        <f t="shared" si="340"/>
        <v>55.233333333333334</v>
      </c>
      <c r="L2091">
        <f t="shared" si="341"/>
        <v>82.83</v>
      </c>
      <c r="M2091">
        <f t="shared" si="342"/>
        <v>15.4</v>
      </c>
      <c r="N2091">
        <f t="shared" si="343"/>
        <v>1.2925</v>
      </c>
      <c r="O2091">
        <f t="shared" si="344"/>
        <v>6.05</v>
      </c>
      <c r="P2091">
        <f t="shared" si="345"/>
        <v>9.545454545454545</v>
      </c>
      <c r="Q2091">
        <f t="shared" si="346"/>
        <v>36.416666666666664</v>
      </c>
      <c r="R2091">
        <f t="shared" si="347"/>
        <v>82.83</v>
      </c>
      <c r="S2091" t="str">
        <f t="shared" si="348"/>
        <v>Satisfactory</v>
      </c>
      <c r="T2091" t="str">
        <f t="shared" si="349"/>
        <v>PM10</v>
      </c>
      <c r="U2091">
        <v>24.42</v>
      </c>
      <c r="V2091">
        <v>43.29</v>
      </c>
    </row>
    <row r="2092" spans="1:22" x14ac:dyDescent="0.3">
      <c r="A2092" s="2" t="s">
        <v>15</v>
      </c>
      <c r="B2092">
        <v>560026</v>
      </c>
      <c r="C2092" s="4">
        <v>45649</v>
      </c>
      <c r="D2092">
        <v>33.79</v>
      </c>
      <c r="E2092">
        <v>84.55</v>
      </c>
      <c r="F2092">
        <v>12.22</v>
      </c>
      <c r="G2092">
        <v>5.27</v>
      </c>
      <c r="H2092">
        <v>5.09</v>
      </c>
      <c r="I2092">
        <v>0.78</v>
      </c>
      <c r="J2092">
        <v>42.53</v>
      </c>
      <c r="K2092">
        <f t="shared" si="340"/>
        <v>56.316666666666663</v>
      </c>
      <c r="L2092">
        <f t="shared" si="341"/>
        <v>84.55</v>
      </c>
      <c r="M2092">
        <f t="shared" si="342"/>
        <v>15.275</v>
      </c>
      <c r="N2092">
        <f t="shared" si="343"/>
        <v>1.3174999999999999</v>
      </c>
      <c r="O2092">
        <f t="shared" si="344"/>
        <v>6.3624999999999998</v>
      </c>
      <c r="P2092">
        <f t="shared" si="345"/>
        <v>8.8636363636363633</v>
      </c>
      <c r="Q2092">
        <f t="shared" si="346"/>
        <v>39.379629629629633</v>
      </c>
      <c r="R2092">
        <f t="shared" si="347"/>
        <v>84.55</v>
      </c>
      <c r="S2092" t="str">
        <f t="shared" si="348"/>
        <v>Satisfactory</v>
      </c>
      <c r="T2092" t="str">
        <f t="shared" si="349"/>
        <v>PM10</v>
      </c>
      <c r="U2092">
        <v>23.75</v>
      </c>
      <c r="V2092">
        <v>41.91</v>
      </c>
    </row>
    <row r="2093" spans="1:22" x14ac:dyDescent="0.3">
      <c r="A2093" s="2" t="s">
        <v>15</v>
      </c>
      <c r="B2093">
        <v>560026</v>
      </c>
      <c r="C2093" s="4">
        <v>45650</v>
      </c>
      <c r="D2093">
        <v>44.8</v>
      </c>
      <c r="E2093">
        <v>112.03</v>
      </c>
      <c r="F2093">
        <v>12.35</v>
      </c>
      <c r="G2093">
        <v>5.2</v>
      </c>
      <c r="H2093">
        <v>5.58</v>
      </c>
      <c r="I2093">
        <v>1.1599999999999999</v>
      </c>
      <c r="J2093">
        <v>35.369999999999997</v>
      </c>
      <c r="K2093">
        <f t="shared" si="340"/>
        <v>74.666666666666657</v>
      </c>
      <c r="L2093">
        <f t="shared" si="341"/>
        <v>108.02</v>
      </c>
      <c r="M2093">
        <f t="shared" si="342"/>
        <v>15.4375</v>
      </c>
      <c r="N2093">
        <f t="shared" si="343"/>
        <v>1.3</v>
      </c>
      <c r="O2093">
        <f t="shared" si="344"/>
        <v>6.9749999999999996</v>
      </c>
      <c r="P2093">
        <f t="shared" si="345"/>
        <v>13.18181818181818</v>
      </c>
      <c r="Q2093">
        <f t="shared" si="346"/>
        <v>32.75</v>
      </c>
      <c r="R2093">
        <f t="shared" si="347"/>
        <v>108.02</v>
      </c>
      <c r="S2093" t="str">
        <f t="shared" si="348"/>
        <v>Moderate</v>
      </c>
      <c r="T2093" t="str">
        <f t="shared" si="349"/>
        <v>PM10</v>
      </c>
      <c r="U2093">
        <v>23.92</v>
      </c>
      <c r="V2093">
        <v>38.340000000000003</v>
      </c>
    </row>
    <row r="2094" spans="1:22" x14ac:dyDescent="0.3">
      <c r="A2094" s="2" t="s">
        <v>15</v>
      </c>
      <c r="B2094">
        <v>560026</v>
      </c>
      <c r="C2094" s="4">
        <v>45651</v>
      </c>
      <c r="D2094">
        <v>34.44</v>
      </c>
      <c r="E2094">
        <v>86.21</v>
      </c>
      <c r="F2094">
        <v>12.21</v>
      </c>
      <c r="G2094">
        <v>5.26</v>
      </c>
      <c r="H2094">
        <v>5.63</v>
      </c>
      <c r="I2094">
        <v>1.0900000000000001</v>
      </c>
      <c r="J2094">
        <v>28.89</v>
      </c>
      <c r="K2094">
        <f t="shared" si="340"/>
        <v>57.4</v>
      </c>
      <c r="L2094">
        <f t="shared" si="341"/>
        <v>86.21</v>
      </c>
      <c r="M2094">
        <f t="shared" si="342"/>
        <v>15.262499999999999</v>
      </c>
      <c r="N2094">
        <f t="shared" si="343"/>
        <v>1.3149999999999999</v>
      </c>
      <c r="O2094">
        <f t="shared" si="344"/>
        <v>7.0374999999999996</v>
      </c>
      <c r="P2094">
        <f t="shared" si="345"/>
        <v>12.386363636363637</v>
      </c>
      <c r="Q2094">
        <f t="shared" si="346"/>
        <v>26.75</v>
      </c>
      <c r="R2094">
        <f t="shared" si="347"/>
        <v>86.21</v>
      </c>
      <c r="S2094" t="str">
        <f t="shared" si="348"/>
        <v>Satisfactory</v>
      </c>
      <c r="T2094" t="str">
        <f t="shared" si="349"/>
        <v>PM10</v>
      </c>
      <c r="U2094">
        <v>22.73</v>
      </c>
      <c r="V2094">
        <v>42.25</v>
      </c>
    </row>
    <row r="2095" spans="1:22" x14ac:dyDescent="0.3">
      <c r="A2095" s="2" t="s">
        <v>15</v>
      </c>
      <c r="B2095">
        <v>560026</v>
      </c>
      <c r="C2095" s="4">
        <v>45652</v>
      </c>
      <c r="D2095">
        <v>28.36</v>
      </c>
      <c r="E2095">
        <v>70.959999999999994</v>
      </c>
      <c r="F2095">
        <v>12.33</v>
      </c>
      <c r="G2095">
        <v>5.19</v>
      </c>
      <c r="H2095">
        <v>5.61</v>
      </c>
      <c r="I2095">
        <v>1.1299999999999999</v>
      </c>
      <c r="J2095">
        <v>27.16</v>
      </c>
      <c r="K2095">
        <f t="shared" si="340"/>
        <v>47.266666666666666</v>
      </c>
      <c r="L2095">
        <f t="shared" si="341"/>
        <v>70.959999999999994</v>
      </c>
      <c r="M2095">
        <f t="shared" si="342"/>
        <v>15.4125</v>
      </c>
      <c r="N2095">
        <f t="shared" si="343"/>
        <v>1.2975000000000001</v>
      </c>
      <c r="O2095">
        <f t="shared" si="344"/>
        <v>7.0125000000000002</v>
      </c>
      <c r="P2095">
        <f t="shared" si="345"/>
        <v>12.84090909090909</v>
      </c>
      <c r="Q2095">
        <f t="shared" si="346"/>
        <v>25.148148148148149</v>
      </c>
      <c r="R2095">
        <f t="shared" si="347"/>
        <v>70.959999999999994</v>
      </c>
      <c r="S2095" t="str">
        <f t="shared" si="348"/>
        <v>Satisfactory</v>
      </c>
      <c r="T2095" t="str">
        <f t="shared" si="349"/>
        <v>PM10</v>
      </c>
      <c r="U2095">
        <v>22.61</v>
      </c>
      <c r="V2095">
        <v>46.83</v>
      </c>
    </row>
    <row r="2096" spans="1:22" x14ac:dyDescent="0.3">
      <c r="A2096" s="2" t="s">
        <v>15</v>
      </c>
      <c r="B2096">
        <v>560026</v>
      </c>
      <c r="C2096" s="4">
        <v>45653</v>
      </c>
      <c r="D2096">
        <v>26.07</v>
      </c>
      <c r="E2096">
        <v>65.28</v>
      </c>
      <c r="F2096">
        <v>12.27</v>
      </c>
      <c r="G2096">
        <v>5.18</v>
      </c>
      <c r="H2096">
        <v>5.1100000000000003</v>
      </c>
      <c r="I2096">
        <v>0.95</v>
      </c>
      <c r="J2096">
        <v>27.71</v>
      </c>
      <c r="K2096">
        <f t="shared" si="340"/>
        <v>43.45</v>
      </c>
      <c r="L2096">
        <f t="shared" si="341"/>
        <v>65.28</v>
      </c>
      <c r="M2096">
        <f t="shared" si="342"/>
        <v>15.3375</v>
      </c>
      <c r="N2096">
        <f t="shared" si="343"/>
        <v>1.2949999999999999</v>
      </c>
      <c r="O2096">
        <f t="shared" si="344"/>
        <v>6.3875000000000011</v>
      </c>
      <c r="P2096">
        <f t="shared" si="345"/>
        <v>10.795454545454545</v>
      </c>
      <c r="Q2096">
        <f t="shared" si="346"/>
        <v>25.657407407407408</v>
      </c>
      <c r="R2096">
        <f t="shared" si="347"/>
        <v>65.28</v>
      </c>
      <c r="S2096" t="str">
        <f t="shared" si="348"/>
        <v>Satisfactory</v>
      </c>
      <c r="T2096" t="str">
        <f t="shared" si="349"/>
        <v>PM10</v>
      </c>
      <c r="U2096">
        <v>21.85</v>
      </c>
      <c r="V2096">
        <v>45.2</v>
      </c>
    </row>
    <row r="2097" spans="1:22" x14ac:dyDescent="0.3">
      <c r="A2097" s="2" t="s">
        <v>15</v>
      </c>
      <c r="B2097">
        <v>560026</v>
      </c>
      <c r="C2097" s="4">
        <v>45654</v>
      </c>
      <c r="D2097">
        <v>32.69</v>
      </c>
      <c r="E2097">
        <v>82.02</v>
      </c>
      <c r="F2097">
        <v>12.26</v>
      </c>
      <c r="G2097">
        <v>5.21</v>
      </c>
      <c r="H2097">
        <v>5.17</v>
      </c>
      <c r="I2097">
        <v>0.84</v>
      </c>
      <c r="J2097">
        <v>28.66</v>
      </c>
      <c r="K2097">
        <f t="shared" si="340"/>
        <v>54.483333333333327</v>
      </c>
      <c r="L2097">
        <f t="shared" si="341"/>
        <v>82.02</v>
      </c>
      <c r="M2097">
        <f t="shared" si="342"/>
        <v>15.324999999999999</v>
      </c>
      <c r="N2097">
        <f t="shared" si="343"/>
        <v>1.3025</v>
      </c>
      <c r="O2097">
        <f t="shared" si="344"/>
        <v>6.4625000000000004</v>
      </c>
      <c r="P2097">
        <f t="shared" si="345"/>
        <v>9.545454545454545</v>
      </c>
      <c r="Q2097">
        <f t="shared" si="346"/>
        <v>26.537037037037038</v>
      </c>
      <c r="R2097">
        <f t="shared" si="347"/>
        <v>82.02</v>
      </c>
      <c r="S2097" t="str">
        <f t="shared" si="348"/>
        <v>Satisfactory</v>
      </c>
      <c r="T2097" t="str">
        <f t="shared" si="349"/>
        <v>PM10</v>
      </c>
      <c r="U2097">
        <v>22.39</v>
      </c>
      <c r="V2097">
        <v>40.47</v>
      </c>
    </row>
    <row r="2098" spans="1:22" x14ac:dyDescent="0.3">
      <c r="A2098" s="2" t="s">
        <v>15</v>
      </c>
      <c r="B2098">
        <v>560026</v>
      </c>
      <c r="C2098" s="4">
        <v>45655</v>
      </c>
      <c r="D2098">
        <v>34.22</v>
      </c>
      <c r="E2098">
        <v>85.56</v>
      </c>
      <c r="F2098">
        <v>12.28</v>
      </c>
      <c r="G2098">
        <v>5.2</v>
      </c>
      <c r="H2098">
        <v>5.31</v>
      </c>
      <c r="I2098">
        <v>0.78</v>
      </c>
      <c r="J2098">
        <v>28.23</v>
      </c>
      <c r="K2098">
        <f t="shared" si="340"/>
        <v>57.033333333333331</v>
      </c>
      <c r="L2098">
        <f t="shared" si="341"/>
        <v>85.56</v>
      </c>
      <c r="M2098">
        <f t="shared" si="342"/>
        <v>15.35</v>
      </c>
      <c r="N2098">
        <f t="shared" si="343"/>
        <v>1.3</v>
      </c>
      <c r="O2098">
        <f t="shared" si="344"/>
        <v>6.6375000000000002</v>
      </c>
      <c r="P2098">
        <f t="shared" si="345"/>
        <v>8.8636363636363633</v>
      </c>
      <c r="Q2098">
        <f t="shared" si="346"/>
        <v>26.138888888888889</v>
      </c>
      <c r="R2098">
        <f t="shared" si="347"/>
        <v>85.56</v>
      </c>
      <c r="S2098" t="str">
        <f t="shared" si="348"/>
        <v>Satisfactory</v>
      </c>
      <c r="T2098" t="str">
        <f t="shared" si="349"/>
        <v>PM10</v>
      </c>
      <c r="U2098">
        <v>23.22</v>
      </c>
      <c r="V2098">
        <v>38.700000000000003</v>
      </c>
    </row>
    <row r="2099" spans="1:22" x14ac:dyDescent="0.3">
      <c r="A2099" s="2" t="s">
        <v>15</v>
      </c>
      <c r="B2099">
        <v>560026</v>
      </c>
      <c r="C2099" s="4">
        <v>45656</v>
      </c>
      <c r="D2099">
        <v>35.56</v>
      </c>
      <c r="E2099">
        <v>89.09</v>
      </c>
      <c r="F2099">
        <v>12.26</v>
      </c>
      <c r="G2099">
        <v>5.25</v>
      </c>
      <c r="H2099">
        <v>4.38</v>
      </c>
      <c r="I2099">
        <v>1.04</v>
      </c>
      <c r="J2099">
        <v>27.19</v>
      </c>
      <c r="K2099">
        <f t="shared" si="340"/>
        <v>59.266666666666673</v>
      </c>
      <c r="L2099">
        <f t="shared" si="341"/>
        <v>89.09</v>
      </c>
      <c r="M2099">
        <f t="shared" si="342"/>
        <v>15.324999999999999</v>
      </c>
      <c r="N2099">
        <f t="shared" si="343"/>
        <v>1.3125</v>
      </c>
      <c r="O2099">
        <f t="shared" si="344"/>
        <v>5.4749999999999996</v>
      </c>
      <c r="P2099">
        <f t="shared" si="345"/>
        <v>11.818181818181818</v>
      </c>
      <c r="Q2099">
        <f t="shared" si="346"/>
        <v>25.175925925925927</v>
      </c>
      <c r="R2099">
        <f t="shared" si="347"/>
        <v>89.09</v>
      </c>
      <c r="S2099" t="str">
        <f t="shared" si="348"/>
        <v>Satisfactory</v>
      </c>
      <c r="T2099" t="str">
        <f t="shared" si="349"/>
        <v>PM10</v>
      </c>
      <c r="U2099">
        <v>22.86</v>
      </c>
      <c r="V2099">
        <v>41.4</v>
      </c>
    </row>
    <row r="2100" spans="1:22" x14ac:dyDescent="0.3">
      <c r="A2100" s="2" t="s">
        <v>15</v>
      </c>
      <c r="B2100">
        <v>560026</v>
      </c>
      <c r="C2100" s="4">
        <v>45657</v>
      </c>
      <c r="D2100">
        <v>34.090000000000003</v>
      </c>
      <c r="E2100">
        <v>85.4</v>
      </c>
      <c r="F2100">
        <v>12.17</v>
      </c>
      <c r="G2100">
        <v>5.22</v>
      </c>
      <c r="H2100">
        <v>4.71</v>
      </c>
      <c r="I2100">
        <v>0.78</v>
      </c>
      <c r="J2100">
        <v>27.51</v>
      </c>
      <c r="K2100">
        <f t="shared" ref="K2100:K2110" si="350">IF(ISTEXT(D2100),0,IF(D2100&lt;=30,D2100*50/30,IF(AND(D2100&gt;30,D2100&lt;=60),50+(D2100-30)*50/30,IF(AND(D2100&gt;60,D2100&lt;=90),100+(D2100-60)*100/30,IF(AND(D2100&gt;90,D2100&lt;=120),200+(D2100-90)*(100/30),IF(AND(D2100&gt;120,D2100&lt;=250),300+(D2100-120)*(100/130),IF(D2100&gt;250,400+(D2100-250)*(100/130))))))))</f>
        <v>56.81666666666667</v>
      </c>
      <c r="L2100">
        <f t="shared" ref="L2100:L2110" si="351">IF(ISTEXT(E2100),0,IF(E2100&lt;=50,E2100,IF(AND(E2100&gt;50,E2100&lt;=100),E2100,IF(AND(E2100&gt;100,E2100&lt;=250),100+(E2100-100)*100/150,IF(AND(E2100&gt;250,E2100&lt;=350),200+(E2100-250),IF(AND(E2100&gt;350,E2100&lt;=430),300+(E2100-350)*(100/80),IF(E2100&gt;430,400+(E2100-430)*(100/80))))))))</f>
        <v>85.4</v>
      </c>
      <c r="M2100">
        <f t="shared" ref="M2100:M2110" si="352">IF(ISTEXT(F2100),0,IF(F2100&lt;=40,F2100*50/40,IF(AND(F2100&gt;40,F2100&lt;=80),50+(F2100-40)*50/40,IF(AND(F2100&gt;80,F2100&lt;=180),100+(F2100-80)*100/100,IF(AND(F2100&gt;180,F2100&lt;=280),200+(F2100-180)*(100/100),IF(AND(F2100&gt;280,F2100&lt;=400),300+(F2100-280)*(100/120),IF(F2100&gt;400,400+(F2100-400)*(100/120))))))))</f>
        <v>15.2125</v>
      </c>
      <c r="N2100">
        <f t="shared" ref="N2100:N2110" si="353">IF(ISTEXT(G2100),0,IF(G2100&lt;=200,G2100*50/200,IF(AND(G2100&gt;200,G2100&lt;=400),50+(G2100-200)*50/200,IF(AND(G2100&gt;400,G2100&lt;=800),100+(G2100-400)*100/400,IF(AND(G2100&gt;800,G2100&lt;=1200),200+(G2100-800)*(100/400),IF(AND(G2100&gt;1200,G2100&lt;=1800),300+(G2100-1200)*(100/600),IF(G2100&gt;1800,400+(G2100-1800)*(100/600))))))))</f>
        <v>1.3049999999999999</v>
      </c>
      <c r="O2100">
        <f t="shared" ref="O2100:O2110" si="354">IF(ISTEXT(H2100),0,IF(H2100&lt;=40,H2100*50/40,IF(AND(H2100&gt;40,H2100&lt;=80),50+(H2100-40)*50/40,IF(AND(H2100&gt;80,H2100&lt;=380),100+(H2100-80)*100/300,IF(AND(H2100&gt;380,H2100&lt;=800),200+(H2100-380)*(100/420),IF(AND(H2100&gt;800,H2100&lt;=1600),300+(H2100-800)*(100/800),IF(H2100&gt;1600,400+(H2100-1600)*(100/800))))))))</f>
        <v>5.8875000000000002</v>
      </c>
      <c r="P2100">
        <f t="shared" ref="P2100:P2110" si="355">IF(I2100&lt;=4.4,(50-0)/(4.4-0)*(I2100-0)+0,
IF(I2100&lt;=9.4,(100-51)/(9.4-4.5)*(I2100-4.5)+51,
IF(I2100&lt;=12.4,(150-101)/(12.4-9.5)*(I2100-9.5)+101,
IF(I2100&lt;=15.4,(200-151)/(15.4-12.5)*(I2100-12.5)+151,
IF(I2100&lt;=30.4,(300-201)/(30.4-15.5)*(I2100-15.5)+201,
(500-301)/(50.4-30.5)*(I2100-30.5)+301)))))</f>
        <v>8.8636363636363633</v>
      </c>
      <c r="Q2100">
        <f t="shared" ref="Q2100:Q2110" si="356">IF(J2100&lt;=54,(50-0)/(54-0)*(J2100-0)+0,
IF(J2100&lt;=70,(100-51)/(70-55)*(J2100-55)+51,
IF(J2100&lt;=85,(150-101)/(85-71)*(J2100-71)+101,
IF(J2100&lt;=105,(200-151)/(105-86)*(J2100-86)+151,
IF(J2100&lt;=200,(300-201)/(200-106)*(J2100-106)+201,
(500-301)/(300-201)*(J2100-201)+301)))))</f>
        <v>25.472222222222225</v>
      </c>
      <c r="R2100">
        <f t="shared" ref="R2100:R2110" si="357">MAX(K2100:Q2100)</f>
        <v>85.4</v>
      </c>
      <c r="S2100" t="str">
        <f t="shared" ref="S2100:S2110" si="358">IF(R2100&lt;=50,"Good",
IF(R2100&lt;=100,"Satisfactory",
IF(R2100&lt;=200,"Moderate",
IF(R2100&lt;=300,"Poor",
IF(R2100&lt;=400,"Very Poor",
"Severe")))))</f>
        <v>Satisfactory</v>
      </c>
      <c r="T2100" t="str">
        <f t="shared" ref="T2100:T2110" si="359">IF(MAX(K2100:Q2100)=K2100,"PM2.5",
IF(MAX(K2100:Q2100)=L2100,"PM10",
IF(MAX(K2100:Q2100)=M2100,"NO2",
IF(MAX(K2100:Q2100)=N2100,"NH3",
IF(MAX(K2100:Q2100)=O2100,"SO2",
IF(MAX(K2100:Q2100)=P2100,"CO",
IF(MAX(K2100:Q2100)=Q2100,"OZONE","")))))))</f>
        <v>PM10</v>
      </c>
      <c r="U2100">
        <v>23.66</v>
      </c>
      <c r="V2100">
        <v>36.44</v>
      </c>
    </row>
    <row r="2101" spans="1:22" x14ac:dyDescent="0.3">
      <c r="A2101" s="2" t="s">
        <v>15</v>
      </c>
      <c r="B2101">
        <v>560026</v>
      </c>
      <c r="C2101" s="5">
        <v>45658</v>
      </c>
      <c r="D2101" s="6">
        <v>42.36</v>
      </c>
      <c r="E2101" s="6">
        <v>105.96</v>
      </c>
      <c r="F2101" s="6">
        <v>12.3</v>
      </c>
      <c r="G2101" s="6">
        <v>5.24</v>
      </c>
      <c r="H2101" s="6">
        <v>5.17</v>
      </c>
      <c r="I2101" s="6">
        <v>0.95</v>
      </c>
      <c r="J2101" s="7">
        <v>30.88</v>
      </c>
      <c r="K2101">
        <f t="shared" si="350"/>
        <v>70.599999999999994</v>
      </c>
      <c r="L2101">
        <f t="shared" si="351"/>
        <v>103.97333333333333</v>
      </c>
      <c r="M2101">
        <f t="shared" si="352"/>
        <v>15.375</v>
      </c>
      <c r="N2101">
        <f t="shared" si="353"/>
        <v>1.31</v>
      </c>
      <c r="O2101">
        <f t="shared" si="354"/>
        <v>6.4625000000000004</v>
      </c>
      <c r="P2101">
        <f t="shared" si="355"/>
        <v>10.795454545454545</v>
      </c>
      <c r="Q2101">
        <f t="shared" si="356"/>
        <v>28.592592592592592</v>
      </c>
      <c r="R2101">
        <f t="shared" si="357"/>
        <v>103.97333333333333</v>
      </c>
      <c r="S2101" t="str">
        <f t="shared" si="358"/>
        <v>Moderate</v>
      </c>
      <c r="T2101" t="str">
        <f t="shared" si="359"/>
        <v>PM10</v>
      </c>
    </row>
    <row r="2102" spans="1:22" x14ac:dyDescent="0.3">
      <c r="A2102" s="2" t="s">
        <v>15</v>
      </c>
      <c r="B2102">
        <v>560026</v>
      </c>
      <c r="C2102" s="5">
        <v>45659</v>
      </c>
      <c r="D2102" s="6">
        <v>44.59</v>
      </c>
      <c r="E2102" s="6">
        <v>111.58</v>
      </c>
      <c r="F2102" s="6">
        <v>12.34</v>
      </c>
      <c r="G2102" s="6">
        <v>5.24</v>
      </c>
      <c r="H2102" s="6">
        <v>6.3</v>
      </c>
      <c r="I2102" s="6">
        <v>0.75</v>
      </c>
      <c r="J2102" s="7">
        <v>34.76</v>
      </c>
      <c r="K2102">
        <f t="shared" si="350"/>
        <v>74.316666666666677</v>
      </c>
      <c r="L2102">
        <f t="shared" si="351"/>
        <v>107.72</v>
      </c>
      <c r="M2102">
        <f t="shared" si="352"/>
        <v>15.425000000000001</v>
      </c>
      <c r="N2102">
        <f t="shared" si="353"/>
        <v>1.31</v>
      </c>
      <c r="O2102">
        <f t="shared" si="354"/>
        <v>7.875</v>
      </c>
      <c r="P2102">
        <f t="shared" si="355"/>
        <v>8.5227272727272734</v>
      </c>
      <c r="Q2102">
        <f t="shared" si="356"/>
        <v>32.185185185185183</v>
      </c>
      <c r="R2102">
        <f t="shared" si="357"/>
        <v>107.72</v>
      </c>
      <c r="S2102" t="str">
        <f t="shared" si="358"/>
        <v>Moderate</v>
      </c>
      <c r="T2102" t="str">
        <f t="shared" si="359"/>
        <v>PM10</v>
      </c>
    </row>
    <row r="2103" spans="1:22" x14ac:dyDescent="0.3">
      <c r="A2103" s="2" t="s">
        <v>15</v>
      </c>
      <c r="B2103">
        <v>560026</v>
      </c>
      <c r="C2103" s="5">
        <v>45660</v>
      </c>
      <c r="D2103" s="6">
        <v>48.21</v>
      </c>
      <c r="E2103" s="6">
        <v>120.34</v>
      </c>
      <c r="F2103" s="6">
        <v>12.28</v>
      </c>
      <c r="G2103" s="6">
        <v>5.18</v>
      </c>
      <c r="H2103" s="6">
        <v>5.34</v>
      </c>
      <c r="I2103" s="6">
        <v>0.93</v>
      </c>
      <c r="J2103" s="7">
        <v>32.22</v>
      </c>
      <c r="K2103">
        <f t="shared" si="350"/>
        <v>80.349999999999994</v>
      </c>
      <c r="L2103">
        <f t="shared" si="351"/>
        <v>113.56</v>
      </c>
      <c r="M2103">
        <f t="shared" si="352"/>
        <v>15.35</v>
      </c>
      <c r="N2103">
        <f t="shared" si="353"/>
        <v>1.2949999999999999</v>
      </c>
      <c r="O2103">
        <f t="shared" si="354"/>
        <v>6.6749999999999998</v>
      </c>
      <c r="P2103">
        <f t="shared" si="355"/>
        <v>10.568181818181818</v>
      </c>
      <c r="Q2103">
        <f t="shared" si="356"/>
        <v>29.833333333333332</v>
      </c>
      <c r="R2103">
        <f t="shared" si="357"/>
        <v>113.56</v>
      </c>
      <c r="S2103" t="str">
        <f t="shared" si="358"/>
        <v>Moderate</v>
      </c>
      <c r="T2103" t="str">
        <f t="shared" si="359"/>
        <v>PM10</v>
      </c>
    </row>
    <row r="2104" spans="1:22" x14ac:dyDescent="0.3">
      <c r="A2104" s="2" t="s">
        <v>15</v>
      </c>
      <c r="B2104">
        <v>560026</v>
      </c>
      <c r="C2104" s="5">
        <v>45661</v>
      </c>
      <c r="D2104" s="6">
        <v>42.83</v>
      </c>
      <c r="E2104" s="6">
        <v>107.15</v>
      </c>
      <c r="F2104" s="6">
        <v>12.02</v>
      </c>
      <c r="G2104" s="6">
        <v>5.31</v>
      </c>
      <c r="H2104" s="6">
        <v>4.8600000000000003</v>
      </c>
      <c r="I2104" s="6">
        <v>0.74</v>
      </c>
      <c r="J2104" s="7">
        <v>37.58</v>
      </c>
      <c r="K2104">
        <f t="shared" si="350"/>
        <v>71.383333333333326</v>
      </c>
      <c r="L2104">
        <f t="shared" si="351"/>
        <v>104.76666666666667</v>
      </c>
      <c r="M2104">
        <f t="shared" si="352"/>
        <v>15.025</v>
      </c>
      <c r="N2104">
        <f t="shared" si="353"/>
        <v>1.3274999999999999</v>
      </c>
      <c r="O2104">
        <f t="shared" si="354"/>
        <v>6.0750000000000011</v>
      </c>
      <c r="P2104">
        <f t="shared" si="355"/>
        <v>8.4090909090909083</v>
      </c>
      <c r="Q2104">
        <f t="shared" si="356"/>
        <v>34.796296296296298</v>
      </c>
      <c r="R2104">
        <f t="shared" si="357"/>
        <v>104.76666666666667</v>
      </c>
      <c r="S2104" t="str">
        <f t="shared" si="358"/>
        <v>Moderate</v>
      </c>
      <c r="T2104" t="str">
        <f t="shared" si="359"/>
        <v>PM10</v>
      </c>
    </row>
    <row r="2105" spans="1:22" x14ac:dyDescent="0.3">
      <c r="A2105" s="2" t="s">
        <v>15</v>
      </c>
      <c r="B2105">
        <v>560026</v>
      </c>
      <c r="C2105" s="5">
        <v>45662</v>
      </c>
      <c r="D2105" s="6">
        <v>50.05</v>
      </c>
      <c r="E2105" s="6">
        <v>125.24</v>
      </c>
      <c r="F2105" s="6">
        <v>12.18</v>
      </c>
      <c r="G2105" s="6">
        <v>5.33</v>
      </c>
      <c r="H2105" s="6">
        <v>4.43</v>
      </c>
      <c r="I2105" s="6">
        <v>1.02</v>
      </c>
      <c r="J2105" s="7">
        <v>34.14</v>
      </c>
      <c r="K2105">
        <f t="shared" si="350"/>
        <v>83.416666666666657</v>
      </c>
      <c r="L2105">
        <f t="shared" si="351"/>
        <v>116.82666666666667</v>
      </c>
      <c r="M2105">
        <f t="shared" si="352"/>
        <v>15.225</v>
      </c>
      <c r="N2105">
        <f t="shared" si="353"/>
        <v>1.3325</v>
      </c>
      <c r="O2105">
        <f t="shared" si="354"/>
        <v>5.5374999999999996</v>
      </c>
      <c r="P2105">
        <f t="shared" si="355"/>
        <v>11.59090909090909</v>
      </c>
      <c r="Q2105">
        <f t="shared" si="356"/>
        <v>31.611111111111111</v>
      </c>
      <c r="R2105">
        <f t="shared" si="357"/>
        <v>116.82666666666667</v>
      </c>
      <c r="S2105" t="str">
        <f t="shared" si="358"/>
        <v>Moderate</v>
      </c>
      <c r="T2105" t="str">
        <f t="shared" si="359"/>
        <v>PM10</v>
      </c>
    </row>
    <row r="2106" spans="1:22" x14ac:dyDescent="0.3">
      <c r="A2106" s="2" t="s">
        <v>15</v>
      </c>
      <c r="B2106">
        <v>560026</v>
      </c>
      <c r="C2106" s="5">
        <v>45663</v>
      </c>
      <c r="D2106" s="6">
        <v>44.34</v>
      </c>
      <c r="E2106" s="6">
        <v>110.78</v>
      </c>
      <c r="F2106" s="6">
        <v>12.3</v>
      </c>
      <c r="G2106" s="6">
        <v>5.32</v>
      </c>
      <c r="H2106" s="6">
        <v>4.92</v>
      </c>
      <c r="I2106" s="6">
        <v>0.91</v>
      </c>
      <c r="J2106" s="7">
        <v>41.29</v>
      </c>
      <c r="K2106">
        <f t="shared" si="350"/>
        <v>73.900000000000006</v>
      </c>
      <c r="L2106">
        <f t="shared" si="351"/>
        <v>107.18666666666667</v>
      </c>
      <c r="M2106">
        <f t="shared" si="352"/>
        <v>15.375</v>
      </c>
      <c r="N2106">
        <f t="shared" si="353"/>
        <v>1.33</v>
      </c>
      <c r="O2106">
        <f t="shared" si="354"/>
        <v>6.15</v>
      </c>
      <c r="P2106">
        <f t="shared" si="355"/>
        <v>10.340909090909092</v>
      </c>
      <c r="Q2106">
        <f t="shared" si="356"/>
        <v>38.231481481481481</v>
      </c>
      <c r="R2106">
        <f t="shared" si="357"/>
        <v>107.18666666666667</v>
      </c>
      <c r="S2106" t="str">
        <f t="shared" si="358"/>
        <v>Moderate</v>
      </c>
      <c r="T2106" t="str">
        <f t="shared" si="359"/>
        <v>PM10</v>
      </c>
    </row>
    <row r="2107" spans="1:22" x14ac:dyDescent="0.3">
      <c r="A2107" s="2" t="s">
        <v>15</v>
      </c>
      <c r="B2107">
        <v>560026</v>
      </c>
      <c r="C2107" s="5">
        <v>45664</v>
      </c>
      <c r="D2107" s="6">
        <v>47.12</v>
      </c>
      <c r="E2107" s="6">
        <v>117.89</v>
      </c>
      <c r="F2107" s="6">
        <v>12.36</v>
      </c>
      <c r="G2107" s="6">
        <v>5.2</v>
      </c>
      <c r="H2107" s="6">
        <v>6.17</v>
      </c>
      <c r="I2107" s="6">
        <v>1.1000000000000001</v>
      </c>
      <c r="J2107" s="7">
        <v>34.56</v>
      </c>
      <c r="K2107">
        <f t="shared" si="350"/>
        <v>78.533333333333331</v>
      </c>
      <c r="L2107">
        <f t="shared" si="351"/>
        <v>111.92666666666666</v>
      </c>
      <c r="M2107">
        <f t="shared" si="352"/>
        <v>15.45</v>
      </c>
      <c r="N2107">
        <f t="shared" si="353"/>
        <v>1.3</v>
      </c>
      <c r="O2107">
        <f t="shared" si="354"/>
        <v>7.7125000000000004</v>
      </c>
      <c r="P2107">
        <f t="shared" si="355"/>
        <v>12.5</v>
      </c>
      <c r="Q2107">
        <f t="shared" si="356"/>
        <v>32</v>
      </c>
      <c r="R2107">
        <f t="shared" si="357"/>
        <v>111.92666666666666</v>
      </c>
      <c r="S2107" t="str">
        <f t="shared" si="358"/>
        <v>Moderate</v>
      </c>
      <c r="T2107" t="str">
        <f t="shared" si="359"/>
        <v>PM10</v>
      </c>
    </row>
    <row r="2108" spans="1:22" x14ac:dyDescent="0.3">
      <c r="A2108" s="2" t="s">
        <v>15</v>
      </c>
      <c r="B2108">
        <v>560026</v>
      </c>
      <c r="C2108" s="5">
        <v>45665</v>
      </c>
      <c r="D2108" s="6">
        <v>47.23</v>
      </c>
      <c r="E2108" s="6">
        <v>118.11</v>
      </c>
      <c r="F2108" s="6">
        <v>12.24</v>
      </c>
      <c r="G2108" s="6">
        <v>5.22</v>
      </c>
      <c r="H2108" s="6">
        <v>7.26</v>
      </c>
      <c r="I2108" s="6">
        <v>0.86</v>
      </c>
      <c r="J2108" s="7">
        <v>31.29</v>
      </c>
      <c r="K2108">
        <f t="shared" si="350"/>
        <v>78.716666666666669</v>
      </c>
      <c r="L2108">
        <f t="shared" si="351"/>
        <v>112.07333333333334</v>
      </c>
      <c r="M2108">
        <f t="shared" si="352"/>
        <v>15.3</v>
      </c>
      <c r="N2108">
        <f t="shared" si="353"/>
        <v>1.3049999999999999</v>
      </c>
      <c r="O2108">
        <f t="shared" si="354"/>
        <v>9.0749999999999993</v>
      </c>
      <c r="P2108">
        <f t="shared" si="355"/>
        <v>9.7727272727272716</v>
      </c>
      <c r="Q2108">
        <f t="shared" si="356"/>
        <v>28.972222222222221</v>
      </c>
      <c r="R2108">
        <f t="shared" si="357"/>
        <v>112.07333333333334</v>
      </c>
      <c r="S2108" t="str">
        <f t="shared" si="358"/>
        <v>Moderate</v>
      </c>
      <c r="T2108" t="str">
        <f t="shared" si="359"/>
        <v>PM10</v>
      </c>
    </row>
    <row r="2109" spans="1:22" x14ac:dyDescent="0.3">
      <c r="A2109" s="2" t="s">
        <v>15</v>
      </c>
      <c r="B2109">
        <v>560026</v>
      </c>
      <c r="C2109" s="5">
        <v>45666</v>
      </c>
      <c r="D2109" s="6">
        <v>47.89</v>
      </c>
      <c r="E2109" s="6">
        <v>119.77</v>
      </c>
      <c r="F2109" s="6">
        <v>12.3</v>
      </c>
      <c r="G2109" s="6">
        <v>5.18</v>
      </c>
      <c r="H2109" s="6">
        <v>6.59</v>
      </c>
      <c r="I2109" s="6">
        <v>0.79</v>
      </c>
      <c r="J2109" s="7">
        <v>41.54</v>
      </c>
      <c r="K2109">
        <f t="shared" si="350"/>
        <v>79.816666666666663</v>
      </c>
      <c r="L2109">
        <f t="shared" si="351"/>
        <v>113.17999999999999</v>
      </c>
      <c r="M2109">
        <f t="shared" si="352"/>
        <v>15.375</v>
      </c>
      <c r="N2109">
        <f t="shared" si="353"/>
        <v>1.2949999999999999</v>
      </c>
      <c r="O2109">
        <f t="shared" si="354"/>
        <v>8.2375000000000007</v>
      </c>
      <c r="P2109">
        <f t="shared" si="355"/>
        <v>8.9772727272727266</v>
      </c>
      <c r="Q2109">
        <f t="shared" si="356"/>
        <v>38.462962962962962</v>
      </c>
      <c r="R2109">
        <f t="shared" si="357"/>
        <v>113.17999999999999</v>
      </c>
      <c r="S2109" t="str">
        <f t="shared" si="358"/>
        <v>Moderate</v>
      </c>
      <c r="T2109" t="str">
        <f t="shared" si="359"/>
        <v>PM10</v>
      </c>
    </row>
    <row r="2110" spans="1:22" x14ac:dyDescent="0.3">
      <c r="A2110" s="2" t="s">
        <v>15</v>
      </c>
      <c r="B2110">
        <v>560026</v>
      </c>
      <c r="C2110" s="5">
        <v>45667</v>
      </c>
      <c r="D2110" s="6">
        <v>47.68</v>
      </c>
      <c r="E2110" s="6">
        <v>119.18</v>
      </c>
      <c r="F2110" s="6">
        <v>12.31</v>
      </c>
      <c r="G2110" s="6">
        <v>5.2</v>
      </c>
      <c r="H2110" s="6">
        <v>5.98</v>
      </c>
      <c r="I2110" s="6">
        <v>0.92</v>
      </c>
      <c r="J2110" s="7">
        <v>36.630000000000003</v>
      </c>
      <c r="K2110">
        <f t="shared" si="350"/>
        <v>79.466666666666669</v>
      </c>
      <c r="L2110">
        <f t="shared" si="351"/>
        <v>112.78666666666668</v>
      </c>
      <c r="M2110">
        <f t="shared" si="352"/>
        <v>15.387499999999999</v>
      </c>
      <c r="N2110">
        <f t="shared" si="353"/>
        <v>1.3</v>
      </c>
      <c r="O2110">
        <f t="shared" si="354"/>
        <v>7.4749999999999996</v>
      </c>
      <c r="P2110">
        <f t="shared" si="355"/>
        <v>10.454545454545455</v>
      </c>
      <c r="Q2110">
        <f t="shared" si="356"/>
        <v>33.916666666666671</v>
      </c>
      <c r="R2110">
        <f t="shared" si="357"/>
        <v>112.78666666666668</v>
      </c>
      <c r="S2110" t="str">
        <f t="shared" si="358"/>
        <v>Moderate</v>
      </c>
      <c r="T2110" t="str">
        <f t="shared" si="359"/>
        <v>PM10</v>
      </c>
    </row>
    <row r="2111" spans="1:22" x14ac:dyDescent="0.3">
      <c r="A2111" s="2" t="s">
        <v>15</v>
      </c>
      <c r="B2111">
        <v>560026</v>
      </c>
      <c r="C2111" s="5">
        <v>45668</v>
      </c>
      <c r="D2111" s="6">
        <v>34.83</v>
      </c>
      <c r="E2111" s="6">
        <v>87.06</v>
      </c>
      <c r="F2111" s="6">
        <v>12.25</v>
      </c>
      <c r="G2111" s="6">
        <v>5.22</v>
      </c>
      <c r="H2111" s="6">
        <v>6.17</v>
      </c>
      <c r="I2111" s="6">
        <v>0.85</v>
      </c>
      <c r="J2111" s="7">
        <v>31.55</v>
      </c>
      <c r="K2111">
        <f t="shared" ref="K2111:K2174" si="360">IF(ISTEXT(D2111),0,IF(D2111&lt;=30,D2111*50/30,IF(AND(D2111&gt;30,D2111&lt;=60),50+(D2111-30)*50/30,IF(AND(D2111&gt;60,D2111&lt;=90),100+(D2111-60)*100/30,IF(AND(D2111&gt;90,D2111&lt;=120),200+(D2111-90)*(100/30),IF(AND(D2111&gt;120,D2111&lt;=250),300+(D2111-120)*(100/130),IF(D2111&gt;250,400+(D2111-250)*(100/130))))))))</f>
        <v>58.05</v>
      </c>
      <c r="L2111">
        <f t="shared" ref="L2111:L2174" si="361">IF(ISTEXT(E2111),0,IF(E2111&lt;=50,E2111,IF(AND(E2111&gt;50,E2111&lt;=100),E2111,IF(AND(E2111&gt;100,E2111&lt;=250),100+(E2111-100)*100/150,IF(AND(E2111&gt;250,E2111&lt;=350),200+(E2111-250),IF(AND(E2111&gt;350,E2111&lt;=430),300+(E2111-350)*(100/80),IF(E2111&gt;430,400+(E2111-430)*(100/80))))))))</f>
        <v>87.06</v>
      </c>
      <c r="M2111">
        <f t="shared" ref="M2111:M2174" si="362">IF(ISTEXT(F2111),0,IF(F2111&lt;=40,F2111*50/40,IF(AND(F2111&gt;40,F2111&lt;=80),50+(F2111-40)*50/40,IF(AND(F2111&gt;80,F2111&lt;=180),100+(F2111-80)*100/100,IF(AND(F2111&gt;180,F2111&lt;=280),200+(F2111-180)*(100/100),IF(AND(F2111&gt;280,F2111&lt;=400),300+(F2111-280)*(100/120),IF(F2111&gt;400,400+(F2111-400)*(100/120))))))))</f>
        <v>15.3125</v>
      </c>
      <c r="N2111">
        <f t="shared" ref="N2111:N2174" si="363">IF(ISTEXT(G2111),0,IF(G2111&lt;=200,G2111*50/200,IF(AND(G2111&gt;200,G2111&lt;=400),50+(G2111-200)*50/200,IF(AND(G2111&gt;400,G2111&lt;=800),100+(G2111-400)*100/400,IF(AND(G2111&gt;800,G2111&lt;=1200),200+(G2111-800)*(100/400),IF(AND(G2111&gt;1200,G2111&lt;=1800),300+(G2111-1200)*(100/600),IF(G2111&gt;1800,400+(G2111-1800)*(100/600))))))))</f>
        <v>1.3049999999999999</v>
      </c>
      <c r="O2111">
        <f t="shared" ref="O2111:O2174" si="364">IF(ISTEXT(H2111),0,IF(H2111&lt;=40,H2111*50/40,IF(AND(H2111&gt;40,H2111&lt;=80),50+(H2111-40)*50/40,IF(AND(H2111&gt;80,H2111&lt;=380),100+(H2111-80)*100/300,IF(AND(H2111&gt;380,H2111&lt;=800),200+(H2111-380)*(100/420),IF(AND(H2111&gt;800,H2111&lt;=1600),300+(H2111-800)*(100/800),IF(H2111&gt;1600,400+(H2111-1600)*(100/800))))))))</f>
        <v>7.7125000000000004</v>
      </c>
      <c r="P2111">
        <f t="shared" ref="P2111:P2174" si="365">IF(I2111&lt;=4.4,(50-0)/(4.4-0)*(I2111-0)+0,
IF(I2111&lt;=9.4,(100-51)/(9.4-4.5)*(I2111-4.5)+51,
IF(I2111&lt;=12.4,(150-101)/(12.4-9.5)*(I2111-9.5)+101,
IF(I2111&lt;=15.4,(200-151)/(15.4-12.5)*(I2111-12.5)+151,
IF(I2111&lt;=30.4,(300-201)/(30.4-15.5)*(I2111-15.5)+201,
(500-301)/(50.4-30.5)*(I2111-30.5)+301)))))</f>
        <v>9.6590909090909083</v>
      </c>
      <c r="Q2111">
        <f t="shared" ref="Q2111:Q2174" si="366">IF(J2111&lt;=54,(50-0)/(54-0)*(J2111-0)+0,
IF(J2111&lt;=70,(100-51)/(70-55)*(J2111-55)+51,
IF(J2111&lt;=85,(150-101)/(85-71)*(J2111-71)+101,
IF(J2111&lt;=105,(200-151)/(105-86)*(J2111-86)+151,
IF(J2111&lt;=200,(300-201)/(200-106)*(J2111-106)+201,
(500-301)/(300-201)*(J2111-201)+301)))))</f>
        <v>29.212962962962965</v>
      </c>
      <c r="R2111">
        <f t="shared" ref="R2111:R2174" si="367">MAX(K2111:Q2111)</f>
        <v>87.06</v>
      </c>
      <c r="S2111" t="str">
        <f t="shared" ref="S2111:S2174" si="368">IF(R2111&lt;=50,"Good",
IF(R2111&lt;=100,"Satisfactory",
IF(R2111&lt;=200,"Moderate",
IF(R2111&lt;=300,"Poor",
IF(R2111&lt;=400,"Very Poor",
"Severe")))))</f>
        <v>Satisfactory</v>
      </c>
      <c r="T2111" t="str">
        <f t="shared" ref="T2111:T2174" si="369">IF(MAX(K2111:Q2111)=K2111,"PM2.5",
IF(MAX(K2111:Q2111)=L2111,"PM10",
IF(MAX(K2111:Q2111)=M2111,"NO2",
IF(MAX(K2111:Q2111)=N2111,"NH3",
IF(MAX(K2111:Q2111)=O2111,"SO2",
IF(MAX(K2111:Q2111)=P2111,"CO",
IF(MAX(K2111:Q2111)=Q2111,"OZONE","")))))))</f>
        <v>PM10</v>
      </c>
    </row>
    <row r="2112" spans="1:22" x14ac:dyDescent="0.3">
      <c r="A2112" s="2" t="s">
        <v>15</v>
      </c>
      <c r="B2112">
        <v>560026</v>
      </c>
      <c r="C2112" s="5">
        <v>45669</v>
      </c>
      <c r="D2112" s="6">
        <v>34.840000000000003</v>
      </c>
      <c r="E2112" s="6">
        <v>87.2</v>
      </c>
      <c r="F2112" s="6">
        <v>12.19</v>
      </c>
      <c r="G2112" s="6">
        <v>5.32</v>
      </c>
      <c r="H2112" s="6">
        <v>6.83</v>
      </c>
      <c r="I2112" s="6">
        <v>0.79</v>
      </c>
      <c r="J2112" s="7">
        <v>33.479999999999997</v>
      </c>
      <c r="K2112">
        <f t="shared" si="360"/>
        <v>58.06666666666667</v>
      </c>
      <c r="L2112">
        <f t="shared" si="361"/>
        <v>87.2</v>
      </c>
      <c r="M2112">
        <f t="shared" si="362"/>
        <v>15.237500000000001</v>
      </c>
      <c r="N2112">
        <f t="shared" si="363"/>
        <v>1.33</v>
      </c>
      <c r="O2112">
        <f t="shared" si="364"/>
        <v>8.5374999999999996</v>
      </c>
      <c r="P2112">
        <f t="shared" si="365"/>
        <v>8.9772727272727266</v>
      </c>
      <c r="Q2112">
        <f t="shared" si="366"/>
        <v>30.999999999999996</v>
      </c>
      <c r="R2112">
        <f t="shared" si="367"/>
        <v>87.2</v>
      </c>
      <c r="S2112" t="str">
        <f t="shared" si="368"/>
        <v>Satisfactory</v>
      </c>
      <c r="T2112" t="str">
        <f t="shared" si="369"/>
        <v>PM10</v>
      </c>
    </row>
    <row r="2113" spans="1:20" x14ac:dyDescent="0.3">
      <c r="A2113" s="2" t="s">
        <v>15</v>
      </c>
      <c r="B2113">
        <v>560026</v>
      </c>
      <c r="C2113" s="5">
        <v>45670</v>
      </c>
      <c r="D2113" s="6">
        <v>28.83</v>
      </c>
      <c r="E2113" s="6">
        <v>72.02</v>
      </c>
      <c r="F2113" s="6">
        <v>12.36</v>
      </c>
      <c r="G2113" s="6">
        <v>5.29</v>
      </c>
      <c r="H2113" s="6">
        <v>4.51</v>
      </c>
      <c r="I2113" s="6">
        <v>1.02</v>
      </c>
      <c r="J2113" s="7">
        <v>28.9</v>
      </c>
      <c r="K2113">
        <f t="shared" si="360"/>
        <v>48.05</v>
      </c>
      <c r="L2113">
        <f t="shared" si="361"/>
        <v>72.02</v>
      </c>
      <c r="M2113">
        <f t="shared" si="362"/>
        <v>15.45</v>
      </c>
      <c r="N2113">
        <f t="shared" si="363"/>
        <v>1.3225</v>
      </c>
      <c r="O2113">
        <f t="shared" si="364"/>
        <v>5.6375000000000002</v>
      </c>
      <c r="P2113">
        <f t="shared" si="365"/>
        <v>11.59090909090909</v>
      </c>
      <c r="Q2113">
        <f t="shared" si="366"/>
        <v>26.75925925925926</v>
      </c>
      <c r="R2113">
        <f t="shared" si="367"/>
        <v>72.02</v>
      </c>
      <c r="S2113" t="str">
        <f t="shared" si="368"/>
        <v>Satisfactory</v>
      </c>
      <c r="T2113" t="str">
        <f t="shared" si="369"/>
        <v>PM10</v>
      </c>
    </row>
    <row r="2114" spans="1:20" x14ac:dyDescent="0.3">
      <c r="A2114" s="2" t="s">
        <v>15</v>
      </c>
      <c r="B2114">
        <v>560026</v>
      </c>
      <c r="C2114" s="5">
        <v>45671</v>
      </c>
      <c r="D2114" s="6">
        <v>22.46</v>
      </c>
      <c r="E2114" s="6">
        <v>56.27</v>
      </c>
      <c r="F2114" s="6">
        <v>12.33</v>
      </c>
      <c r="G2114" s="6">
        <v>5.22</v>
      </c>
      <c r="H2114" s="6">
        <v>4.4400000000000004</v>
      </c>
      <c r="I2114" s="6">
        <v>0.43</v>
      </c>
      <c r="J2114" s="7">
        <v>30.72</v>
      </c>
      <c r="K2114">
        <f t="shared" si="360"/>
        <v>37.43333333333333</v>
      </c>
      <c r="L2114">
        <f t="shared" si="361"/>
        <v>56.27</v>
      </c>
      <c r="M2114">
        <f t="shared" si="362"/>
        <v>15.4125</v>
      </c>
      <c r="N2114">
        <f t="shared" si="363"/>
        <v>1.3049999999999999</v>
      </c>
      <c r="O2114">
        <f t="shared" si="364"/>
        <v>5.5500000000000007</v>
      </c>
      <c r="P2114">
        <f t="shared" si="365"/>
        <v>4.8863636363636358</v>
      </c>
      <c r="Q2114">
        <f t="shared" si="366"/>
        <v>28.444444444444443</v>
      </c>
      <c r="R2114">
        <f t="shared" si="367"/>
        <v>56.27</v>
      </c>
      <c r="S2114" t="str">
        <f t="shared" si="368"/>
        <v>Satisfactory</v>
      </c>
      <c r="T2114" t="str">
        <f t="shared" si="369"/>
        <v>PM10</v>
      </c>
    </row>
    <row r="2115" spans="1:20" x14ac:dyDescent="0.3">
      <c r="A2115" s="2" t="s">
        <v>15</v>
      </c>
      <c r="B2115">
        <v>560026</v>
      </c>
      <c r="C2115" s="5">
        <v>45672</v>
      </c>
      <c r="D2115" s="6">
        <v>24.9</v>
      </c>
      <c r="E2115" s="6">
        <v>62.13</v>
      </c>
      <c r="F2115" s="6">
        <v>12.17</v>
      </c>
      <c r="G2115" s="6">
        <v>5.21</v>
      </c>
      <c r="H2115" s="6">
        <v>5.4</v>
      </c>
      <c r="I2115" s="6">
        <v>0.85</v>
      </c>
      <c r="J2115" s="7">
        <v>30.27</v>
      </c>
      <c r="K2115">
        <f t="shared" si="360"/>
        <v>41.5</v>
      </c>
      <c r="L2115">
        <f t="shared" si="361"/>
        <v>62.13</v>
      </c>
      <c r="M2115">
        <f t="shared" si="362"/>
        <v>15.2125</v>
      </c>
      <c r="N2115">
        <f t="shared" si="363"/>
        <v>1.3025</v>
      </c>
      <c r="O2115">
        <f t="shared" si="364"/>
        <v>6.75</v>
      </c>
      <c r="P2115">
        <f t="shared" si="365"/>
        <v>9.6590909090909083</v>
      </c>
      <c r="Q2115">
        <f t="shared" si="366"/>
        <v>28.027777777777779</v>
      </c>
      <c r="R2115">
        <f t="shared" si="367"/>
        <v>62.13</v>
      </c>
      <c r="S2115" t="str">
        <f t="shared" si="368"/>
        <v>Satisfactory</v>
      </c>
      <c r="T2115" t="str">
        <f t="shared" si="369"/>
        <v>PM10</v>
      </c>
    </row>
    <row r="2116" spans="1:20" x14ac:dyDescent="0.3">
      <c r="A2116" s="2" t="s">
        <v>15</v>
      </c>
      <c r="B2116">
        <v>560026</v>
      </c>
      <c r="C2116" s="5">
        <v>45673</v>
      </c>
      <c r="D2116" s="6">
        <v>34.36</v>
      </c>
      <c r="E2116" s="6">
        <v>86.15</v>
      </c>
      <c r="F2116" s="6">
        <v>12.24</v>
      </c>
      <c r="G2116" s="6">
        <v>5.23</v>
      </c>
      <c r="H2116" s="6">
        <v>5.56</v>
      </c>
      <c r="I2116" s="6">
        <v>0.76</v>
      </c>
      <c r="J2116" s="7">
        <v>33.74</v>
      </c>
      <c r="K2116">
        <f t="shared" si="360"/>
        <v>57.266666666666666</v>
      </c>
      <c r="L2116">
        <f t="shared" si="361"/>
        <v>86.15</v>
      </c>
      <c r="M2116">
        <f t="shared" si="362"/>
        <v>15.3</v>
      </c>
      <c r="N2116">
        <f t="shared" si="363"/>
        <v>1.3075000000000001</v>
      </c>
      <c r="O2116">
        <f t="shared" si="364"/>
        <v>6.95</v>
      </c>
      <c r="P2116">
        <f t="shared" si="365"/>
        <v>8.6363636363636367</v>
      </c>
      <c r="Q2116">
        <f t="shared" si="366"/>
        <v>31.240740740740744</v>
      </c>
      <c r="R2116">
        <f t="shared" si="367"/>
        <v>86.15</v>
      </c>
      <c r="S2116" t="str">
        <f t="shared" si="368"/>
        <v>Satisfactory</v>
      </c>
      <c r="T2116" t="str">
        <f t="shared" si="369"/>
        <v>PM10</v>
      </c>
    </row>
    <row r="2117" spans="1:20" x14ac:dyDescent="0.3">
      <c r="A2117" s="2" t="s">
        <v>15</v>
      </c>
      <c r="B2117">
        <v>560026</v>
      </c>
      <c r="C2117" s="5">
        <v>45674</v>
      </c>
      <c r="D2117" s="6">
        <v>45.88</v>
      </c>
      <c r="E2117" s="6">
        <v>114.74</v>
      </c>
      <c r="F2117" s="6">
        <v>12.27</v>
      </c>
      <c r="G2117" s="6">
        <v>5.15</v>
      </c>
      <c r="H2117" s="6">
        <v>5.0599999999999996</v>
      </c>
      <c r="I2117" s="6">
        <v>0.99</v>
      </c>
      <c r="J2117" s="7">
        <v>39.47</v>
      </c>
      <c r="K2117">
        <f t="shared" si="360"/>
        <v>76.466666666666669</v>
      </c>
      <c r="L2117">
        <f t="shared" si="361"/>
        <v>109.82666666666667</v>
      </c>
      <c r="M2117">
        <f t="shared" si="362"/>
        <v>15.3375</v>
      </c>
      <c r="N2117">
        <f t="shared" si="363"/>
        <v>1.2875000000000001</v>
      </c>
      <c r="O2117">
        <f t="shared" si="364"/>
        <v>6.3249999999999993</v>
      </c>
      <c r="P2117">
        <f t="shared" si="365"/>
        <v>11.25</v>
      </c>
      <c r="Q2117">
        <f t="shared" si="366"/>
        <v>36.546296296296298</v>
      </c>
      <c r="R2117">
        <f t="shared" si="367"/>
        <v>109.82666666666667</v>
      </c>
      <c r="S2117" t="str">
        <f t="shared" si="368"/>
        <v>Moderate</v>
      </c>
      <c r="T2117" t="str">
        <f t="shared" si="369"/>
        <v>PM10</v>
      </c>
    </row>
    <row r="2118" spans="1:20" x14ac:dyDescent="0.3">
      <c r="A2118" s="2" t="s">
        <v>15</v>
      </c>
      <c r="B2118">
        <v>560026</v>
      </c>
      <c r="C2118" s="5">
        <v>45675</v>
      </c>
      <c r="D2118" s="6">
        <v>46.64</v>
      </c>
      <c r="E2118" s="6">
        <v>116.81</v>
      </c>
      <c r="F2118" s="6">
        <v>12.21</v>
      </c>
      <c r="G2118" s="6">
        <v>5.29</v>
      </c>
      <c r="H2118" s="6">
        <v>4.8600000000000003</v>
      </c>
      <c r="I2118" s="6">
        <v>0.96</v>
      </c>
      <c r="J2118" s="7">
        <v>35.67</v>
      </c>
      <c r="K2118">
        <f t="shared" si="360"/>
        <v>77.733333333333334</v>
      </c>
      <c r="L2118">
        <f t="shared" si="361"/>
        <v>111.20666666666666</v>
      </c>
      <c r="M2118">
        <f t="shared" si="362"/>
        <v>15.262499999999999</v>
      </c>
      <c r="N2118">
        <f t="shared" si="363"/>
        <v>1.3225</v>
      </c>
      <c r="O2118">
        <f t="shared" si="364"/>
        <v>6.0750000000000011</v>
      </c>
      <c r="P2118">
        <f t="shared" si="365"/>
        <v>10.909090909090908</v>
      </c>
      <c r="Q2118">
        <f t="shared" si="366"/>
        <v>33.027777777777779</v>
      </c>
      <c r="R2118">
        <f t="shared" si="367"/>
        <v>111.20666666666666</v>
      </c>
      <c r="S2118" t="str">
        <f t="shared" si="368"/>
        <v>Moderate</v>
      </c>
      <c r="T2118" t="str">
        <f t="shared" si="369"/>
        <v>PM10</v>
      </c>
    </row>
    <row r="2119" spans="1:20" x14ac:dyDescent="0.3">
      <c r="A2119" s="2" t="s">
        <v>15</v>
      </c>
      <c r="B2119">
        <v>560026</v>
      </c>
      <c r="C2119" s="5">
        <v>45676</v>
      </c>
      <c r="D2119" s="6">
        <v>35.21</v>
      </c>
      <c r="E2119" s="6">
        <v>88.03</v>
      </c>
      <c r="F2119" s="6">
        <v>12.29</v>
      </c>
      <c r="G2119" s="6">
        <v>5.24</v>
      </c>
      <c r="H2119" s="6">
        <v>4.8</v>
      </c>
      <c r="I2119" s="6">
        <v>1.24</v>
      </c>
      <c r="J2119" s="7">
        <v>30.05</v>
      </c>
      <c r="K2119">
        <f t="shared" si="360"/>
        <v>58.683333333333337</v>
      </c>
      <c r="L2119">
        <f t="shared" si="361"/>
        <v>88.03</v>
      </c>
      <c r="M2119">
        <f t="shared" si="362"/>
        <v>15.362500000000001</v>
      </c>
      <c r="N2119">
        <f t="shared" si="363"/>
        <v>1.31</v>
      </c>
      <c r="O2119">
        <f t="shared" si="364"/>
        <v>6</v>
      </c>
      <c r="P2119">
        <f t="shared" si="365"/>
        <v>14.09090909090909</v>
      </c>
      <c r="Q2119">
        <f t="shared" si="366"/>
        <v>27.824074074074076</v>
      </c>
      <c r="R2119">
        <f t="shared" si="367"/>
        <v>88.03</v>
      </c>
      <c r="S2119" t="str">
        <f t="shared" si="368"/>
        <v>Satisfactory</v>
      </c>
      <c r="T2119" t="str">
        <f t="shared" si="369"/>
        <v>PM10</v>
      </c>
    </row>
    <row r="2120" spans="1:20" x14ac:dyDescent="0.3">
      <c r="A2120" s="2" t="s">
        <v>15</v>
      </c>
      <c r="B2120">
        <v>560026</v>
      </c>
      <c r="C2120" s="5">
        <v>45677</v>
      </c>
      <c r="D2120" s="6">
        <v>51.79</v>
      </c>
      <c r="E2120" s="6">
        <v>129.47999999999999</v>
      </c>
      <c r="F2120" s="6">
        <v>12.13</v>
      </c>
      <c r="G2120" s="6">
        <v>5.3</v>
      </c>
      <c r="H2120" s="6">
        <v>6.4</v>
      </c>
      <c r="I2120" s="6">
        <v>1.4</v>
      </c>
      <c r="J2120" s="7">
        <v>30.57</v>
      </c>
      <c r="K2120">
        <f t="shared" si="360"/>
        <v>86.316666666666663</v>
      </c>
      <c r="L2120">
        <f t="shared" si="361"/>
        <v>119.65333333333334</v>
      </c>
      <c r="M2120">
        <f t="shared" si="362"/>
        <v>15.1625</v>
      </c>
      <c r="N2120">
        <f t="shared" si="363"/>
        <v>1.325</v>
      </c>
      <c r="O2120">
        <f t="shared" si="364"/>
        <v>8</v>
      </c>
      <c r="P2120">
        <f t="shared" si="365"/>
        <v>15.909090909090908</v>
      </c>
      <c r="Q2120">
        <f t="shared" si="366"/>
        <v>28.305555555555557</v>
      </c>
      <c r="R2120">
        <f t="shared" si="367"/>
        <v>119.65333333333334</v>
      </c>
      <c r="S2120" t="str">
        <f t="shared" si="368"/>
        <v>Moderate</v>
      </c>
      <c r="T2120" t="str">
        <f t="shared" si="369"/>
        <v>PM10</v>
      </c>
    </row>
    <row r="2121" spans="1:20" x14ac:dyDescent="0.3">
      <c r="A2121" s="2" t="s">
        <v>15</v>
      </c>
      <c r="B2121">
        <v>560026</v>
      </c>
      <c r="C2121" s="5">
        <v>45678</v>
      </c>
      <c r="D2121" s="6">
        <v>54.44</v>
      </c>
      <c r="E2121" s="6">
        <v>136.28</v>
      </c>
      <c r="F2121" s="6">
        <v>12.39</v>
      </c>
      <c r="G2121" s="6">
        <v>5.15</v>
      </c>
      <c r="H2121" s="6">
        <v>19.23</v>
      </c>
      <c r="I2121" s="6">
        <v>1.18</v>
      </c>
      <c r="J2121" s="7">
        <v>50.86</v>
      </c>
      <c r="K2121">
        <f t="shared" si="360"/>
        <v>90.733333333333334</v>
      </c>
      <c r="L2121">
        <f t="shared" si="361"/>
        <v>124.18666666666667</v>
      </c>
      <c r="M2121">
        <f t="shared" si="362"/>
        <v>15.487500000000001</v>
      </c>
      <c r="N2121">
        <f t="shared" si="363"/>
        <v>1.2875000000000001</v>
      </c>
      <c r="O2121">
        <f t="shared" si="364"/>
        <v>24.037500000000001</v>
      </c>
      <c r="P2121">
        <f t="shared" si="365"/>
        <v>13.409090909090908</v>
      </c>
      <c r="Q2121">
        <f t="shared" si="366"/>
        <v>47.092592592592595</v>
      </c>
      <c r="R2121">
        <f t="shared" si="367"/>
        <v>124.18666666666667</v>
      </c>
      <c r="S2121" t="str">
        <f t="shared" si="368"/>
        <v>Moderate</v>
      </c>
      <c r="T2121" t="str">
        <f t="shared" si="369"/>
        <v>PM10</v>
      </c>
    </row>
    <row r="2122" spans="1:20" x14ac:dyDescent="0.3">
      <c r="A2122" s="2" t="s">
        <v>15</v>
      </c>
      <c r="B2122">
        <v>560026</v>
      </c>
      <c r="C2122" s="5">
        <v>45679</v>
      </c>
      <c r="D2122" s="6">
        <v>41.16</v>
      </c>
      <c r="E2122" s="6">
        <v>103.23</v>
      </c>
      <c r="F2122" s="6">
        <v>12.18</v>
      </c>
      <c r="G2122" s="6">
        <v>5.21</v>
      </c>
      <c r="H2122" s="6">
        <v>22.75</v>
      </c>
      <c r="I2122" s="6">
        <v>0.89</v>
      </c>
      <c r="J2122" s="7">
        <v>63.5</v>
      </c>
      <c r="K2122">
        <f t="shared" si="360"/>
        <v>68.599999999999994</v>
      </c>
      <c r="L2122">
        <f t="shared" si="361"/>
        <v>102.15333333333334</v>
      </c>
      <c r="M2122">
        <f t="shared" si="362"/>
        <v>15.225</v>
      </c>
      <c r="N2122">
        <f t="shared" si="363"/>
        <v>1.3025</v>
      </c>
      <c r="O2122">
        <f t="shared" si="364"/>
        <v>28.4375</v>
      </c>
      <c r="P2122">
        <f t="shared" si="365"/>
        <v>10.113636363636363</v>
      </c>
      <c r="Q2122">
        <f t="shared" si="366"/>
        <v>78.766666666666666</v>
      </c>
      <c r="R2122">
        <f t="shared" si="367"/>
        <v>102.15333333333334</v>
      </c>
      <c r="S2122" t="str">
        <f t="shared" si="368"/>
        <v>Moderate</v>
      </c>
      <c r="T2122" t="str">
        <f t="shared" si="369"/>
        <v>PM10</v>
      </c>
    </row>
    <row r="2123" spans="1:20" x14ac:dyDescent="0.3">
      <c r="A2123" s="2" t="s">
        <v>15</v>
      </c>
      <c r="B2123">
        <v>560026</v>
      </c>
      <c r="C2123" s="5">
        <v>45680</v>
      </c>
      <c r="D2123" s="6">
        <v>39.26</v>
      </c>
      <c r="E2123" s="6">
        <v>98.07</v>
      </c>
      <c r="F2123" s="6">
        <v>12.24</v>
      </c>
      <c r="G2123" s="6">
        <v>5.18</v>
      </c>
      <c r="H2123" s="6">
        <v>10.86</v>
      </c>
      <c r="I2123" s="6">
        <v>0.88</v>
      </c>
      <c r="J2123" s="7">
        <v>45.63</v>
      </c>
      <c r="K2123">
        <f t="shared" si="360"/>
        <v>65.433333333333337</v>
      </c>
      <c r="L2123">
        <f t="shared" si="361"/>
        <v>98.07</v>
      </c>
      <c r="M2123">
        <f t="shared" si="362"/>
        <v>15.3</v>
      </c>
      <c r="N2123">
        <f t="shared" si="363"/>
        <v>1.2949999999999999</v>
      </c>
      <c r="O2123">
        <f t="shared" si="364"/>
        <v>13.574999999999999</v>
      </c>
      <c r="P2123">
        <f t="shared" si="365"/>
        <v>10</v>
      </c>
      <c r="Q2123">
        <f t="shared" si="366"/>
        <v>42.25</v>
      </c>
      <c r="R2123">
        <f t="shared" si="367"/>
        <v>98.07</v>
      </c>
      <c r="S2123" t="str">
        <f t="shared" si="368"/>
        <v>Satisfactory</v>
      </c>
      <c r="T2123" t="str">
        <f t="shared" si="369"/>
        <v>PM10</v>
      </c>
    </row>
    <row r="2124" spans="1:20" x14ac:dyDescent="0.3">
      <c r="A2124" s="2" t="s">
        <v>15</v>
      </c>
      <c r="B2124">
        <v>560026</v>
      </c>
      <c r="C2124" s="5">
        <v>45681</v>
      </c>
      <c r="D2124" s="6">
        <v>36.590000000000003</v>
      </c>
      <c r="E2124" s="6">
        <v>91.38</v>
      </c>
      <c r="F2124" s="6">
        <v>12.22</v>
      </c>
      <c r="G2124" s="6">
        <v>5.19</v>
      </c>
      <c r="H2124" s="6">
        <v>17.100000000000001</v>
      </c>
      <c r="I2124" s="6">
        <v>0.92</v>
      </c>
      <c r="J2124" s="7">
        <v>47.73</v>
      </c>
      <c r="K2124">
        <f t="shared" si="360"/>
        <v>60.983333333333341</v>
      </c>
      <c r="L2124">
        <f t="shared" si="361"/>
        <v>91.38</v>
      </c>
      <c r="M2124">
        <f t="shared" si="362"/>
        <v>15.275</v>
      </c>
      <c r="N2124">
        <f t="shared" si="363"/>
        <v>1.2975000000000001</v>
      </c>
      <c r="O2124">
        <f t="shared" si="364"/>
        <v>21.375000000000004</v>
      </c>
      <c r="P2124">
        <f t="shared" si="365"/>
        <v>10.454545454545455</v>
      </c>
      <c r="Q2124">
        <f t="shared" si="366"/>
        <v>44.194444444444443</v>
      </c>
      <c r="R2124">
        <f t="shared" si="367"/>
        <v>91.38</v>
      </c>
      <c r="S2124" t="str">
        <f t="shared" si="368"/>
        <v>Satisfactory</v>
      </c>
      <c r="T2124" t="str">
        <f t="shared" si="369"/>
        <v>PM10</v>
      </c>
    </row>
    <row r="2125" spans="1:20" x14ac:dyDescent="0.3">
      <c r="A2125" s="2" t="s">
        <v>15</v>
      </c>
      <c r="B2125">
        <v>560026</v>
      </c>
      <c r="C2125" s="5">
        <v>45682</v>
      </c>
      <c r="D2125" s="6">
        <v>43.72</v>
      </c>
      <c r="E2125" s="6">
        <v>109.34</v>
      </c>
      <c r="F2125" s="6">
        <v>12.22</v>
      </c>
      <c r="G2125" s="6">
        <v>5.24</v>
      </c>
      <c r="H2125" s="6">
        <v>18.18</v>
      </c>
      <c r="I2125" s="6">
        <v>1.19</v>
      </c>
      <c r="J2125" s="7">
        <v>40.58</v>
      </c>
      <c r="K2125">
        <f t="shared" si="360"/>
        <v>72.866666666666674</v>
      </c>
      <c r="L2125">
        <f t="shared" si="361"/>
        <v>106.22666666666667</v>
      </c>
      <c r="M2125">
        <f t="shared" si="362"/>
        <v>15.275</v>
      </c>
      <c r="N2125">
        <f t="shared" si="363"/>
        <v>1.31</v>
      </c>
      <c r="O2125">
        <f t="shared" si="364"/>
        <v>22.725000000000001</v>
      </c>
      <c r="P2125">
        <f t="shared" si="365"/>
        <v>13.522727272727272</v>
      </c>
      <c r="Q2125">
        <f t="shared" si="366"/>
        <v>37.574074074074076</v>
      </c>
      <c r="R2125">
        <f t="shared" si="367"/>
        <v>106.22666666666667</v>
      </c>
      <c r="S2125" t="str">
        <f t="shared" si="368"/>
        <v>Moderate</v>
      </c>
      <c r="T2125" t="str">
        <f t="shared" si="369"/>
        <v>PM10</v>
      </c>
    </row>
    <row r="2126" spans="1:20" x14ac:dyDescent="0.3">
      <c r="A2126" s="2" t="s">
        <v>15</v>
      </c>
      <c r="B2126">
        <v>560026</v>
      </c>
      <c r="C2126" s="5">
        <v>45683</v>
      </c>
      <c r="D2126" s="6">
        <v>33.4</v>
      </c>
      <c r="E2126" s="6">
        <v>83.42</v>
      </c>
      <c r="F2126" s="6">
        <v>12.2</v>
      </c>
      <c r="G2126" s="6">
        <v>5.23</v>
      </c>
      <c r="H2126" s="6">
        <v>12.55</v>
      </c>
      <c r="I2126" s="6">
        <v>0.98</v>
      </c>
      <c r="J2126" s="7">
        <v>35.9</v>
      </c>
      <c r="K2126">
        <f t="shared" si="360"/>
        <v>55.666666666666664</v>
      </c>
      <c r="L2126">
        <f t="shared" si="361"/>
        <v>83.42</v>
      </c>
      <c r="M2126">
        <f t="shared" si="362"/>
        <v>15.25</v>
      </c>
      <c r="N2126">
        <f t="shared" si="363"/>
        <v>1.3075000000000001</v>
      </c>
      <c r="O2126">
        <f t="shared" si="364"/>
        <v>15.6875</v>
      </c>
      <c r="P2126">
        <f t="shared" si="365"/>
        <v>11.136363636363637</v>
      </c>
      <c r="Q2126">
        <f t="shared" si="366"/>
        <v>33.24074074074074</v>
      </c>
      <c r="R2126">
        <f t="shared" si="367"/>
        <v>83.42</v>
      </c>
      <c r="S2126" t="str">
        <f t="shared" si="368"/>
        <v>Satisfactory</v>
      </c>
      <c r="T2126" t="str">
        <f t="shared" si="369"/>
        <v>PM10</v>
      </c>
    </row>
    <row r="2127" spans="1:20" x14ac:dyDescent="0.3">
      <c r="A2127" s="2" t="s">
        <v>15</v>
      </c>
      <c r="B2127">
        <v>560026</v>
      </c>
      <c r="C2127" s="5">
        <v>45684</v>
      </c>
      <c r="D2127" s="6">
        <v>35.729999999999997</v>
      </c>
      <c r="E2127" s="6">
        <v>89.53</v>
      </c>
      <c r="F2127" s="6">
        <v>12.31</v>
      </c>
      <c r="G2127" s="6">
        <v>5.22</v>
      </c>
      <c r="H2127" s="6">
        <v>10.36</v>
      </c>
      <c r="I2127" s="6">
        <v>1.07</v>
      </c>
      <c r="J2127" s="7">
        <v>41.1</v>
      </c>
      <c r="K2127">
        <f t="shared" si="360"/>
        <v>59.55</v>
      </c>
      <c r="L2127">
        <f t="shared" si="361"/>
        <v>89.53</v>
      </c>
      <c r="M2127">
        <f t="shared" si="362"/>
        <v>15.387499999999999</v>
      </c>
      <c r="N2127">
        <f t="shared" si="363"/>
        <v>1.3049999999999999</v>
      </c>
      <c r="O2127">
        <f t="shared" si="364"/>
        <v>12.95</v>
      </c>
      <c r="P2127">
        <f t="shared" si="365"/>
        <v>12.15909090909091</v>
      </c>
      <c r="Q2127">
        <f t="shared" si="366"/>
        <v>38.055555555555557</v>
      </c>
      <c r="R2127">
        <f t="shared" si="367"/>
        <v>89.53</v>
      </c>
      <c r="S2127" t="str">
        <f t="shared" si="368"/>
        <v>Satisfactory</v>
      </c>
      <c r="T2127" t="str">
        <f t="shared" si="369"/>
        <v>PM10</v>
      </c>
    </row>
    <row r="2128" spans="1:20" x14ac:dyDescent="0.3">
      <c r="A2128" s="2" t="s">
        <v>15</v>
      </c>
      <c r="B2128">
        <v>560026</v>
      </c>
      <c r="C2128" s="5">
        <v>45685</v>
      </c>
      <c r="D2128" s="6">
        <v>47.95</v>
      </c>
      <c r="E2128" s="6">
        <v>119.76</v>
      </c>
      <c r="F2128" s="6">
        <v>12.23</v>
      </c>
      <c r="G2128" s="6">
        <v>5.2</v>
      </c>
      <c r="H2128" s="6">
        <v>15.69</v>
      </c>
      <c r="I2128" s="6">
        <v>1.0900000000000001</v>
      </c>
      <c r="J2128" s="7">
        <v>73.64</v>
      </c>
      <c r="K2128">
        <f t="shared" si="360"/>
        <v>79.916666666666671</v>
      </c>
      <c r="L2128">
        <f t="shared" si="361"/>
        <v>113.17333333333333</v>
      </c>
      <c r="M2128">
        <f t="shared" si="362"/>
        <v>15.2875</v>
      </c>
      <c r="N2128">
        <f t="shared" si="363"/>
        <v>1.3</v>
      </c>
      <c r="O2128">
        <f t="shared" si="364"/>
        <v>19.612500000000001</v>
      </c>
      <c r="P2128">
        <f t="shared" si="365"/>
        <v>12.386363636363637</v>
      </c>
      <c r="Q2128">
        <f t="shared" si="366"/>
        <v>110.24000000000001</v>
      </c>
      <c r="R2128">
        <f t="shared" si="367"/>
        <v>113.17333333333333</v>
      </c>
      <c r="S2128" t="str">
        <f t="shared" si="368"/>
        <v>Moderate</v>
      </c>
      <c r="T2128" t="str">
        <f t="shared" si="369"/>
        <v>PM10</v>
      </c>
    </row>
    <row r="2129" spans="1:20" x14ac:dyDescent="0.3">
      <c r="A2129" s="2" t="s">
        <v>15</v>
      </c>
      <c r="B2129">
        <v>560026</v>
      </c>
      <c r="C2129" s="5">
        <v>45686</v>
      </c>
      <c r="D2129" s="6">
        <v>55.57</v>
      </c>
      <c r="E2129" s="6">
        <v>138.78</v>
      </c>
      <c r="F2129" s="6">
        <v>12.36</v>
      </c>
      <c r="G2129" s="6">
        <v>5.17</v>
      </c>
      <c r="H2129" s="6">
        <v>12.04</v>
      </c>
      <c r="I2129" s="6">
        <v>1.21</v>
      </c>
      <c r="J2129" s="7">
        <v>49.25</v>
      </c>
      <c r="K2129">
        <f t="shared" si="360"/>
        <v>92.616666666666674</v>
      </c>
      <c r="L2129">
        <f t="shared" si="361"/>
        <v>125.85333333333332</v>
      </c>
      <c r="M2129">
        <f t="shared" si="362"/>
        <v>15.45</v>
      </c>
      <c r="N2129">
        <f t="shared" si="363"/>
        <v>1.2925</v>
      </c>
      <c r="O2129">
        <f t="shared" si="364"/>
        <v>15.05</v>
      </c>
      <c r="P2129">
        <f t="shared" si="365"/>
        <v>13.75</v>
      </c>
      <c r="Q2129">
        <f t="shared" si="366"/>
        <v>45.601851851851855</v>
      </c>
      <c r="R2129">
        <f t="shared" si="367"/>
        <v>125.85333333333332</v>
      </c>
      <c r="S2129" t="str">
        <f t="shared" si="368"/>
        <v>Moderate</v>
      </c>
      <c r="T2129" t="str">
        <f t="shared" si="369"/>
        <v>PM10</v>
      </c>
    </row>
    <row r="2130" spans="1:20" x14ac:dyDescent="0.3">
      <c r="A2130" s="2" t="s">
        <v>15</v>
      </c>
      <c r="B2130">
        <v>560026</v>
      </c>
      <c r="C2130" s="5">
        <v>45687</v>
      </c>
      <c r="D2130" s="6">
        <v>41.09</v>
      </c>
      <c r="E2130" s="6">
        <v>102.83</v>
      </c>
      <c r="F2130" s="6">
        <v>12.22</v>
      </c>
      <c r="G2130" s="6">
        <v>5.19</v>
      </c>
      <c r="H2130" s="6">
        <v>12.15</v>
      </c>
      <c r="I2130" s="6">
        <v>1.5</v>
      </c>
      <c r="J2130" s="7">
        <v>55.4</v>
      </c>
      <c r="K2130">
        <f t="shared" si="360"/>
        <v>68.483333333333348</v>
      </c>
      <c r="L2130">
        <f t="shared" si="361"/>
        <v>101.88666666666667</v>
      </c>
      <c r="M2130">
        <f t="shared" si="362"/>
        <v>15.275</v>
      </c>
      <c r="N2130">
        <f t="shared" si="363"/>
        <v>1.2975000000000001</v>
      </c>
      <c r="O2130">
        <f t="shared" si="364"/>
        <v>15.1875</v>
      </c>
      <c r="P2130">
        <f t="shared" si="365"/>
        <v>17.045454545454547</v>
      </c>
      <c r="Q2130">
        <f t="shared" si="366"/>
        <v>52.306666666666665</v>
      </c>
      <c r="R2130">
        <f t="shared" si="367"/>
        <v>101.88666666666667</v>
      </c>
      <c r="S2130" t="str">
        <f t="shared" si="368"/>
        <v>Moderate</v>
      </c>
      <c r="T2130" t="str">
        <f t="shared" si="369"/>
        <v>PM10</v>
      </c>
    </row>
    <row r="2131" spans="1:20" x14ac:dyDescent="0.3">
      <c r="A2131" s="2" t="s">
        <v>15</v>
      </c>
      <c r="B2131">
        <v>560026</v>
      </c>
      <c r="C2131" s="5">
        <v>45688</v>
      </c>
      <c r="D2131" s="6">
        <v>28.8</v>
      </c>
      <c r="E2131" s="6">
        <v>72.12</v>
      </c>
      <c r="F2131" s="6">
        <v>12.24</v>
      </c>
      <c r="G2131" s="6">
        <v>5.19</v>
      </c>
      <c r="H2131" s="6">
        <v>21.25</v>
      </c>
      <c r="I2131" s="6">
        <v>0.78</v>
      </c>
      <c r="J2131" s="7">
        <v>53.41</v>
      </c>
      <c r="K2131">
        <f t="shared" si="360"/>
        <v>48</v>
      </c>
      <c r="L2131">
        <f t="shared" si="361"/>
        <v>72.12</v>
      </c>
      <c r="M2131">
        <f t="shared" si="362"/>
        <v>15.3</v>
      </c>
      <c r="N2131">
        <f t="shared" si="363"/>
        <v>1.2975000000000001</v>
      </c>
      <c r="O2131">
        <f t="shared" si="364"/>
        <v>26.5625</v>
      </c>
      <c r="P2131">
        <f t="shared" si="365"/>
        <v>8.8636363636363633</v>
      </c>
      <c r="Q2131">
        <f t="shared" si="366"/>
        <v>49.453703703703702</v>
      </c>
      <c r="R2131">
        <f t="shared" si="367"/>
        <v>72.12</v>
      </c>
      <c r="S2131" t="str">
        <f t="shared" si="368"/>
        <v>Satisfactory</v>
      </c>
      <c r="T2131" t="str">
        <f t="shared" si="369"/>
        <v>PM10</v>
      </c>
    </row>
    <row r="2132" spans="1:20" x14ac:dyDescent="0.3">
      <c r="A2132" s="2" t="s">
        <v>15</v>
      </c>
      <c r="B2132">
        <v>560026</v>
      </c>
      <c r="C2132" s="5">
        <v>45689</v>
      </c>
      <c r="D2132" s="6">
        <v>32.200000000000003</v>
      </c>
      <c r="E2132" s="6">
        <v>80.5</v>
      </c>
      <c r="F2132" s="6">
        <v>12.27</v>
      </c>
      <c r="G2132" s="6">
        <v>5.22</v>
      </c>
      <c r="H2132" s="6">
        <v>21.39</v>
      </c>
      <c r="I2132" s="6">
        <v>1</v>
      </c>
      <c r="J2132" s="7">
        <v>43.79</v>
      </c>
      <c r="K2132">
        <f t="shared" si="360"/>
        <v>53.666666666666671</v>
      </c>
      <c r="L2132">
        <f t="shared" si="361"/>
        <v>80.5</v>
      </c>
      <c r="M2132">
        <f t="shared" si="362"/>
        <v>15.3375</v>
      </c>
      <c r="N2132">
        <f t="shared" si="363"/>
        <v>1.3049999999999999</v>
      </c>
      <c r="O2132">
        <f t="shared" si="364"/>
        <v>26.737500000000001</v>
      </c>
      <c r="P2132">
        <f t="shared" si="365"/>
        <v>11.363636363636363</v>
      </c>
      <c r="Q2132">
        <f t="shared" si="366"/>
        <v>40.546296296296298</v>
      </c>
      <c r="R2132">
        <f t="shared" si="367"/>
        <v>80.5</v>
      </c>
      <c r="S2132" t="str">
        <f t="shared" si="368"/>
        <v>Satisfactory</v>
      </c>
      <c r="T2132" t="str">
        <f t="shared" si="369"/>
        <v>PM10</v>
      </c>
    </row>
    <row r="2133" spans="1:20" x14ac:dyDescent="0.3">
      <c r="A2133" s="2" t="s">
        <v>15</v>
      </c>
      <c r="B2133">
        <v>560026</v>
      </c>
      <c r="C2133" s="5">
        <v>45690</v>
      </c>
      <c r="D2133" s="6">
        <v>30.57</v>
      </c>
      <c r="E2133" s="6">
        <v>76.38</v>
      </c>
      <c r="F2133" s="6">
        <v>12.21</v>
      </c>
      <c r="G2133" s="6">
        <v>5.2</v>
      </c>
      <c r="H2133" s="6">
        <v>20.63</v>
      </c>
      <c r="I2133" s="6">
        <v>0.88</v>
      </c>
      <c r="J2133" s="7">
        <v>42.37</v>
      </c>
      <c r="K2133">
        <f t="shared" si="360"/>
        <v>50.95</v>
      </c>
      <c r="L2133">
        <f t="shared" si="361"/>
        <v>76.38</v>
      </c>
      <c r="M2133">
        <f t="shared" si="362"/>
        <v>15.262499999999999</v>
      </c>
      <c r="N2133">
        <f t="shared" si="363"/>
        <v>1.3</v>
      </c>
      <c r="O2133">
        <f t="shared" si="364"/>
        <v>25.787500000000001</v>
      </c>
      <c r="P2133">
        <f t="shared" si="365"/>
        <v>10</v>
      </c>
      <c r="Q2133">
        <f t="shared" si="366"/>
        <v>39.231481481481481</v>
      </c>
      <c r="R2133">
        <f t="shared" si="367"/>
        <v>76.38</v>
      </c>
      <c r="S2133" t="str">
        <f t="shared" si="368"/>
        <v>Satisfactory</v>
      </c>
      <c r="T2133" t="str">
        <f t="shared" si="369"/>
        <v>PM10</v>
      </c>
    </row>
    <row r="2134" spans="1:20" x14ac:dyDescent="0.3">
      <c r="A2134" s="2" t="s">
        <v>15</v>
      </c>
      <c r="B2134">
        <v>560026</v>
      </c>
      <c r="C2134" s="5">
        <v>45691</v>
      </c>
      <c r="D2134" s="6">
        <v>32.76</v>
      </c>
      <c r="E2134" s="6">
        <v>81.99</v>
      </c>
      <c r="F2134" s="6">
        <v>12.34</v>
      </c>
      <c r="G2134" s="6">
        <v>5.24</v>
      </c>
      <c r="H2134" s="6">
        <v>8.74</v>
      </c>
      <c r="I2134" s="6">
        <v>0.82</v>
      </c>
      <c r="J2134" s="7">
        <v>44.59</v>
      </c>
      <c r="K2134">
        <f t="shared" si="360"/>
        <v>54.599999999999994</v>
      </c>
      <c r="L2134">
        <f t="shared" si="361"/>
        <v>81.99</v>
      </c>
      <c r="M2134">
        <f t="shared" si="362"/>
        <v>15.425000000000001</v>
      </c>
      <c r="N2134">
        <f t="shared" si="363"/>
        <v>1.31</v>
      </c>
      <c r="O2134">
        <f t="shared" si="364"/>
        <v>10.925000000000001</v>
      </c>
      <c r="P2134">
        <f t="shared" si="365"/>
        <v>9.3181818181818166</v>
      </c>
      <c r="Q2134">
        <f t="shared" si="366"/>
        <v>41.287037037037038</v>
      </c>
      <c r="R2134">
        <f t="shared" si="367"/>
        <v>81.99</v>
      </c>
      <c r="S2134" t="str">
        <f t="shared" si="368"/>
        <v>Satisfactory</v>
      </c>
      <c r="T2134" t="str">
        <f t="shared" si="369"/>
        <v>PM10</v>
      </c>
    </row>
    <row r="2135" spans="1:20" x14ac:dyDescent="0.3">
      <c r="A2135" s="2" t="s">
        <v>15</v>
      </c>
      <c r="B2135">
        <v>560026</v>
      </c>
      <c r="C2135" s="5">
        <v>45692</v>
      </c>
      <c r="D2135" s="6">
        <v>36.520000000000003</v>
      </c>
      <c r="E2135" s="6">
        <v>91.35</v>
      </c>
      <c r="F2135" s="6">
        <v>11.9</v>
      </c>
      <c r="G2135" s="6">
        <v>5.18</v>
      </c>
      <c r="H2135" s="6">
        <v>15.14</v>
      </c>
      <c r="I2135" s="6">
        <v>0.8</v>
      </c>
      <c r="J2135" s="7">
        <v>40.630000000000003</v>
      </c>
      <c r="K2135">
        <f t="shared" si="360"/>
        <v>60.866666666666674</v>
      </c>
      <c r="L2135">
        <f t="shared" si="361"/>
        <v>91.35</v>
      </c>
      <c r="M2135">
        <f t="shared" si="362"/>
        <v>14.875</v>
      </c>
      <c r="N2135">
        <f t="shared" si="363"/>
        <v>1.2949999999999999</v>
      </c>
      <c r="O2135">
        <f t="shared" si="364"/>
        <v>18.925000000000001</v>
      </c>
      <c r="P2135">
        <f t="shared" si="365"/>
        <v>9.0909090909090917</v>
      </c>
      <c r="Q2135">
        <f t="shared" si="366"/>
        <v>37.620370370370374</v>
      </c>
      <c r="R2135">
        <f t="shared" si="367"/>
        <v>91.35</v>
      </c>
      <c r="S2135" t="str">
        <f t="shared" si="368"/>
        <v>Satisfactory</v>
      </c>
      <c r="T2135" t="str">
        <f t="shared" si="369"/>
        <v>PM10</v>
      </c>
    </row>
    <row r="2136" spans="1:20" x14ac:dyDescent="0.3">
      <c r="A2136" s="2" t="s">
        <v>15</v>
      </c>
      <c r="B2136">
        <v>560026</v>
      </c>
      <c r="C2136" s="5">
        <v>45693</v>
      </c>
      <c r="D2136" s="6">
        <v>44.66</v>
      </c>
      <c r="E2136" s="6">
        <v>111.57</v>
      </c>
      <c r="F2136" s="6">
        <v>13.9</v>
      </c>
      <c r="G2136" s="6">
        <v>6.7</v>
      </c>
      <c r="H2136" s="6">
        <v>15.33</v>
      </c>
      <c r="I2136" s="6">
        <v>0.92</v>
      </c>
      <c r="J2136" s="7">
        <v>62.99</v>
      </c>
      <c r="K2136">
        <f t="shared" si="360"/>
        <v>74.433333333333323</v>
      </c>
      <c r="L2136">
        <f t="shared" si="361"/>
        <v>107.71333333333332</v>
      </c>
      <c r="M2136">
        <f t="shared" si="362"/>
        <v>17.375</v>
      </c>
      <c r="N2136">
        <f t="shared" si="363"/>
        <v>1.675</v>
      </c>
      <c r="O2136">
        <f t="shared" si="364"/>
        <v>19.162500000000001</v>
      </c>
      <c r="P2136">
        <f t="shared" si="365"/>
        <v>10.454545454545455</v>
      </c>
      <c r="Q2136">
        <f t="shared" si="366"/>
        <v>77.100666666666669</v>
      </c>
      <c r="R2136">
        <f t="shared" si="367"/>
        <v>107.71333333333332</v>
      </c>
      <c r="S2136" t="str">
        <f t="shared" si="368"/>
        <v>Moderate</v>
      </c>
      <c r="T2136" t="str">
        <f t="shared" si="369"/>
        <v>PM10</v>
      </c>
    </row>
    <row r="2137" spans="1:20" x14ac:dyDescent="0.3">
      <c r="A2137" s="2" t="s">
        <v>15</v>
      </c>
      <c r="B2137">
        <v>560026</v>
      </c>
      <c r="C2137" s="5">
        <v>45694</v>
      </c>
      <c r="D2137" s="6">
        <v>37.479999999999997</v>
      </c>
      <c r="E2137" s="6">
        <v>93.68</v>
      </c>
      <c r="F2137" s="6">
        <v>21.93</v>
      </c>
      <c r="G2137" s="6">
        <v>11.15</v>
      </c>
      <c r="H2137" s="6">
        <v>21.96</v>
      </c>
      <c r="I2137" s="6">
        <v>0.87</v>
      </c>
      <c r="J2137" s="7">
        <v>39.74</v>
      </c>
      <c r="K2137">
        <f t="shared" si="360"/>
        <v>62.466666666666661</v>
      </c>
      <c r="L2137">
        <f t="shared" si="361"/>
        <v>93.68</v>
      </c>
      <c r="M2137">
        <f t="shared" si="362"/>
        <v>27.412500000000001</v>
      </c>
      <c r="N2137">
        <f t="shared" si="363"/>
        <v>2.7875000000000001</v>
      </c>
      <c r="O2137">
        <f t="shared" si="364"/>
        <v>27.45</v>
      </c>
      <c r="P2137">
        <f t="shared" si="365"/>
        <v>9.8863636363636367</v>
      </c>
      <c r="Q2137">
        <f t="shared" si="366"/>
        <v>36.796296296296298</v>
      </c>
      <c r="R2137">
        <f t="shared" si="367"/>
        <v>93.68</v>
      </c>
      <c r="S2137" t="str">
        <f t="shared" si="368"/>
        <v>Satisfactory</v>
      </c>
      <c r="T2137" t="str">
        <f t="shared" si="369"/>
        <v>PM10</v>
      </c>
    </row>
    <row r="2138" spans="1:20" x14ac:dyDescent="0.3">
      <c r="A2138" s="2" t="s">
        <v>15</v>
      </c>
      <c r="B2138">
        <v>560026</v>
      </c>
      <c r="C2138" s="5">
        <v>45695</v>
      </c>
      <c r="D2138" s="6">
        <v>35.72</v>
      </c>
      <c r="E2138" s="6">
        <v>89.4</v>
      </c>
      <c r="F2138" s="6">
        <v>23.09</v>
      </c>
      <c r="G2138" s="6">
        <v>9.35</v>
      </c>
      <c r="H2138" s="6">
        <v>16.690000000000001</v>
      </c>
      <c r="I2138" s="6">
        <v>0.77</v>
      </c>
      <c r="J2138" s="7">
        <v>33.36</v>
      </c>
      <c r="K2138">
        <f t="shared" si="360"/>
        <v>59.533333333333331</v>
      </c>
      <c r="L2138">
        <f t="shared" si="361"/>
        <v>89.4</v>
      </c>
      <c r="M2138">
        <f t="shared" si="362"/>
        <v>28.862500000000001</v>
      </c>
      <c r="N2138">
        <f t="shared" si="363"/>
        <v>2.3374999999999999</v>
      </c>
      <c r="O2138">
        <f t="shared" si="364"/>
        <v>20.862500000000004</v>
      </c>
      <c r="P2138">
        <f t="shared" si="365"/>
        <v>8.75</v>
      </c>
      <c r="Q2138">
        <f t="shared" si="366"/>
        <v>30.888888888888889</v>
      </c>
      <c r="R2138">
        <f t="shared" si="367"/>
        <v>89.4</v>
      </c>
      <c r="S2138" t="str">
        <f t="shared" si="368"/>
        <v>Satisfactory</v>
      </c>
      <c r="T2138" t="str">
        <f t="shared" si="369"/>
        <v>PM10</v>
      </c>
    </row>
    <row r="2139" spans="1:20" x14ac:dyDescent="0.3">
      <c r="A2139" s="2" t="s">
        <v>15</v>
      </c>
      <c r="B2139">
        <v>560026</v>
      </c>
      <c r="C2139" s="5">
        <v>45696</v>
      </c>
      <c r="D2139" s="6">
        <v>45.16</v>
      </c>
      <c r="E2139" s="6">
        <v>112.72</v>
      </c>
      <c r="F2139" s="6">
        <v>12.06</v>
      </c>
      <c r="G2139" s="6">
        <v>8.24</v>
      </c>
      <c r="H2139" s="6">
        <v>20.62</v>
      </c>
      <c r="I2139" s="6">
        <v>1.01</v>
      </c>
      <c r="J2139" s="7">
        <v>53.81</v>
      </c>
      <c r="K2139">
        <f t="shared" si="360"/>
        <v>75.266666666666652</v>
      </c>
      <c r="L2139">
        <f t="shared" si="361"/>
        <v>108.48</v>
      </c>
      <c r="M2139">
        <f t="shared" si="362"/>
        <v>15.074999999999999</v>
      </c>
      <c r="N2139">
        <f t="shared" si="363"/>
        <v>2.06</v>
      </c>
      <c r="O2139">
        <f t="shared" si="364"/>
        <v>25.774999999999999</v>
      </c>
      <c r="P2139">
        <f t="shared" si="365"/>
        <v>11.477272727272727</v>
      </c>
      <c r="Q2139">
        <f t="shared" si="366"/>
        <v>49.824074074074076</v>
      </c>
      <c r="R2139">
        <f t="shared" si="367"/>
        <v>108.48</v>
      </c>
      <c r="S2139" t="str">
        <f t="shared" si="368"/>
        <v>Moderate</v>
      </c>
      <c r="T2139" t="str">
        <f t="shared" si="369"/>
        <v>PM10</v>
      </c>
    </row>
    <row r="2140" spans="1:20" x14ac:dyDescent="0.3">
      <c r="A2140" s="2" t="s">
        <v>15</v>
      </c>
      <c r="B2140">
        <v>560026</v>
      </c>
      <c r="C2140" s="5">
        <v>45697</v>
      </c>
      <c r="D2140" s="6">
        <v>53.83</v>
      </c>
      <c r="E2140" s="6">
        <v>134.4</v>
      </c>
      <c r="F2140" s="6">
        <v>12.11</v>
      </c>
      <c r="G2140" s="6">
        <v>8.31</v>
      </c>
      <c r="H2140" s="6">
        <v>15.1</v>
      </c>
      <c r="I2140" s="6">
        <v>0.7</v>
      </c>
      <c r="J2140" s="7">
        <v>84.42</v>
      </c>
      <c r="K2140">
        <f t="shared" si="360"/>
        <v>89.716666666666669</v>
      </c>
      <c r="L2140">
        <f t="shared" si="361"/>
        <v>122.93333333333334</v>
      </c>
      <c r="M2140">
        <f t="shared" si="362"/>
        <v>15.137499999999999</v>
      </c>
      <c r="N2140">
        <f t="shared" si="363"/>
        <v>2.0775000000000001</v>
      </c>
      <c r="O2140">
        <f t="shared" si="364"/>
        <v>18.875</v>
      </c>
      <c r="P2140">
        <f t="shared" si="365"/>
        <v>7.9545454545454541</v>
      </c>
      <c r="Q2140">
        <f t="shared" si="366"/>
        <v>147.97</v>
      </c>
      <c r="R2140">
        <f t="shared" si="367"/>
        <v>147.97</v>
      </c>
      <c r="S2140" t="str">
        <f t="shared" si="368"/>
        <v>Moderate</v>
      </c>
      <c r="T2140" t="str">
        <f t="shared" si="369"/>
        <v>OZONE</v>
      </c>
    </row>
    <row r="2141" spans="1:20" x14ac:dyDescent="0.3">
      <c r="A2141" s="2" t="s">
        <v>15</v>
      </c>
      <c r="B2141">
        <v>560026</v>
      </c>
      <c r="C2141" s="5">
        <v>45698</v>
      </c>
      <c r="D2141" s="6">
        <v>51.41</v>
      </c>
      <c r="E2141" s="6">
        <v>128.38</v>
      </c>
      <c r="F2141" s="6">
        <v>12.3</v>
      </c>
      <c r="G2141" s="6">
        <v>8.65</v>
      </c>
      <c r="H2141" s="6">
        <v>13.48</v>
      </c>
      <c r="I2141" s="6">
        <v>1.24</v>
      </c>
      <c r="J2141" s="7">
        <v>59.9</v>
      </c>
      <c r="K2141">
        <f t="shared" si="360"/>
        <v>85.683333333333323</v>
      </c>
      <c r="L2141">
        <f t="shared" si="361"/>
        <v>118.92</v>
      </c>
      <c r="M2141">
        <f t="shared" si="362"/>
        <v>15.375</v>
      </c>
      <c r="N2141">
        <f t="shared" si="363"/>
        <v>2.1625000000000001</v>
      </c>
      <c r="O2141">
        <f t="shared" si="364"/>
        <v>16.850000000000001</v>
      </c>
      <c r="P2141">
        <f t="shared" si="365"/>
        <v>14.09090909090909</v>
      </c>
      <c r="Q2141">
        <f t="shared" si="366"/>
        <v>67.006666666666661</v>
      </c>
      <c r="R2141">
        <f t="shared" si="367"/>
        <v>118.92</v>
      </c>
      <c r="S2141" t="str">
        <f t="shared" si="368"/>
        <v>Moderate</v>
      </c>
      <c r="T2141" t="str">
        <f t="shared" si="369"/>
        <v>PM10</v>
      </c>
    </row>
    <row r="2142" spans="1:20" x14ac:dyDescent="0.3">
      <c r="A2142" s="2" t="s">
        <v>15</v>
      </c>
      <c r="B2142">
        <v>560026</v>
      </c>
      <c r="C2142" s="5">
        <v>45699</v>
      </c>
      <c r="D2142" s="6">
        <v>46.25</v>
      </c>
      <c r="E2142" s="6">
        <v>115.7</v>
      </c>
      <c r="F2142" s="6">
        <v>12.91</v>
      </c>
      <c r="G2142" s="6">
        <v>8.59</v>
      </c>
      <c r="H2142" s="6">
        <v>16.57</v>
      </c>
      <c r="I2142" s="6">
        <v>1.04</v>
      </c>
      <c r="J2142" s="7">
        <v>39.229999999999997</v>
      </c>
      <c r="K2142">
        <f t="shared" si="360"/>
        <v>77.083333333333329</v>
      </c>
      <c r="L2142">
        <f t="shared" si="361"/>
        <v>110.46666666666667</v>
      </c>
      <c r="M2142">
        <f t="shared" si="362"/>
        <v>16.137499999999999</v>
      </c>
      <c r="N2142">
        <f t="shared" si="363"/>
        <v>2.1475</v>
      </c>
      <c r="O2142">
        <f t="shared" si="364"/>
        <v>20.712499999999999</v>
      </c>
      <c r="P2142">
        <f t="shared" si="365"/>
        <v>11.818181818181818</v>
      </c>
      <c r="Q2142">
        <f t="shared" si="366"/>
        <v>36.324074074074069</v>
      </c>
      <c r="R2142">
        <f t="shared" si="367"/>
        <v>110.46666666666667</v>
      </c>
      <c r="S2142" t="str">
        <f t="shared" si="368"/>
        <v>Moderate</v>
      </c>
      <c r="T2142" t="str">
        <f t="shared" si="369"/>
        <v>PM10</v>
      </c>
    </row>
    <row r="2143" spans="1:20" x14ac:dyDescent="0.3">
      <c r="A2143" s="2" t="s">
        <v>15</v>
      </c>
      <c r="B2143">
        <v>560026</v>
      </c>
      <c r="C2143" s="5">
        <v>45700</v>
      </c>
      <c r="D2143" s="6">
        <v>48.98</v>
      </c>
      <c r="E2143" s="6">
        <v>122.53</v>
      </c>
      <c r="F2143" s="6">
        <v>9.6300000000000008</v>
      </c>
      <c r="G2143" s="6">
        <v>6.96</v>
      </c>
      <c r="H2143" s="6">
        <v>18.27</v>
      </c>
      <c r="I2143" s="6">
        <v>1.0900000000000001</v>
      </c>
      <c r="J2143" s="7">
        <v>33.44</v>
      </c>
      <c r="K2143">
        <f t="shared" si="360"/>
        <v>81.633333333333326</v>
      </c>
      <c r="L2143">
        <f t="shared" si="361"/>
        <v>115.02</v>
      </c>
      <c r="M2143">
        <f t="shared" si="362"/>
        <v>12.037500000000001</v>
      </c>
      <c r="N2143">
        <f t="shared" si="363"/>
        <v>1.74</v>
      </c>
      <c r="O2143">
        <f t="shared" si="364"/>
        <v>22.837499999999999</v>
      </c>
      <c r="P2143">
        <f t="shared" si="365"/>
        <v>12.386363636363637</v>
      </c>
      <c r="Q2143">
        <f t="shared" si="366"/>
        <v>30.962962962962962</v>
      </c>
      <c r="R2143">
        <f t="shared" si="367"/>
        <v>115.02</v>
      </c>
      <c r="S2143" t="str">
        <f t="shared" si="368"/>
        <v>Moderate</v>
      </c>
      <c r="T2143" t="str">
        <f t="shared" si="369"/>
        <v>PM10</v>
      </c>
    </row>
    <row r="2144" spans="1:20" x14ac:dyDescent="0.3">
      <c r="A2144" s="2" t="s">
        <v>15</v>
      </c>
      <c r="B2144">
        <v>560026</v>
      </c>
      <c r="C2144" s="5">
        <v>45701</v>
      </c>
      <c r="D2144" s="6">
        <v>50.86</v>
      </c>
      <c r="E2144" s="6">
        <v>127.5</v>
      </c>
      <c r="F2144" s="6">
        <v>9.43</v>
      </c>
      <c r="G2144" s="6">
        <v>6.96</v>
      </c>
      <c r="H2144" s="6">
        <v>32.58</v>
      </c>
      <c r="I2144" s="6">
        <v>1.2</v>
      </c>
      <c r="J2144" s="7">
        <v>44.32</v>
      </c>
      <c r="K2144">
        <f t="shared" si="360"/>
        <v>84.766666666666666</v>
      </c>
      <c r="L2144">
        <f t="shared" si="361"/>
        <v>118.33333333333333</v>
      </c>
      <c r="M2144">
        <f t="shared" si="362"/>
        <v>11.7875</v>
      </c>
      <c r="N2144">
        <f t="shared" si="363"/>
        <v>1.74</v>
      </c>
      <c r="O2144">
        <f t="shared" si="364"/>
        <v>40.725000000000001</v>
      </c>
      <c r="P2144">
        <f t="shared" si="365"/>
        <v>13.636363636363635</v>
      </c>
      <c r="Q2144">
        <f t="shared" si="366"/>
        <v>41.037037037037038</v>
      </c>
      <c r="R2144">
        <f t="shared" si="367"/>
        <v>118.33333333333333</v>
      </c>
      <c r="S2144" t="str">
        <f t="shared" si="368"/>
        <v>Moderate</v>
      </c>
      <c r="T2144" t="str">
        <f t="shared" si="369"/>
        <v>PM10</v>
      </c>
    </row>
    <row r="2145" spans="1:20" x14ac:dyDescent="0.3">
      <c r="A2145" s="2" t="s">
        <v>15</v>
      </c>
      <c r="B2145">
        <v>560026</v>
      </c>
      <c r="C2145" s="5">
        <v>45702</v>
      </c>
      <c r="D2145" s="6">
        <v>48.88</v>
      </c>
      <c r="E2145" s="6">
        <v>122.1</v>
      </c>
      <c r="F2145" s="6">
        <v>9.42</v>
      </c>
      <c r="G2145" s="6">
        <v>7.01</v>
      </c>
      <c r="H2145" s="6">
        <v>33.06</v>
      </c>
      <c r="I2145" s="6">
        <v>1.1599999999999999</v>
      </c>
      <c r="J2145" s="7">
        <v>41.84</v>
      </c>
      <c r="K2145">
        <f t="shared" si="360"/>
        <v>81.466666666666669</v>
      </c>
      <c r="L2145">
        <f t="shared" si="361"/>
        <v>114.73333333333333</v>
      </c>
      <c r="M2145">
        <f t="shared" si="362"/>
        <v>11.775</v>
      </c>
      <c r="N2145">
        <f t="shared" si="363"/>
        <v>1.7524999999999999</v>
      </c>
      <c r="O2145">
        <f t="shared" si="364"/>
        <v>41.325000000000003</v>
      </c>
      <c r="P2145">
        <f t="shared" si="365"/>
        <v>13.18181818181818</v>
      </c>
      <c r="Q2145">
        <f t="shared" si="366"/>
        <v>38.740740740740748</v>
      </c>
      <c r="R2145">
        <f t="shared" si="367"/>
        <v>114.73333333333333</v>
      </c>
      <c r="S2145" t="str">
        <f t="shared" si="368"/>
        <v>Moderate</v>
      </c>
      <c r="T2145" t="str">
        <f t="shared" si="369"/>
        <v>PM10</v>
      </c>
    </row>
    <row r="2146" spans="1:20" x14ac:dyDescent="0.3">
      <c r="A2146" s="2" t="s">
        <v>15</v>
      </c>
      <c r="B2146">
        <v>560026</v>
      </c>
      <c r="C2146" s="5">
        <v>45703</v>
      </c>
      <c r="D2146" s="6">
        <v>43.95</v>
      </c>
      <c r="E2146" s="6">
        <v>109.81</v>
      </c>
      <c r="F2146" s="6">
        <v>9.39</v>
      </c>
      <c r="G2146" s="6">
        <v>7.02</v>
      </c>
      <c r="H2146" s="6">
        <v>31.82</v>
      </c>
      <c r="I2146" s="6">
        <v>1.28</v>
      </c>
      <c r="J2146" s="7">
        <v>57.33</v>
      </c>
      <c r="K2146">
        <f t="shared" si="360"/>
        <v>73.25</v>
      </c>
      <c r="L2146">
        <f t="shared" si="361"/>
        <v>106.54</v>
      </c>
      <c r="M2146">
        <f t="shared" si="362"/>
        <v>11.737500000000001</v>
      </c>
      <c r="N2146">
        <f t="shared" si="363"/>
        <v>1.7549999999999999</v>
      </c>
      <c r="O2146">
        <f t="shared" si="364"/>
        <v>39.774999999999999</v>
      </c>
      <c r="P2146">
        <f t="shared" si="365"/>
        <v>14.545454545454545</v>
      </c>
      <c r="Q2146">
        <f t="shared" si="366"/>
        <v>58.611333333333327</v>
      </c>
      <c r="R2146">
        <f t="shared" si="367"/>
        <v>106.54</v>
      </c>
      <c r="S2146" t="str">
        <f t="shared" si="368"/>
        <v>Moderate</v>
      </c>
      <c r="T2146" t="str">
        <f t="shared" si="369"/>
        <v>PM10</v>
      </c>
    </row>
    <row r="2147" spans="1:20" x14ac:dyDescent="0.3">
      <c r="A2147" s="2" t="s">
        <v>15</v>
      </c>
      <c r="B2147">
        <v>560026</v>
      </c>
      <c r="C2147" s="5">
        <v>45704</v>
      </c>
      <c r="D2147" s="6">
        <v>45.78</v>
      </c>
      <c r="E2147" s="6">
        <v>114.44</v>
      </c>
      <c r="F2147" s="6">
        <v>9.3699999999999992</v>
      </c>
      <c r="G2147" s="6">
        <v>6.99</v>
      </c>
      <c r="H2147" s="6">
        <v>26.61</v>
      </c>
      <c r="I2147" s="6">
        <v>1.05</v>
      </c>
      <c r="J2147" s="7">
        <v>51.14</v>
      </c>
      <c r="K2147">
        <f t="shared" si="360"/>
        <v>76.3</v>
      </c>
      <c r="L2147">
        <f t="shared" si="361"/>
        <v>109.62666666666667</v>
      </c>
      <c r="M2147">
        <f t="shared" si="362"/>
        <v>11.712499999999999</v>
      </c>
      <c r="N2147">
        <f t="shared" si="363"/>
        <v>1.7475000000000001</v>
      </c>
      <c r="O2147">
        <f t="shared" si="364"/>
        <v>33.262500000000003</v>
      </c>
      <c r="P2147">
        <f t="shared" si="365"/>
        <v>11.931818181818182</v>
      </c>
      <c r="Q2147">
        <f t="shared" si="366"/>
        <v>47.351851851851855</v>
      </c>
      <c r="R2147">
        <f t="shared" si="367"/>
        <v>109.62666666666667</v>
      </c>
      <c r="S2147" t="str">
        <f t="shared" si="368"/>
        <v>Moderate</v>
      </c>
      <c r="T2147" t="str">
        <f t="shared" si="369"/>
        <v>PM10</v>
      </c>
    </row>
    <row r="2148" spans="1:20" x14ac:dyDescent="0.3">
      <c r="A2148" s="2" t="s">
        <v>15</v>
      </c>
      <c r="B2148">
        <v>560026</v>
      </c>
      <c r="C2148" s="5">
        <v>45705</v>
      </c>
      <c r="D2148" s="6">
        <v>54.11</v>
      </c>
      <c r="E2148" s="6">
        <v>97.17</v>
      </c>
      <c r="F2148" s="6">
        <v>9.36</v>
      </c>
      <c r="G2148" s="6">
        <v>7</v>
      </c>
      <c r="H2148" s="6">
        <v>23.73</v>
      </c>
      <c r="I2148" s="6">
        <v>0.98</v>
      </c>
      <c r="J2148" s="7">
        <v>27.13</v>
      </c>
      <c r="K2148">
        <f t="shared" si="360"/>
        <v>90.183333333333337</v>
      </c>
      <c r="L2148">
        <f t="shared" si="361"/>
        <v>97.17</v>
      </c>
      <c r="M2148">
        <f t="shared" si="362"/>
        <v>11.7</v>
      </c>
      <c r="N2148">
        <f t="shared" si="363"/>
        <v>1.75</v>
      </c>
      <c r="O2148">
        <f t="shared" si="364"/>
        <v>29.662500000000001</v>
      </c>
      <c r="P2148">
        <f t="shared" si="365"/>
        <v>11.136363636363637</v>
      </c>
      <c r="Q2148">
        <f t="shared" si="366"/>
        <v>25.12037037037037</v>
      </c>
      <c r="R2148">
        <f t="shared" si="367"/>
        <v>97.17</v>
      </c>
      <c r="S2148" t="str">
        <f t="shared" si="368"/>
        <v>Satisfactory</v>
      </c>
      <c r="T2148" t="str">
        <f t="shared" si="369"/>
        <v>PM10</v>
      </c>
    </row>
    <row r="2149" spans="1:20" x14ac:dyDescent="0.3">
      <c r="A2149" s="2" t="s">
        <v>15</v>
      </c>
      <c r="B2149">
        <v>560026</v>
      </c>
      <c r="C2149" s="5">
        <v>45706</v>
      </c>
      <c r="D2149" s="6">
        <v>39.619999999999997</v>
      </c>
      <c r="E2149" s="6">
        <v>98.84</v>
      </c>
      <c r="F2149" s="6">
        <v>9.3800000000000008</v>
      </c>
      <c r="G2149" s="6">
        <v>6.99</v>
      </c>
      <c r="H2149" s="6">
        <v>18.89</v>
      </c>
      <c r="I2149" s="6">
        <v>1.08</v>
      </c>
      <c r="J2149" s="7">
        <v>29.88</v>
      </c>
      <c r="K2149">
        <f t="shared" si="360"/>
        <v>66.033333333333331</v>
      </c>
      <c r="L2149">
        <f t="shared" si="361"/>
        <v>98.84</v>
      </c>
      <c r="M2149">
        <f t="shared" si="362"/>
        <v>11.725000000000001</v>
      </c>
      <c r="N2149">
        <f t="shared" si="363"/>
        <v>1.7475000000000001</v>
      </c>
      <c r="O2149">
        <f t="shared" si="364"/>
        <v>23.612500000000001</v>
      </c>
      <c r="P2149">
        <f t="shared" si="365"/>
        <v>12.272727272727273</v>
      </c>
      <c r="Q2149">
        <f t="shared" si="366"/>
        <v>27.666666666666664</v>
      </c>
      <c r="R2149">
        <f t="shared" si="367"/>
        <v>98.84</v>
      </c>
      <c r="S2149" t="str">
        <f t="shared" si="368"/>
        <v>Satisfactory</v>
      </c>
      <c r="T2149" t="str">
        <f t="shared" si="369"/>
        <v>PM10</v>
      </c>
    </row>
    <row r="2150" spans="1:20" x14ac:dyDescent="0.3">
      <c r="A2150" s="2" t="s">
        <v>15</v>
      </c>
      <c r="B2150">
        <v>560026</v>
      </c>
      <c r="C2150" s="5">
        <v>45707</v>
      </c>
      <c r="D2150" s="6">
        <v>43.92</v>
      </c>
      <c r="E2150" s="6">
        <v>113.65</v>
      </c>
      <c r="F2150" s="6">
        <v>9.4</v>
      </c>
      <c r="G2150" s="6">
        <v>7.01</v>
      </c>
      <c r="H2150" s="6">
        <v>34.4</v>
      </c>
      <c r="I2150" s="6">
        <v>0.96</v>
      </c>
      <c r="J2150" s="7">
        <v>28.85</v>
      </c>
      <c r="K2150">
        <f t="shared" si="360"/>
        <v>73.2</v>
      </c>
      <c r="L2150">
        <f t="shared" si="361"/>
        <v>109.10000000000001</v>
      </c>
      <c r="M2150">
        <f t="shared" si="362"/>
        <v>11.75</v>
      </c>
      <c r="N2150">
        <f t="shared" si="363"/>
        <v>1.7524999999999999</v>
      </c>
      <c r="O2150">
        <f t="shared" si="364"/>
        <v>43</v>
      </c>
      <c r="P2150">
        <f t="shared" si="365"/>
        <v>10.909090909090908</v>
      </c>
      <c r="Q2150">
        <f t="shared" si="366"/>
        <v>26.712962962962965</v>
      </c>
      <c r="R2150">
        <f t="shared" si="367"/>
        <v>109.10000000000001</v>
      </c>
      <c r="S2150" t="str">
        <f t="shared" si="368"/>
        <v>Moderate</v>
      </c>
      <c r="T2150" t="str">
        <f t="shared" si="369"/>
        <v>PM10</v>
      </c>
    </row>
    <row r="2151" spans="1:20" x14ac:dyDescent="0.3">
      <c r="A2151" s="2" t="s">
        <v>15</v>
      </c>
      <c r="B2151">
        <v>560026</v>
      </c>
      <c r="C2151" s="5">
        <v>45708</v>
      </c>
      <c r="D2151" s="6">
        <v>40.18</v>
      </c>
      <c r="E2151" s="6">
        <v>106.1</v>
      </c>
      <c r="F2151" s="6">
        <v>9.41</v>
      </c>
      <c r="G2151" s="6">
        <v>6.99</v>
      </c>
      <c r="H2151" s="6">
        <v>37.619999999999997</v>
      </c>
      <c r="I2151" s="6">
        <v>0.62</v>
      </c>
      <c r="J2151" s="7">
        <v>30.79</v>
      </c>
      <c r="K2151">
        <f t="shared" si="360"/>
        <v>66.966666666666669</v>
      </c>
      <c r="L2151">
        <f t="shared" si="361"/>
        <v>104.06666666666666</v>
      </c>
      <c r="M2151">
        <f t="shared" si="362"/>
        <v>11.762499999999999</v>
      </c>
      <c r="N2151">
        <f t="shared" si="363"/>
        <v>1.7475000000000001</v>
      </c>
      <c r="O2151">
        <f t="shared" si="364"/>
        <v>47.024999999999991</v>
      </c>
      <c r="P2151">
        <f t="shared" si="365"/>
        <v>7.045454545454545</v>
      </c>
      <c r="Q2151">
        <f t="shared" si="366"/>
        <v>28.50925925925926</v>
      </c>
      <c r="R2151">
        <f t="shared" si="367"/>
        <v>104.06666666666666</v>
      </c>
      <c r="S2151" t="str">
        <f t="shared" si="368"/>
        <v>Moderate</v>
      </c>
      <c r="T2151" t="str">
        <f t="shared" si="369"/>
        <v>PM10</v>
      </c>
    </row>
    <row r="2152" spans="1:20" x14ac:dyDescent="0.3">
      <c r="A2152" s="2" t="s">
        <v>15</v>
      </c>
      <c r="B2152">
        <v>560026</v>
      </c>
      <c r="C2152" s="5">
        <v>45709</v>
      </c>
      <c r="D2152" s="6">
        <v>42.63</v>
      </c>
      <c r="E2152" s="6">
        <v>114.89</v>
      </c>
      <c r="F2152" s="6">
        <v>9.39</v>
      </c>
      <c r="G2152" s="6">
        <v>7.01</v>
      </c>
      <c r="H2152" s="6">
        <v>25.53</v>
      </c>
      <c r="I2152" s="6">
        <v>0.84</v>
      </c>
      <c r="J2152" s="7">
        <v>24.57</v>
      </c>
      <c r="K2152">
        <f t="shared" si="360"/>
        <v>71.050000000000011</v>
      </c>
      <c r="L2152">
        <f t="shared" si="361"/>
        <v>109.92666666666666</v>
      </c>
      <c r="M2152">
        <f t="shared" si="362"/>
        <v>11.737500000000001</v>
      </c>
      <c r="N2152">
        <f t="shared" si="363"/>
        <v>1.7524999999999999</v>
      </c>
      <c r="O2152">
        <f t="shared" si="364"/>
        <v>31.912500000000001</v>
      </c>
      <c r="P2152">
        <f t="shared" si="365"/>
        <v>9.545454545454545</v>
      </c>
      <c r="Q2152">
        <f t="shared" si="366"/>
        <v>22.75</v>
      </c>
      <c r="R2152">
        <f t="shared" si="367"/>
        <v>109.92666666666666</v>
      </c>
      <c r="S2152" t="str">
        <f t="shared" si="368"/>
        <v>Moderate</v>
      </c>
      <c r="T2152" t="str">
        <f t="shared" si="369"/>
        <v>PM10</v>
      </c>
    </row>
    <row r="2153" spans="1:20" x14ac:dyDescent="0.3">
      <c r="A2153" s="2" t="s">
        <v>15</v>
      </c>
      <c r="B2153">
        <v>560026</v>
      </c>
      <c r="C2153" s="5">
        <v>45710</v>
      </c>
      <c r="D2153" s="6">
        <v>65.33</v>
      </c>
      <c r="E2153" s="6">
        <v>106.52</v>
      </c>
      <c r="F2153" s="6">
        <v>9.43</v>
      </c>
      <c r="G2153" s="6">
        <v>6.98</v>
      </c>
      <c r="H2153" s="6">
        <v>28.44</v>
      </c>
      <c r="I2153" s="6">
        <v>1.08</v>
      </c>
      <c r="J2153" s="7">
        <v>23.54</v>
      </c>
      <c r="K2153">
        <f t="shared" si="360"/>
        <v>117.76666666666665</v>
      </c>
      <c r="L2153">
        <f t="shared" si="361"/>
        <v>104.34666666666666</v>
      </c>
      <c r="M2153">
        <f t="shared" si="362"/>
        <v>11.7875</v>
      </c>
      <c r="N2153">
        <f t="shared" si="363"/>
        <v>1.7450000000000001</v>
      </c>
      <c r="O2153">
        <f t="shared" si="364"/>
        <v>35.549999999999997</v>
      </c>
      <c r="P2153">
        <f t="shared" si="365"/>
        <v>12.272727272727273</v>
      </c>
      <c r="Q2153">
        <f t="shared" si="366"/>
        <v>21.796296296296294</v>
      </c>
      <c r="R2153">
        <f t="shared" si="367"/>
        <v>117.76666666666665</v>
      </c>
      <c r="S2153" t="str">
        <f t="shared" si="368"/>
        <v>Moderate</v>
      </c>
      <c r="T2153" t="str">
        <f t="shared" si="369"/>
        <v>PM2.5</v>
      </c>
    </row>
    <row r="2154" spans="1:20" x14ac:dyDescent="0.3">
      <c r="A2154" s="2" t="s">
        <v>15</v>
      </c>
      <c r="B2154">
        <v>560026</v>
      </c>
      <c r="C2154" s="5">
        <v>45711</v>
      </c>
      <c r="D2154" s="6">
        <v>28.549836070000001</v>
      </c>
      <c r="E2154" s="6">
        <v>111.03</v>
      </c>
      <c r="F2154" s="6">
        <v>9.43</v>
      </c>
      <c r="G2154" s="6">
        <v>7.01</v>
      </c>
      <c r="H2154" s="6">
        <v>27.23</v>
      </c>
      <c r="I2154" s="6">
        <v>0.65</v>
      </c>
      <c r="J2154" s="7">
        <v>23.2</v>
      </c>
      <c r="K2154">
        <f t="shared" si="360"/>
        <v>47.583060116666665</v>
      </c>
      <c r="L2154">
        <f t="shared" si="361"/>
        <v>107.35333333333334</v>
      </c>
      <c r="M2154">
        <f t="shared" si="362"/>
        <v>11.7875</v>
      </c>
      <c r="N2154">
        <f t="shared" si="363"/>
        <v>1.7524999999999999</v>
      </c>
      <c r="O2154">
        <f t="shared" si="364"/>
        <v>34.037500000000001</v>
      </c>
      <c r="P2154">
        <f t="shared" si="365"/>
        <v>7.3863636363636367</v>
      </c>
      <c r="Q2154">
        <f t="shared" si="366"/>
        <v>21.481481481481481</v>
      </c>
      <c r="R2154">
        <f t="shared" si="367"/>
        <v>107.35333333333334</v>
      </c>
      <c r="S2154" t="str">
        <f t="shared" si="368"/>
        <v>Moderate</v>
      </c>
      <c r="T2154" t="str">
        <f t="shared" si="369"/>
        <v>PM10</v>
      </c>
    </row>
    <row r="2155" spans="1:20" x14ac:dyDescent="0.3">
      <c r="A2155" s="2" t="s">
        <v>15</v>
      </c>
      <c r="B2155">
        <v>560026</v>
      </c>
      <c r="C2155" s="5">
        <v>45712</v>
      </c>
      <c r="D2155" s="6">
        <v>43.95</v>
      </c>
      <c r="E2155" s="6">
        <v>102.97</v>
      </c>
      <c r="F2155" s="6">
        <v>9.4</v>
      </c>
      <c r="G2155" s="6">
        <v>7</v>
      </c>
      <c r="H2155" s="6">
        <v>39.840000000000003</v>
      </c>
      <c r="I2155" s="6">
        <v>0.96</v>
      </c>
      <c r="J2155" s="7">
        <v>22.49</v>
      </c>
      <c r="K2155">
        <f t="shared" si="360"/>
        <v>73.25</v>
      </c>
      <c r="L2155">
        <f t="shared" si="361"/>
        <v>101.98</v>
      </c>
      <c r="M2155">
        <f t="shared" si="362"/>
        <v>11.75</v>
      </c>
      <c r="N2155">
        <f t="shared" si="363"/>
        <v>1.75</v>
      </c>
      <c r="O2155">
        <f t="shared" si="364"/>
        <v>49.800000000000004</v>
      </c>
      <c r="P2155">
        <f t="shared" si="365"/>
        <v>10.909090909090908</v>
      </c>
      <c r="Q2155">
        <f t="shared" si="366"/>
        <v>20.824074074074073</v>
      </c>
      <c r="R2155">
        <f t="shared" si="367"/>
        <v>101.98</v>
      </c>
      <c r="S2155" t="str">
        <f t="shared" si="368"/>
        <v>Moderate</v>
      </c>
      <c r="T2155" t="str">
        <f t="shared" si="369"/>
        <v>PM10</v>
      </c>
    </row>
    <row r="2156" spans="1:20" x14ac:dyDescent="0.3">
      <c r="A2156" s="2" t="s">
        <v>15</v>
      </c>
      <c r="B2156">
        <v>560026</v>
      </c>
      <c r="C2156" s="5">
        <v>45713</v>
      </c>
      <c r="D2156" s="6">
        <v>37.57</v>
      </c>
      <c r="E2156" s="6">
        <v>94.04</v>
      </c>
      <c r="F2156" s="6">
        <v>9.36</v>
      </c>
      <c r="G2156" s="6">
        <v>7.01</v>
      </c>
      <c r="H2156" s="6">
        <v>26.46</v>
      </c>
      <c r="I2156" s="6">
        <v>0.97</v>
      </c>
      <c r="J2156" s="7">
        <v>21.58</v>
      </c>
      <c r="K2156">
        <f t="shared" si="360"/>
        <v>62.616666666666667</v>
      </c>
      <c r="L2156">
        <f t="shared" si="361"/>
        <v>94.04</v>
      </c>
      <c r="M2156">
        <f t="shared" si="362"/>
        <v>11.7</v>
      </c>
      <c r="N2156">
        <f t="shared" si="363"/>
        <v>1.7524999999999999</v>
      </c>
      <c r="O2156">
        <f t="shared" si="364"/>
        <v>33.075000000000003</v>
      </c>
      <c r="P2156">
        <f t="shared" si="365"/>
        <v>11.022727272727272</v>
      </c>
      <c r="Q2156">
        <f t="shared" si="366"/>
        <v>19.981481481481481</v>
      </c>
      <c r="R2156">
        <f t="shared" si="367"/>
        <v>94.04</v>
      </c>
      <c r="S2156" t="str">
        <f t="shared" si="368"/>
        <v>Satisfactory</v>
      </c>
      <c r="T2156" t="str">
        <f t="shared" si="369"/>
        <v>PM10</v>
      </c>
    </row>
    <row r="2157" spans="1:20" x14ac:dyDescent="0.3">
      <c r="A2157" s="2" t="s">
        <v>15</v>
      </c>
      <c r="B2157">
        <v>560026</v>
      </c>
      <c r="C2157" s="5">
        <v>45714</v>
      </c>
      <c r="D2157" s="6">
        <v>41.39</v>
      </c>
      <c r="E2157" s="6">
        <v>103.43</v>
      </c>
      <c r="F2157" s="6">
        <v>9.41</v>
      </c>
      <c r="G2157" s="6">
        <v>6.96</v>
      </c>
      <c r="H2157" s="6">
        <v>29</v>
      </c>
      <c r="I2157" s="6">
        <v>0.74</v>
      </c>
      <c r="J2157" s="7">
        <v>22.08</v>
      </c>
      <c r="K2157">
        <f t="shared" si="360"/>
        <v>68.983333333333334</v>
      </c>
      <c r="L2157">
        <f t="shared" si="361"/>
        <v>102.28666666666668</v>
      </c>
      <c r="M2157">
        <f t="shared" si="362"/>
        <v>11.762499999999999</v>
      </c>
      <c r="N2157">
        <f t="shared" si="363"/>
        <v>1.74</v>
      </c>
      <c r="O2157">
        <f t="shared" si="364"/>
        <v>36.25</v>
      </c>
      <c r="P2157">
        <f t="shared" si="365"/>
        <v>8.4090909090909083</v>
      </c>
      <c r="Q2157">
        <f t="shared" si="366"/>
        <v>20.444444444444443</v>
      </c>
      <c r="R2157">
        <f t="shared" si="367"/>
        <v>102.28666666666668</v>
      </c>
      <c r="S2157" t="str">
        <f t="shared" si="368"/>
        <v>Moderate</v>
      </c>
      <c r="T2157" t="str">
        <f t="shared" si="369"/>
        <v>PM10</v>
      </c>
    </row>
    <row r="2158" spans="1:20" x14ac:dyDescent="0.3">
      <c r="A2158" s="2" t="s">
        <v>15</v>
      </c>
      <c r="B2158">
        <v>560026</v>
      </c>
      <c r="C2158" s="5">
        <v>45715</v>
      </c>
      <c r="D2158" s="6">
        <v>39.22</v>
      </c>
      <c r="E2158" s="6">
        <v>98.06</v>
      </c>
      <c r="F2158" s="6">
        <v>9.3800000000000008</v>
      </c>
      <c r="G2158" s="6">
        <v>7.02</v>
      </c>
      <c r="H2158" s="6">
        <v>31.68</v>
      </c>
      <c r="I2158" s="6">
        <v>0.86</v>
      </c>
      <c r="J2158" s="7">
        <v>23.25</v>
      </c>
      <c r="K2158">
        <f t="shared" si="360"/>
        <v>65.36666666666666</v>
      </c>
      <c r="L2158">
        <f t="shared" si="361"/>
        <v>98.06</v>
      </c>
      <c r="M2158">
        <f t="shared" si="362"/>
        <v>11.725000000000001</v>
      </c>
      <c r="N2158">
        <f t="shared" si="363"/>
        <v>1.7549999999999999</v>
      </c>
      <c r="O2158">
        <f t="shared" si="364"/>
        <v>39.6</v>
      </c>
      <c r="P2158">
        <f t="shared" si="365"/>
        <v>9.7727272727272716</v>
      </c>
      <c r="Q2158">
        <f t="shared" si="366"/>
        <v>21.527777777777779</v>
      </c>
      <c r="R2158">
        <f t="shared" si="367"/>
        <v>98.06</v>
      </c>
      <c r="S2158" t="str">
        <f t="shared" si="368"/>
        <v>Satisfactory</v>
      </c>
      <c r="T2158" t="str">
        <f t="shared" si="369"/>
        <v>PM10</v>
      </c>
    </row>
    <row r="2159" spans="1:20" x14ac:dyDescent="0.3">
      <c r="A2159" s="2" t="s">
        <v>15</v>
      </c>
      <c r="B2159">
        <v>560026</v>
      </c>
      <c r="C2159" s="5">
        <v>45716</v>
      </c>
      <c r="D2159" s="6">
        <v>35.020000000000003</v>
      </c>
      <c r="E2159" s="6">
        <v>87.33</v>
      </c>
      <c r="F2159" s="6">
        <v>9.39</v>
      </c>
      <c r="G2159" s="6">
        <v>7.02</v>
      </c>
      <c r="H2159" s="6">
        <v>22.52</v>
      </c>
      <c r="I2159" s="6">
        <v>0.88</v>
      </c>
      <c r="J2159" s="7">
        <v>21.6</v>
      </c>
      <c r="K2159">
        <f t="shared" si="360"/>
        <v>58.366666666666674</v>
      </c>
      <c r="L2159">
        <f t="shared" si="361"/>
        <v>87.33</v>
      </c>
      <c r="M2159">
        <f t="shared" si="362"/>
        <v>11.737500000000001</v>
      </c>
      <c r="N2159">
        <f t="shared" si="363"/>
        <v>1.7549999999999999</v>
      </c>
      <c r="O2159">
        <f t="shared" si="364"/>
        <v>28.15</v>
      </c>
      <c r="P2159">
        <f t="shared" si="365"/>
        <v>10</v>
      </c>
      <c r="Q2159">
        <f t="shared" si="366"/>
        <v>20</v>
      </c>
      <c r="R2159">
        <f t="shared" si="367"/>
        <v>87.33</v>
      </c>
      <c r="S2159" t="str">
        <f t="shared" si="368"/>
        <v>Satisfactory</v>
      </c>
      <c r="T2159" t="str">
        <f t="shared" si="369"/>
        <v>PM10</v>
      </c>
    </row>
    <row r="2160" spans="1:20" x14ac:dyDescent="0.3">
      <c r="A2160" s="2" t="s">
        <v>15</v>
      </c>
      <c r="B2160">
        <v>560026</v>
      </c>
      <c r="C2160" s="5">
        <v>45717</v>
      </c>
      <c r="D2160" s="6">
        <v>30.31</v>
      </c>
      <c r="E2160" s="6">
        <v>75.66</v>
      </c>
      <c r="F2160" s="6">
        <v>9.43</v>
      </c>
      <c r="G2160" s="6">
        <v>6.99</v>
      </c>
      <c r="H2160" s="6">
        <v>26.2</v>
      </c>
      <c r="I2160" s="6">
        <v>0.92</v>
      </c>
      <c r="J2160" s="7">
        <v>21.02</v>
      </c>
      <c r="K2160">
        <f t="shared" si="360"/>
        <v>50.516666666666666</v>
      </c>
      <c r="L2160">
        <f t="shared" si="361"/>
        <v>75.66</v>
      </c>
      <c r="M2160">
        <f t="shared" si="362"/>
        <v>11.7875</v>
      </c>
      <c r="N2160">
        <f t="shared" si="363"/>
        <v>1.7475000000000001</v>
      </c>
      <c r="O2160">
        <f t="shared" si="364"/>
        <v>32.75</v>
      </c>
      <c r="P2160">
        <f t="shared" si="365"/>
        <v>10.454545454545455</v>
      </c>
      <c r="Q2160">
        <f t="shared" si="366"/>
        <v>19.462962962962962</v>
      </c>
      <c r="R2160">
        <f t="shared" si="367"/>
        <v>75.66</v>
      </c>
      <c r="S2160" t="str">
        <f t="shared" si="368"/>
        <v>Satisfactory</v>
      </c>
      <c r="T2160" t="str">
        <f t="shared" si="369"/>
        <v>PM10</v>
      </c>
    </row>
    <row r="2161" spans="1:20" x14ac:dyDescent="0.3">
      <c r="A2161" s="2" t="s">
        <v>15</v>
      </c>
      <c r="B2161">
        <v>560026</v>
      </c>
      <c r="C2161" s="5">
        <v>45718</v>
      </c>
      <c r="D2161" s="6">
        <v>26.61</v>
      </c>
      <c r="E2161" s="6">
        <v>66.400000000000006</v>
      </c>
      <c r="F2161" s="6">
        <v>9.42</v>
      </c>
      <c r="G2161" s="6">
        <v>6.98</v>
      </c>
      <c r="H2161" s="6">
        <v>27.88</v>
      </c>
      <c r="I2161" s="6">
        <v>0.86</v>
      </c>
      <c r="J2161" s="7">
        <v>26.63</v>
      </c>
      <c r="K2161">
        <f t="shared" si="360"/>
        <v>44.35</v>
      </c>
      <c r="L2161">
        <f t="shared" si="361"/>
        <v>66.400000000000006</v>
      </c>
      <c r="M2161">
        <f t="shared" si="362"/>
        <v>11.775</v>
      </c>
      <c r="N2161">
        <f t="shared" si="363"/>
        <v>1.7450000000000001</v>
      </c>
      <c r="O2161">
        <f t="shared" si="364"/>
        <v>34.85</v>
      </c>
      <c r="P2161">
        <f t="shared" si="365"/>
        <v>9.7727272727272716</v>
      </c>
      <c r="Q2161">
        <f t="shared" si="366"/>
        <v>24.657407407407408</v>
      </c>
      <c r="R2161">
        <f t="shared" si="367"/>
        <v>66.400000000000006</v>
      </c>
      <c r="S2161" t="str">
        <f t="shared" si="368"/>
        <v>Satisfactory</v>
      </c>
      <c r="T2161" t="str">
        <f t="shared" si="369"/>
        <v>PM10</v>
      </c>
    </row>
    <row r="2162" spans="1:20" x14ac:dyDescent="0.3">
      <c r="A2162" s="2" t="s">
        <v>15</v>
      </c>
      <c r="B2162">
        <v>560026</v>
      </c>
      <c r="C2162" s="5">
        <v>45719</v>
      </c>
      <c r="D2162" s="6">
        <v>38.47</v>
      </c>
      <c r="E2162" s="6">
        <v>95.97</v>
      </c>
      <c r="F2162" s="6">
        <v>9.4</v>
      </c>
      <c r="G2162" s="6">
        <v>7.01</v>
      </c>
      <c r="H2162" s="6">
        <v>17.18</v>
      </c>
      <c r="I2162" s="6">
        <v>1.1599999999999999</v>
      </c>
      <c r="J2162" s="7">
        <v>18.920000000000002</v>
      </c>
      <c r="K2162">
        <f t="shared" si="360"/>
        <v>64.11666666666666</v>
      </c>
      <c r="L2162">
        <f t="shared" si="361"/>
        <v>95.97</v>
      </c>
      <c r="M2162">
        <f t="shared" si="362"/>
        <v>11.75</v>
      </c>
      <c r="N2162">
        <f t="shared" si="363"/>
        <v>1.7524999999999999</v>
      </c>
      <c r="O2162">
        <f t="shared" si="364"/>
        <v>21.475000000000001</v>
      </c>
      <c r="P2162">
        <f t="shared" si="365"/>
        <v>13.18181818181818</v>
      </c>
      <c r="Q2162">
        <f t="shared" si="366"/>
        <v>17.518518518518519</v>
      </c>
      <c r="R2162">
        <f t="shared" si="367"/>
        <v>95.97</v>
      </c>
      <c r="S2162" t="str">
        <f t="shared" si="368"/>
        <v>Satisfactory</v>
      </c>
      <c r="T2162" t="str">
        <f t="shared" si="369"/>
        <v>PM10</v>
      </c>
    </row>
    <row r="2163" spans="1:20" x14ac:dyDescent="0.3">
      <c r="A2163" s="2" t="s">
        <v>15</v>
      </c>
      <c r="B2163">
        <v>560026</v>
      </c>
      <c r="C2163" s="5">
        <v>45720</v>
      </c>
      <c r="D2163" s="6">
        <v>47.66</v>
      </c>
      <c r="E2163" s="6">
        <v>119.43</v>
      </c>
      <c r="F2163" s="6">
        <v>9.4499999999999993</v>
      </c>
      <c r="G2163" s="6">
        <v>6.99</v>
      </c>
      <c r="H2163" s="6">
        <v>29.84</v>
      </c>
      <c r="I2163" s="6">
        <v>1.19</v>
      </c>
      <c r="J2163" s="7">
        <v>58.51</v>
      </c>
      <c r="K2163">
        <f t="shared" si="360"/>
        <v>79.433333333333323</v>
      </c>
      <c r="L2163">
        <f t="shared" si="361"/>
        <v>112.95333333333333</v>
      </c>
      <c r="M2163">
        <f t="shared" si="362"/>
        <v>11.812499999999998</v>
      </c>
      <c r="N2163">
        <f t="shared" si="363"/>
        <v>1.7475000000000001</v>
      </c>
      <c r="O2163">
        <f t="shared" si="364"/>
        <v>37.299999999999997</v>
      </c>
      <c r="P2163">
        <f t="shared" si="365"/>
        <v>13.522727272727272</v>
      </c>
      <c r="Q2163">
        <f t="shared" si="366"/>
        <v>62.465999999999994</v>
      </c>
      <c r="R2163">
        <f t="shared" si="367"/>
        <v>112.95333333333333</v>
      </c>
      <c r="S2163" t="str">
        <f t="shared" si="368"/>
        <v>Moderate</v>
      </c>
      <c r="T2163" t="str">
        <f t="shared" si="369"/>
        <v>PM10</v>
      </c>
    </row>
    <row r="2164" spans="1:20" x14ac:dyDescent="0.3">
      <c r="A2164" s="2" t="s">
        <v>15</v>
      </c>
      <c r="B2164">
        <v>560026</v>
      </c>
      <c r="C2164" s="5">
        <v>45721</v>
      </c>
      <c r="D2164" s="6">
        <v>48.61</v>
      </c>
      <c r="E2164" s="6">
        <v>121.72</v>
      </c>
      <c r="F2164" s="6">
        <v>9.4499999999999993</v>
      </c>
      <c r="G2164" s="6">
        <v>7</v>
      </c>
      <c r="H2164" s="6">
        <v>30.16</v>
      </c>
      <c r="I2164" s="6">
        <v>1.1399999999999999</v>
      </c>
      <c r="J2164" s="7">
        <v>81.81</v>
      </c>
      <c r="K2164">
        <f t="shared" si="360"/>
        <v>81.016666666666666</v>
      </c>
      <c r="L2164">
        <f t="shared" si="361"/>
        <v>114.48</v>
      </c>
      <c r="M2164">
        <f t="shared" si="362"/>
        <v>11.812499999999998</v>
      </c>
      <c r="N2164">
        <f t="shared" si="363"/>
        <v>1.75</v>
      </c>
      <c r="O2164">
        <f t="shared" si="364"/>
        <v>37.700000000000003</v>
      </c>
      <c r="P2164">
        <f t="shared" si="365"/>
        <v>12.954545454545453</v>
      </c>
      <c r="Q2164">
        <f t="shared" si="366"/>
        <v>138.83500000000001</v>
      </c>
      <c r="R2164">
        <f t="shared" si="367"/>
        <v>138.83500000000001</v>
      </c>
      <c r="S2164" t="str">
        <f t="shared" si="368"/>
        <v>Moderate</v>
      </c>
      <c r="T2164" t="str">
        <f t="shared" si="369"/>
        <v>OZONE</v>
      </c>
    </row>
    <row r="2165" spans="1:20" x14ac:dyDescent="0.3">
      <c r="A2165" s="2" t="s">
        <v>15</v>
      </c>
      <c r="B2165">
        <v>560026</v>
      </c>
      <c r="C2165" s="5">
        <v>45722</v>
      </c>
      <c r="D2165" s="6">
        <v>54.38</v>
      </c>
      <c r="E2165" s="6">
        <v>136.15</v>
      </c>
      <c r="F2165" s="6">
        <v>9.43</v>
      </c>
      <c r="G2165" s="6">
        <v>7.03</v>
      </c>
      <c r="H2165" s="6">
        <v>35.520000000000003</v>
      </c>
      <c r="I2165" s="6">
        <v>1.31</v>
      </c>
      <c r="J2165" s="7">
        <v>97.53</v>
      </c>
      <c r="K2165">
        <f t="shared" si="360"/>
        <v>90.63333333333334</v>
      </c>
      <c r="L2165">
        <f t="shared" si="361"/>
        <v>124.1</v>
      </c>
      <c r="M2165">
        <f t="shared" si="362"/>
        <v>11.7875</v>
      </c>
      <c r="N2165">
        <f t="shared" si="363"/>
        <v>1.7575000000000001</v>
      </c>
      <c r="O2165">
        <f t="shared" si="364"/>
        <v>44.400000000000006</v>
      </c>
      <c r="P2165">
        <f t="shared" si="365"/>
        <v>14.886363636363637</v>
      </c>
      <c r="Q2165">
        <f t="shared" si="366"/>
        <v>180.73526315789474</v>
      </c>
      <c r="R2165">
        <f t="shared" si="367"/>
        <v>180.73526315789474</v>
      </c>
      <c r="S2165" t="str">
        <f t="shared" si="368"/>
        <v>Moderate</v>
      </c>
      <c r="T2165" t="str">
        <f t="shared" si="369"/>
        <v>OZONE</v>
      </c>
    </row>
    <row r="2166" spans="1:20" x14ac:dyDescent="0.3">
      <c r="A2166" s="2" t="s">
        <v>15</v>
      </c>
      <c r="B2166">
        <v>560026</v>
      </c>
      <c r="C2166" s="5">
        <v>45723</v>
      </c>
      <c r="D2166" s="6">
        <v>63.95</v>
      </c>
      <c r="E2166" s="6">
        <v>159.69</v>
      </c>
      <c r="F2166" s="6">
        <v>9.3699999999999992</v>
      </c>
      <c r="G2166" s="6">
        <v>7.03</v>
      </c>
      <c r="H2166" s="6">
        <v>28.95</v>
      </c>
      <c r="I2166" s="6">
        <v>1.19</v>
      </c>
      <c r="J2166" s="7">
        <v>124.24</v>
      </c>
      <c r="K2166">
        <f t="shared" si="360"/>
        <v>113.16666666666667</v>
      </c>
      <c r="L2166">
        <f t="shared" si="361"/>
        <v>139.79333333333335</v>
      </c>
      <c r="M2166">
        <f t="shared" si="362"/>
        <v>11.712499999999999</v>
      </c>
      <c r="N2166">
        <f t="shared" si="363"/>
        <v>1.7575000000000001</v>
      </c>
      <c r="O2166">
        <f t="shared" si="364"/>
        <v>36.1875</v>
      </c>
      <c r="P2166">
        <f t="shared" si="365"/>
        <v>13.522727272727272</v>
      </c>
      <c r="Q2166">
        <f t="shared" si="366"/>
        <v>220.21021276595744</v>
      </c>
      <c r="R2166">
        <f t="shared" si="367"/>
        <v>220.21021276595744</v>
      </c>
      <c r="S2166" t="str">
        <f t="shared" si="368"/>
        <v>Poor</v>
      </c>
      <c r="T2166" t="str">
        <f t="shared" si="369"/>
        <v>OZONE</v>
      </c>
    </row>
    <row r="2167" spans="1:20" x14ac:dyDescent="0.3">
      <c r="A2167" s="2" t="s">
        <v>15</v>
      </c>
      <c r="B2167">
        <v>560026</v>
      </c>
      <c r="C2167" s="5">
        <v>45724</v>
      </c>
      <c r="D2167" s="6">
        <v>55.69</v>
      </c>
      <c r="E2167" s="6">
        <v>139.21</v>
      </c>
      <c r="F2167" s="6">
        <v>9.39</v>
      </c>
      <c r="G2167" s="6">
        <v>7.02</v>
      </c>
      <c r="H2167" s="6">
        <v>25.48</v>
      </c>
      <c r="I2167" s="6">
        <v>1.44</v>
      </c>
      <c r="J2167" s="7">
        <v>101.38</v>
      </c>
      <c r="K2167">
        <f t="shared" si="360"/>
        <v>92.816666666666663</v>
      </c>
      <c r="L2167">
        <f t="shared" si="361"/>
        <v>126.14000000000001</v>
      </c>
      <c r="M2167">
        <f t="shared" si="362"/>
        <v>11.737500000000001</v>
      </c>
      <c r="N2167">
        <f t="shared" si="363"/>
        <v>1.7549999999999999</v>
      </c>
      <c r="O2167">
        <f t="shared" si="364"/>
        <v>31.85</v>
      </c>
      <c r="P2167">
        <f t="shared" si="365"/>
        <v>16.363636363636363</v>
      </c>
      <c r="Q2167">
        <f t="shared" si="366"/>
        <v>190.66421052631577</v>
      </c>
      <c r="R2167">
        <f t="shared" si="367"/>
        <v>190.66421052631577</v>
      </c>
      <c r="S2167" t="str">
        <f t="shared" si="368"/>
        <v>Moderate</v>
      </c>
      <c r="T2167" t="str">
        <f t="shared" si="369"/>
        <v>OZONE</v>
      </c>
    </row>
    <row r="2168" spans="1:20" x14ac:dyDescent="0.3">
      <c r="A2168" s="2" t="s">
        <v>15</v>
      </c>
      <c r="B2168">
        <v>560026</v>
      </c>
      <c r="C2168" s="5">
        <v>45725</v>
      </c>
      <c r="D2168" s="6">
        <v>52.11</v>
      </c>
      <c r="E2168" s="6">
        <v>130.32</v>
      </c>
      <c r="F2168" s="6">
        <v>9.39</v>
      </c>
      <c r="G2168" s="6">
        <v>7.02</v>
      </c>
      <c r="H2168" s="6">
        <v>27.74</v>
      </c>
      <c r="I2168" s="6">
        <v>0.87</v>
      </c>
      <c r="J2168" s="7">
        <v>55.24</v>
      </c>
      <c r="K2168">
        <f t="shared" si="360"/>
        <v>86.85</v>
      </c>
      <c r="L2168">
        <f t="shared" si="361"/>
        <v>120.21333333333332</v>
      </c>
      <c r="M2168">
        <f t="shared" si="362"/>
        <v>11.737500000000001</v>
      </c>
      <c r="N2168">
        <f t="shared" si="363"/>
        <v>1.7549999999999999</v>
      </c>
      <c r="O2168">
        <f t="shared" si="364"/>
        <v>34.674999999999997</v>
      </c>
      <c r="P2168">
        <f t="shared" si="365"/>
        <v>9.8863636363636367</v>
      </c>
      <c r="Q2168">
        <f t="shared" si="366"/>
        <v>51.784000000000006</v>
      </c>
      <c r="R2168">
        <f t="shared" si="367"/>
        <v>120.21333333333332</v>
      </c>
      <c r="S2168" t="str">
        <f t="shared" si="368"/>
        <v>Moderate</v>
      </c>
      <c r="T2168" t="str">
        <f t="shared" si="369"/>
        <v>PM10</v>
      </c>
    </row>
    <row r="2169" spans="1:20" x14ac:dyDescent="0.3">
      <c r="A2169" s="2" t="s">
        <v>15</v>
      </c>
      <c r="B2169">
        <v>560026</v>
      </c>
      <c r="C2169" s="5">
        <v>45726</v>
      </c>
      <c r="D2169" s="6">
        <v>33.17</v>
      </c>
      <c r="E2169" s="6">
        <v>82.73</v>
      </c>
      <c r="F2169" s="6">
        <v>9.32</v>
      </c>
      <c r="G2169" s="6">
        <v>7</v>
      </c>
      <c r="H2169" s="6">
        <v>21.97</v>
      </c>
      <c r="I2169" s="6">
        <v>0.95</v>
      </c>
      <c r="J2169" s="7">
        <v>43.09</v>
      </c>
      <c r="K2169">
        <f t="shared" si="360"/>
        <v>55.283333333333339</v>
      </c>
      <c r="L2169">
        <f t="shared" si="361"/>
        <v>82.73</v>
      </c>
      <c r="M2169">
        <f t="shared" si="362"/>
        <v>11.65</v>
      </c>
      <c r="N2169">
        <f t="shared" si="363"/>
        <v>1.75</v>
      </c>
      <c r="O2169">
        <f t="shared" si="364"/>
        <v>27.462499999999999</v>
      </c>
      <c r="P2169">
        <f t="shared" si="365"/>
        <v>10.795454545454545</v>
      </c>
      <c r="Q2169">
        <f t="shared" si="366"/>
        <v>39.898148148148152</v>
      </c>
      <c r="R2169">
        <f t="shared" si="367"/>
        <v>82.73</v>
      </c>
      <c r="S2169" t="str">
        <f t="shared" si="368"/>
        <v>Satisfactory</v>
      </c>
      <c r="T2169" t="str">
        <f t="shared" si="369"/>
        <v>PM10</v>
      </c>
    </row>
    <row r="2170" spans="1:20" x14ac:dyDescent="0.3">
      <c r="A2170" s="2" t="s">
        <v>15</v>
      </c>
      <c r="B2170">
        <v>560026</v>
      </c>
      <c r="C2170" s="5">
        <v>45727</v>
      </c>
      <c r="D2170" s="6">
        <v>31.19</v>
      </c>
      <c r="E2170" s="6">
        <v>78.05</v>
      </c>
      <c r="F2170" s="6">
        <v>9.35</v>
      </c>
      <c r="G2170" s="6">
        <v>7.03</v>
      </c>
      <c r="H2170" s="6">
        <v>26.18</v>
      </c>
      <c r="I2170" s="6">
        <v>0.86</v>
      </c>
      <c r="J2170" s="7">
        <v>27.53</v>
      </c>
      <c r="K2170">
        <f t="shared" si="360"/>
        <v>51.983333333333334</v>
      </c>
      <c r="L2170">
        <f t="shared" si="361"/>
        <v>78.05</v>
      </c>
      <c r="M2170">
        <f t="shared" si="362"/>
        <v>11.6875</v>
      </c>
      <c r="N2170">
        <f t="shared" si="363"/>
        <v>1.7575000000000001</v>
      </c>
      <c r="O2170">
        <f t="shared" si="364"/>
        <v>32.725000000000001</v>
      </c>
      <c r="P2170">
        <f t="shared" si="365"/>
        <v>9.7727272727272716</v>
      </c>
      <c r="Q2170">
        <f t="shared" si="366"/>
        <v>25.49074074074074</v>
      </c>
      <c r="R2170">
        <f t="shared" si="367"/>
        <v>78.05</v>
      </c>
      <c r="S2170" t="str">
        <f t="shared" si="368"/>
        <v>Satisfactory</v>
      </c>
      <c r="T2170" t="str">
        <f t="shared" si="369"/>
        <v>PM10</v>
      </c>
    </row>
    <row r="2171" spans="1:20" x14ac:dyDescent="0.3">
      <c r="A2171" s="2" t="s">
        <v>15</v>
      </c>
      <c r="B2171">
        <v>560026</v>
      </c>
      <c r="C2171" s="5">
        <v>45728</v>
      </c>
      <c r="D2171" s="6">
        <v>18.71</v>
      </c>
      <c r="E2171" s="6">
        <v>46.69</v>
      </c>
      <c r="F2171" s="6">
        <v>9.41</v>
      </c>
      <c r="G2171" s="6">
        <v>6.99</v>
      </c>
      <c r="H2171" s="6">
        <v>21.72</v>
      </c>
      <c r="I2171" s="6">
        <v>0.8</v>
      </c>
      <c r="J2171" s="7">
        <v>31.79</v>
      </c>
      <c r="K2171">
        <f t="shared" si="360"/>
        <v>31.183333333333334</v>
      </c>
      <c r="L2171">
        <f t="shared" si="361"/>
        <v>46.69</v>
      </c>
      <c r="M2171">
        <f t="shared" si="362"/>
        <v>11.762499999999999</v>
      </c>
      <c r="N2171">
        <f t="shared" si="363"/>
        <v>1.7475000000000001</v>
      </c>
      <c r="O2171">
        <f t="shared" si="364"/>
        <v>27.15</v>
      </c>
      <c r="P2171">
        <f t="shared" si="365"/>
        <v>9.0909090909090917</v>
      </c>
      <c r="Q2171">
        <f t="shared" si="366"/>
        <v>29.435185185185183</v>
      </c>
      <c r="R2171">
        <f t="shared" si="367"/>
        <v>46.69</v>
      </c>
      <c r="S2171" t="str">
        <f t="shared" si="368"/>
        <v>Good</v>
      </c>
      <c r="T2171" t="str">
        <f t="shared" si="369"/>
        <v>PM10</v>
      </c>
    </row>
    <row r="2172" spans="1:20" x14ac:dyDescent="0.3">
      <c r="A2172" s="2" t="s">
        <v>15</v>
      </c>
      <c r="B2172">
        <v>560026</v>
      </c>
      <c r="C2172" s="5">
        <v>45729</v>
      </c>
      <c r="D2172" s="6">
        <v>26.32</v>
      </c>
      <c r="E2172" s="6">
        <v>65.88</v>
      </c>
      <c r="F2172" s="6">
        <v>9.39</v>
      </c>
      <c r="G2172" s="6">
        <v>7.01</v>
      </c>
      <c r="H2172" s="6">
        <v>24.75</v>
      </c>
      <c r="I2172" s="6">
        <v>0.95</v>
      </c>
      <c r="J2172" s="7">
        <v>44.46</v>
      </c>
      <c r="K2172">
        <f t="shared" si="360"/>
        <v>43.866666666666667</v>
      </c>
      <c r="L2172">
        <f t="shared" si="361"/>
        <v>65.88</v>
      </c>
      <c r="M2172">
        <f t="shared" si="362"/>
        <v>11.737500000000001</v>
      </c>
      <c r="N2172">
        <f t="shared" si="363"/>
        <v>1.7524999999999999</v>
      </c>
      <c r="O2172">
        <f t="shared" si="364"/>
        <v>30.9375</v>
      </c>
      <c r="P2172">
        <f t="shared" si="365"/>
        <v>10.795454545454545</v>
      </c>
      <c r="Q2172">
        <f t="shared" si="366"/>
        <v>41.166666666666664</v>
      </c>
      <c r="R2172">
        <f t="shared" si="367"/>
        <v>65.88</v>
      </c>
      <c r="S2172" t="str">
        <f t="shared" si="368"/>
        <v>Satisfactory</v>
      </c>
      <c r="T2172" t="str">
        <f t="shared" si="369"/>
        <v>PM10</v>
      </c>
    </row>
    <row r="2173" spans="1:20" x14ac:dyDescent="0.3">
      <c r="A2173" s="2" t="s">
        <v>15</v>
      </c>
      <c r="B2173">
        <v>560026</v>
      </c>
      <c r="C2173" s="5">
        <v>45730</v>
      </c>
      <c r="D2173" s="6">
        <v>33.57</v>
      </c>
      <c r="E2173" s="6">
        <v>83.91</v>
      </c>
      <c r="F2173" s="6">
        <v>9.3699999999999992</v>
      </c>
      <c r="G2173" s="6">
        <v>6.99</v>
      </c>
      <c r="H2173" s="6">
        <v>24.97</v>
      </c>
      <c r="I2173" s="6">
        <v>0.79</v>
      </c>
      <c r="J2173" s="7">
        <v>79.98</v>
      </c>
      <c r="K2173">
        <f t="shared" si="360"/>
        <v>55.95</v>
      </c>
      <c r="L2173">
        <f t="shared" si="361"/>
        <v>83.91</v>
      </c>
      <c r="M2173">
        <f t="shared" si="362"/>
        <v>11.712499999999999</v>
      </c>
      <c r="N2173">
        <f t="shared" si="363"/>
        <v>1.7475000000000001</v>
      </c>
      <c r="O2173">
        <f t="shared" si="364"/>
        <v>31.212499999999999</v>
      </c>
      <c r="P2173">
        <f t="shared" si="365"/>
        <v>8.9772727272727266</v>
      </c>
      <c r="Q2173">
        <f t="shared" si="366"/>
        <v>132.43</v>
      </c>
      <c r="R2173">
        <f t="shared" si="367"/>
        <v>132.43</v>
      </c>
      <c r="S2173" t="str">
        <f t="shared" si="368"/>
        <v>Moderate</v>
      </c>
      <c r="T2173" t="str">
        <f t="shared" si="369"/>
        <v>OZONE</v>
      </c>
    </row>
    <row r="2174" spans="1:20" x14ac:dyDescent="0.3">
      <c r="A2174" s="2" t="s">
        <v>15</v>
      </c>
      <c r="B2174">
        <v>560026</v>
      </c>
      <c r="C2174" s="5">
        <v>45731</v>
      </c>
      <c r="D2174" s="6">
        <v>37.51</v>
      </c>
      <c r="E2174" s="6">
        <v>93.9</v>
      </c>
      <c r="F2174" s="6">
        <v>9.42</v>
      </c>
      <c r="G2174" s="6">
        <v>7.01</v>
      </c>
      <c r="H2174" s="6">
        <v>24.75</v>
      </c>
      <c r="I2174" s="6">
        <v>1.18</v>
      </c>
      <c r="J2174" s="7">
        <v>101.1</v>
      </c>
      <c r="K2174">
        <f t="shared" si="360"/>
        <v>62.516666666666666</v>
      </c>
      <c r="L2174">
        <f t="shared" si="361"/>
        <v>93.9</v>
      </c>
      <c r="M2174">
        <f t="shared" si="362"/>
        <v>11.775</v>
      </c>
      <c r="N2174">
        <f t="shared" si="363"/>
        <v>1.7524999999999999</v>
      </c>
      <c r="O2174">
        <f t="shared" si="364"/>
        <v>30.9375</v>
      </c>
      <c r="P2174">
        <f t="shared" si="365"/>
        <v>13.409090909090908</v>
      </c>
      <c r="Q2174">
        <f t="shared" si="366"/>
        <v>189.94210526315788</v>
      </c>
      <c r="R2174">
        <f t="shared" si="367"/>
        <v>189.94210526315788</v>
      </c>
      <c r="S2174" t="str">
        <f t="shared" si="368"/>
        <v>Moderate</v>
      </c>
      <c r="T2174" t="str">
        <f t="shared" si="369"/>
        <v>OZONE</v>
      </c>
    </row>
    <row r="2175" spans="1:20" x14ac:dyDescent="0.3">
      <c r="A2175" s="2" t="s">
        <v>15</v>
      </c>
      <c r="B2175">
        <v>560026</v>
      </c>
      <c r="C2175" s="5">
        <v>45732</v>
      </c>
      <c r="D2175" s="6">
        <v>27.6</v>
      </c>
      <c r="E2175" s="6">
        <v>69.28</v>
      </c>
      <c r="F2175" s="6">
        <v>9.49</v>
      </c>
      <c r="G2175" s="6">
        <v>7.01</v>
      </c>
      <c r="H2175" s="6">
        <v>31.03</v>
      </c>
      <c r="I2175" s="6">
        <v>0.57999999999999996</v>
      </c>
      <c r="J2175" s="7">
        <v>103.61</v>
      </c>
      <c r="K2175">
        <f t="shared" ref="K2175:K2238" si="370">IF(ISTEXT(D2175),0,IF(D2175&lt;=30,D2175*50/30,IF(AND(D2175&gt;30,D2175&lt;=60),50+(D2175-30)*50/30,IF(AND(D2175&gt;60,D2175&lt;=90),100+(D2175-60)*100/30,IF(AND(D2175&gt;90,D2175&lt;=120),200+(D2175-90)*(100/30),IF(AND(D2175&gt;120,D2175&lt;=250),300+(D2175-120)*(100/130),IF(D2175&gt;250,400+(D2175-250)*(100/130))))))))</f>
        <v>46</v>
      </c>
      <c r="L2175">
        <f t="shared" ref="L2175:L2238" si="371">IF(ISTEXT(E2175),0,IF(E2175&lt;=50,E2175,IF(AND(E2175&gt;50,E2175&lt;=100),E2175,IF(AND(E2175&gt;100,E2175&lt;=250),100+(E2175-100)*100/150,IF(AND(E2175&gt;250,E2175&lt;=350),200+(E2175-250),IF(AND(E2175&gt;350,E2175&lt;=430),300+(E2175-350)*(100/80),IF(E2175&gt;430,400+(E2175-430)*(100/80))))))))</f>
        <v>69.28</v>
      </c>
      <c r="M2175">
        <f t="shared" ref="M2175:M2238" si="372">IF(ISTEXT(F2175),0,IF(F2175&lt;=40,F2175*50/40,IF(AND(F2175&gt;40,F2175&lt;=80),50+(F2175-40)*50/40,IF(AND(F2175&gt;80,F2175&lt;=180),100+(F2175-80)*100/100,IF(AND(F2175&gt;180,F2175&lt;=280),200+(F2175-180)*(100/100),IF(AND(F2175&gt;280,F2175&lt;=400),300+(F2175-280)*(100/120),IF(F2175&gt;400,400+(F2175-400)*(100/120))))))))</f>
        <v>11.862500000000001</v>
      </c>
      <c r="N2175">
        <f t="shared" ref="N2175:N2238" si="373">IF(ISTEXT(G2175),0,IF(G2175&lt;=200,G2175*50/200,IF(AND(G2175&gt;200,G2175&lt;=400),50+(G2175-200)*50/200,IF(AND(G2175&gt;400,G2175&lt;=800),100+(G2175-400)*100/400,IF(AND(G2175&gt;800,G2175&lt;=1200),200+(G2175-800)*(100/400),IF(AND(G2175&gt;1200,G2175&lt;=1800),300+(G2175-1200)*(100/600),IF(G2175&gt;1800,400+(G2175-1800)*(100/600))))))))</f>
        <v>1.7524999999999999</v>
      </c>
      <c r="O2175">
        <f t="shared" ref="O2175:O2238" si="374">IF(ISTEXT(H2175),0,IF(H2175&lt;=40,H2175*50/40,IF(AND(H2175&gt;40,H2175&lt;=80),50+(H2175-40)*50/40,IF(AND(H2175&gt;80,H2175&lt;=380),100+(H2175-80)*100/300,IF(AND(H2175&gt;380,H2175&lt;=800),200+(H2175-380)*(100/420),IF(AND(H2175&gt;800,H2175&lt;=1600),300+(H2175-800)*(100/800),IF(H2175&gt;1600,400+(H2175-1600)*(100/800))))))))</f>
        <v>38.787500000000001</v>
      </c>
      <c r="P2175">
        <f t="shared" ref="P2175:P2238" si="375">IF(I2175&lt;=4.4,(50-0)/(4.4-0)*(I2175-0)+0,
IF(I2175&lt;=9.4,(100-51)/(9.4-4.5)*(I2175-4.5)+51,
IF(I2175&lt;=12.4,(150-101)/(12.4-9.5)*(I2175-9.5)+101,
IF(I2175&lt;=15.4,(200-151)/(15.4-12.5)*(I2175-12.5)+151,
IF(I2175&lt;=30.4,(300-201)/(30.4-15.5)*(I2175-15.5)+201,
(500-301)/(50.4-30.5)*(I2175-30.5)+301)))))</f>
        <v>6.5909090909090899</v>
      </c>
      <c r="Q2175">
        <f t="shared" ref="Q2175:Q2238" si="376">IF(J2175&lt;=54,(50-0)/(54-0)*(J2175-0)+0,
IF(J2175&lt;=70,(100-51)/(70-55)*(J2175-55)+51,
IF(J2175&lt;=85,(150-101)/(85-71)*(J2175-71)+101,
IF(J2175&lt;=105,(200-151)/(105-86)*(J2175-86)+151,
IF(J2175&lt;=200,(300-201)/(200-106)*(J2175-106)+201,
(500-301)/(300-201)*(J2175-201)+301)))))</f>
        <v>196.41526315789474</v>
      </c>
      <c r="R2175">
        <f t="shared" ref="R2175:R2238" si="377">MAX(K2175:Q2175)</f>
        <v>196.41526315789474</v>
      </c>
      <c r="S2175" t="str">
        <f t="shared" ref="S2175:S2238" si="378">IF(R2175&lt;=50,"Good",
IF(R2175&lt;=100,"Satisfactory",
IF(R2175&lt;=200,"Moderate",
IF(R2175&lt;=300,"Poor",
IF(R2175&lt;=400,"Very Poor",
"Severe")))))</f>
        <v>Moderate</v>
      </c>
      <c r="T2175" t="str">
        <f t="shared" ref="T2175:T2238" si="379">IF(MAX(K2175:Q2175)=K2175,"PM2.5",
IF(MAX(K2175:Q2175)=L2175,"PM10",
IF(MAX(K2175:Q2175)=M2175,"NO2",
IF(MAX(K2175:Q2175)=N2175,"NH3",
IF(MAX(K2175:Q2175)=O2175,"SO2",
IF(MAX(K2175:Q2175)=P2175,"CO",
IF(MAX(K2175:Q2175)=Q2175,"OZONE","")))))))</f>
        <v>OZONE</v>
      </c>
    </row>
    <row r="2176" spans="1:20" x14ac:dyDescent="0.3">
      <c r="A2176" s="2" t="s">
        <v>15</v>
      </c>
      <c r="B2176">
        <v>560026</v>
      </c>
      <c r="C2176" s="5">
        <v>45733</v>
      </c>
      <c r="D2176" s="6">
        <v>33.119999999999997</v>
      </c>
      <c r="E2176" s="6">
        <v>82.65</v>
      </c>
      <c r="F2176" s="6">
        <v>9.44</v>
      </c>
      <c r="G2176" s="6">
        <v>6.99</v>
      </c>
      <c r="H2176" s="6">
        <v>20</v>
      </c>
      <c r="I2176" s="6">
        <v>0.88</v>
      </c>
      <c r="J2176" s="7">
        <v>95.43</v>
      </c>
      <c r="K2176">
        <f t="shared" si="370"/>
        <v>55.199999999999996</v>
      </c>
      <c r="L2176">
        <f t="shared" si="371"/>
        <v>82.65</v>
      </c>
      <c r="M2176">
        <f t="shared" si="372"/>
        <v>11.8</v>
      </c>
      <c r="N2176">
        <f t="shared" si="373"/>
        <v>1.7475000000000001</v>
      </c>
      <c r="O2176">
        <f t="shared" si="374"/>
        <v>25</v>
      </c>
      <c r="P2176">
        <f t="shared" si="375"/>
        <v>10</v>
      </c>
      <c r="Q2176">
        <f t="shared" si="376"/>
        <v>175.31947368421055</v>
      </c>
      <c r="R2176">
        <f t="shared" si="377"/>
        <v>175.31947368421055</v>
      </c>
      <c r="S2176" t="str">
        <f t="shared" si="378"/>
        <v>Moderate</v>
      </c>
      <c r="T2176" t="str">
        <f t="shared" si="379"/>
        <v>OZONE</v>
      </c>
    </row>
    <row r="2177" spans="1:20" x14ac:dyDescent="0.3">
      <c r="A2177" s="2" t="s">
        <v>15</v>
      </c>
      <c r="B2177">
        <v>560026</v>
      </c>
      <c r="C2177" s="5">
        <v>45734</v>
      </c>
      <c r="D2177" s="6">
        <v>29.24</v>
      </c>
      <c r="E2177" s="6">
        <v>73.34</v>
      </c>
      <c r="F2177" s="6">
        <v>9.36</v>
      </c>
      <c r="G2177" s="6">
        <v>7.04</v>
      </c>
      <c r="H2177" s="6">
        <v>21.3</v>
      </c>
      <c r="I2177" s="6">
        <v>0.64</v>
      </c>
      <c r="J2177" s="7">
        <v>108.86</v>
      </c>
      <c r="K2177">
        <f t="shared" si="370"/>
        <v>48.733333333333334</v>
      </c>
      <c r="L2177">
        <f t="shared" si="371"/>
        <v>73.34</v>
      </c>
      <c r="M2177">
        <f t="shared" si="372"/>
        <v>11.7</v>
      </c>
      <c r="N2177">
        <f t="shared" si="373"/>
        <v>1.76</v>
      </c>
      <c r="O2177">
        <f t="shared" si="374"/>
        <v>26.625</v>
      </c>
      <c r="P2177">
        <f t="shared" si="375"/>
        <v>7.2727272727272725</v>
      </c>
      <c r="Q2177">
        <f t="shared" si="376"/>
        <v>204.01212765957447</v>
      </c>
      <c r="R2177">
        <f t="shared" si="377"/>
        <v>204.01212765957447</v>
      </c>
      <c r="S2177" t="str">
        <f t="shared" si="378"/>
        <v>Poor</v>
      </c>
      <c r="T2177" t="str">
        <f t="shared" si="379"/>
        <v>OZONE</v>
      </c>
    </row>
    <row r="2178" spans="1:20" x14ac:dyDescent="0.3">
      <c r="A2178" s="2" t="s">
        <v>15</v>
      </c>
      <c r="B2178">
        <v>560026</v>
      </c>
      <c r="C2178" s="5">
        <v>45735</v>
      </c>
      <c r="D2178" s="6">
        <v>24.19</v>
      </c>
      <c r="E2178" s="6">
        <v>60.48</v>
      </c>
      <c r="F2178" s="6">
        <v>9.4700000000000006</v>
      </c>
      <c r="G2178" s="6">
        <v>7</v>
      </c>
      <c r="H2178" s="6">
        <v>21.69</v>
      </c>
      <c r="I2178" s="6">
        <v>0.65</v>
      </c>
      <c r="J2178" s="7">
        <v>88.02</v>
      </c>
      <c r="K2178">
        <f t="shared" si="370"/>
        <v>40.31666666666667</v>
      </c>
      <c r="L2178">
        <f t="shared" si="371"/>
        <v>60.48</v>
      </c>
      <c r="M2178">
        <f t="shared" si="372"/>
        <v>11.837500000000002</v>
      </c>
      <c r="N2178">
        <f t="shared" si="373"/>
        <v>1.75</v>
      </c>
      <c r="O2178">
        <f t="shared" si="374"/>
        <v>27.112500000000001</v>
      </c>
      <c r="P2178">
        <f t="shared" si="375"/>
        <v>7.3863636363636367</v>
      </c>
      <c r="Q2178">
        <f t="shared" si="376"/>
        <v>156.20947368421051</v>
      </c>
      <c r="R2178">
        <f t="shared" si="377"/>
        <v>156.20947368421051</v>
      </c>
      <c r="S2178" t="str">
        <f t="shared" si="378"/>
        <v>Moderate</v>
      </c>
      <c r="T2178" t="str">
        <f t="shared" si="379"/>
        <v>OZONE</v>
      </c>
    </row>
    <row r="2179" spans="1:20" x14ac:dyDescent="0.3">
      <c r="A2179" s="2" t="s">
        <v>15</v>
      </c>
      <c r="B2179">
        <v>560026</v>
      </c>
      <c r="C2179" s="5">
        <v>45736</v>
      </c>
      <c r="D2179" s="6">
        <v>26.47</v>
      </c>
      <c r="E2179" s="6">
        <v>66.290000000000006</v>
      </c>
      <c r="F2179" s="6">
        <v>9.39</v>
      </c>
      <c r="G2179" s="6">
        <v>7</v>
      </c>
      <c r="H2179" s="6">
        <v>40.31</v>
      </c>
      <c r="I2179" s="6">
        <v>0.59</v>
      </c>
      <c r="J2179" s="7">
        <v>61.34</v>
      </c>
      <c r="K2179">
        <f t="shared" si="370"/>
        <v>44.116666666666667</v>
      </c>
      <c r="L2179">
        <f t="shared" si="371"/>
        <v>66.290000000000006</v>
      </c>
      <c r="M2179">
        <f t="shared" si="372"/>
        <v>11.737500000000001</v>
      </c>
      <c r="N2179">
        <f t="shared" si="373"/>
        <v>1.75</v>
      </c>
      <c r="O2179">
        <f t="shared" si="374"/>
        <v>50.387500000000003</v>
      </c>
      <c r="P2179">
        <f t="shared" si="375"/>
        <v>6.7045454545454541</v>
      </c>
      <c r="Q2179">
        <f t="shared" si="376"/>
        <v>71.710666666666683</v>
      </c>
      <c r="R2179">
        <f t="shared" si="377"/>
        <v>71.710666666666683</v>
      </c>
      <c r="S2179" t="str">
        <f t="shared" si="378"/>
        <v>Satisfactory</v>
      </c>
      <c r="T2179" t="str">
        <f t="shared" si="379"/>
        <v>OZONE</v>
      </c>
    </row>
    <row r="2180" spans="1:20" x14ac:dyDescent="0.3">
      <c r="A2180" s="2" t="s">
        <v>15</v>
      </c>
      <c r="B2180">
        <v>560026</v>
      </c>
      <c r="C2180" s="5">
        <v>45737</v>
      </c>
      <c r="D2180" s="6">
        <v>26.66</v>
      </c>
      <c r="E2180" s="6">
        <v>66.760000000000005</v>
      </c>
      <c r="F2180" s="6">
        <v>9.42</v>
      </c>
      <c r="G2180" s="6">
        <v>6.97</v>
      </c>
      <c r="H2180" s="6">
        <v>29.86</v>
      </c>
      <c r="I2180" s="6">
        <v>0.56000000000000005</v>
      </c>
      <c r="J2180" s="7">
        <v>97.05</v>
      </c>
      <c r="K2180">
        <f t="shared" si="370"/>
        <v>44.43333333333333</v>
      </c>
      <c r="L2180">
        <f t="shared" si="371"/>
        <v>66.760000000000005</v>
      </c>
      <c r="M2180">
        <f t="shared" si="372"/>
        <v>11.775</v>
      </c>
      <c r="N2180">
        <f t="shared" si="373"/>
        <v>1.7424999999999999</v>
      </c>
      <c r="O2180">
        <f t="shared" si="374"/>
        <v>37.325000000000003</v>
      </c>
      <c r="P2180">
        <f t="shared" si="375"/>
        <v>6.3636363636363642</v>
      </c>
      <c r="Q2180">
        <f t="shared" si="376"/>
        <v>179.49736842105261</v>
      </c>
      <c r="R2180">
        <f t="shared" si="377"/>
        <v>179.49736842105261</v>
      </c>
      <c r="S2180" t="str">
        <f t="shared" si="378"/>
        <v>Moderate</v>
      </c>
      <c r="T2180" t="str">
        <f t="shared" si="379"/>
        <v>OZONE</v>
      </c>
    </row>
    <row r="2181" spans="1:20" x14ac:dyDescent="0.3">
      <c r="A2181" s="2" t="s">
        <v>15</v>
      </c>
      <c r="B2181">
        <v>560026</v>
      </c>
      <c r="C2181" s="5">
        <v>45738</v>
      </c>
      <c r="D2181" s="6">
        <v>28.61</v>
      </c>
      <c r="E2181" s="6">
        <v>71.63</v>
      </c>
      <c r="F2181" s="6">
        <v>9.9700000000000006</v>
      </c>
      <c r="G2181" s="6">
        <v>6.58</v>
      </c>
      <c r="H2181" s="6">
        <v>24.2</v>
      </c>
      <c r="I2181" s="6">
        <v>0.53</v>
      </c>
      <c r="J2181" s="7">
        <v>90.92</v>
      </c>
      <c r="K2181">
        <f t="shared" si="370"/>
        <v>47.68333333333333</v>
      </c>
      <c r="L2181">
        <f t="shared" si="371"/>
        <v>71.63</v>
      </c>
      <c r="M2181">
        <f t="shared" si="372"/>
        <v>12.462500000000002</v>
      </c>
      <c r="N2181">
        <f t="shared" si="373"/>
        <v>1.645</v>
      </c>
      <c r="O2181">
        <f t="shared" si="374"/>
        <v>30.25</v>
      </c>
      <c r="P2181">
        <f t="shared" si="375"/>
        <v>6.0227272727272725</v>
      </c>
      <c r="Q2181">
        <f t="shared" si="376"/>
        <v>163.68842105263158</v>
      </c>
      <c r="R2181">
        <f t="shared" si="377"/>
        <v>163.68842105263158</v>
      </c>
      <c r="S2181" t="str">
        <f t="shared" si="378"/>
        <v>Moderate</v>
      </c>
      <c r="T2181" t="str">
        <f t="shared" si="379"/>
        <v>OZONE</v>
      </c>
    </row>
    <row r="2182" spans="1:20" x14ac:dyDescent="0.3">
      <c r="A2182" s="2" t="s">
        <v>15</v>
      </c>
      <c r="B2182">
        <v>560026</v>
      </c>
      <c r="C2182" s="5">
        <v>45739</v>
      </c>
      <c r="D2182" s="6">
        <v>29.21</v>
      </c>
      <c r="E2182" s="6">
        <v>73.150000000000006</v>
      </c>
      <c r="F2182" s="6">
        <v>12.59</v>
      </c>
      <c r="G2182" s="6">
        <v>5.68</v>
      </c>
      <c r="H2182" s="6">
        <v>20.07</v>
      </c>
      <c r="I2182" s="6">
        <v>0.71</v>
      </c>
      <c r="J2182" s="7">
        <v>69.08</v>
      </c>
      <c r="K2182">
        <f t="shared" si="370"/>
        <v>48.68333333333333</v>
      </c>
      <c r="L2182">
        <f t="shared" si="371"/>
        <v>73.150000000000006</v>
      </c>
      <c r="M2182">
        <f t="shared" si="372"/>
        <v>15.737500000000001</v>
      </c>
      <c r="N2182">
        <f t="shared" si="373"/>
        <v>1.42</v>
      </c>
      <c r="O2182">
        <f t="shared" si="374"/>
        <v>25.087499999999999</v>
      </c>
      <c r="P2182">
        <f t="shared" si="375"/>
        <v>8.0681818181818183</v>
      </c>
      <c r="Q2182">
        <f t="shared" si="376"/>
        <v>96.99466666666666</v>
      </c>
      <c r="R2182">
        <f t="shared" si="377"/>
        <v>96.99466666666666</v>
      </c>
      <c r="S2182" t="str">
        <f t="shared" si="378"/>
        <v>Satisfactory</v>
      </c>
      <c r="T2182" t="str">
        <f t="shared" si="379"/>
        <v>OZONE</v>
      </c>
    </row>
    <row r="2183" spans="1:20" x14ac:dyDescent="0.3">
      <c r="A2183" s="2" t="s">
        <v>15</v>
      </c>
      <c r="B2183">
        <v>560026</v>
      </c>
      <c r="C2183" s="5">
        <v>45740</v>
      </c>
      <c r="D2183" s="6">
        <v>36.53</v>
      </c>
      <c r="E2183" s="6">
        <v>91.44</v>
      </c>
      <c r="F2183" s="6">
        <v>12.64</v>
      </c>
      <c r="G2183" s="6">
        <v>5.03</v>
      </c>
      <c r="H2183" s="6">
        <v>20.38</v>
      </c>
      <c r="I2183" s="6">
        <v>0.94</v>
      </c>
      <c r="J2183" s="7">
        <v>82.02</v>
      </c>
      <c r="K2183">
        <f t="shared" si="370"/>
        <v>60.883333333333333</v>
      </c>
      <c r="L2183">
        <f t="shared" si="371"/>
        <v>91.44</v>
      </c>
      <c r="M2183">
        <f t="shared" si="372"/>
        <v>15.8</v>
      </c>
      <c r="N2183">
        <f t="shared" si="373"/>
        <v>1.2575000000000001</v>
      </c>
      <c r="O2183">
        <f t="shared" si="374"/>
        <v>25.475000000000001</v>
      </c>
      <c r="P2183">
        <f t="shared" si="375"/>
        <v>10.681818181818182</v>
      </c>
      <c r="Q2183">
        <f t="shared" si="376"/>
        <v>139.57</v>
      </c>
      <c r="R2183">
        <f t="shared" si="377"/>
        <v>139.57</v>
      </c>
      <c r="S2183" t="str">
        <f t="shared" si="378"/>
        <v>Moderate</v>
      </c>
      <c r="T2183" t="str">
        <f t="shared" si="379"/>
        <v>OZONE</v>
      </c>
    </row>
    <row r="2184" spans="1:20" x14ac:dyDescent="0.3">
      <c r="A2184" s="2" t="s">
        <v>15</v>
      </c>
      <c r="B2184">
        <v>560026</v>
      </c>
      <c r="C2184" s="5">
        <v>45741</v>
      </c>
      <c r="D2184" s="6">
        <v>37.67</v>
      </c>
      <c r="E2184" s="6">
        <v>94.14</v>
      </c>
      <c r="F2184" s="6">
        <v>12.69</v>
      </c>
      <c r="G2184" s="6">
        <v>5.0999999999999996</v>
      </c>
      <c r="H2184" s="6">
        <v>22.42</v>
      </c>
      <c r="I2184" s="6">
        <v>1.1599999999999999</v>
      </c>
      <c r="J2184" s="7">
        <v>85.34</v>
      </c>
      <c r="K2184">
        <f t="shared" si="370"/>
        <v>62.783333333333339</v>
      </c>
      <c r="L2184">
        <f t="shared" si="371"/>
        <v>94.14</v>
      </c>
      <c r="M2184">
        <f t="shared" si="372"/>
        <v>15.862500000000001</v>
      </c>
      <c r="N2184">
        <f t="shared" si="373"/>
        <v>1.2749999999999999</v>
      </c>
      <c r="O2184">
        <f t="shared" si="374"/>
        <v>28.024999999999999</v>
      </c>
      <c r="P2184">
        <f t="shared" si="375"/>
        <v>13.18181818181818</v>
      </c>
      <c r="Q2184">
        <f t="shared" si="376"/>
        <v>149.29789473684212</v>
      </c>
      <c r="R2184">
        <f t="shared" si="377"/>
        <v>149.29789473684212</v>
      </c>
      <c r="S2184" t="str">
        <f t="shared" si="378"/>
        <v>Moderate</v>
      </c>
      <c r="T2184" t="str">
        <f t="shared" si="379"/>
        <v>OZONE</v>
      </c>
    </row>
    <row r="2185" spans="1:20" x14ac:dyDescent="0.3">
      <c r="A2185" s="2" t="s">
        <v>15</v>
      </c>
      <c r="B2185">
        <v>560026</v>
      </c>
      <c r="C2185" s="5">
        <v>45742</v>
      </c>
      <c r="D2185" s="6">
        <v>39.6</v>
      </c>
      <c r="E2185" s="6">
        <v>99.02</v>
      </c>
      <c r="F2185" s="6">
        <v>12.56</v>
      </c>
      <c r="G2185" s="6">
        <v>5.18</v>
      </c>
      <c r="H2185" s="6">
        <v>21.72</v>
      </c>
      <c r="I2185" s="6">
        <v>1.07</v>
      </c>
      <c r="J2185" s="7">
        <v>95.53</v>
      </c>
      <c r="K2185">
        <f t="shared" si="370"/>
        <v>66</v>
      </c>
      <c r="L2185">
        <f t="shared" si="371"/>
        <v>99.02</v>
      </c>
      <c r="M2185">
        <f t="shared" si="372"/>
        <v>15.7</v>
      </c>
      <c r="N2185">
        <f t="shared" si="373"/>
        <v>1.2949999999999999</v>
      </c>
      <c r="O2185">
        <f t="shared" si="374"/>
        <v>27.15</v>
      </c>
      <c r="P2185">
        <f t="shared" si="375"/>
        <v>12.15909090909091</v>
      </c>
      <c r="Q2185">
        <f t="shared" si="376"/>
        <v>175.57736842105263</v>
      </c>
      <c r="R2185">
        <f t="shared" si="377"/>
        <v>175.57736842105263</v>
      </c>
      <c r="S2185" t="str">
        <f t="shared" si="378"/>
        <v>Moderate</v>
      </c>
      <c r="T2185" t="str">
        <f t="shared" si="379"/>
        <v>OZONE</v>
      </c>
    </row>
    <row r="2186" spans="1:20" x14ac:dyDescent="0.3">
      <c r="A2186" s="2" t="s">
        <v>15</v>
      </c>
      <c r="B2186">
        <v>560026</v>
      </c>
      <c r="C2186" s="5">
        <v>45743</v>
      </c>
      <c r="D2186" s="6">
        <v>44.1</v>
      </c>
      <c r="E2186" s="6">
        <v>110.07</v>
      </c>
      <c r="F2186" s="6">
        <v>12.83</v>
      </c>
      <c r="G2186" s="6">
        <v>5.52</v>
      </c>
      <c r="H2186" s="6">
        <v>16.07</v>
      </c>
      <c r="I2186" s="6">
        <v>1.21</v>
      </c>
      <c r="J2186" s="7">
        <v>80.56</v>
      </c>
      <c r="K2186">
        <f t="shared" si="370"/>
        <v>73.5</v>
      </c>
      <c r="L2186">
        <f t="shared" si="371"/>
        <v>106.71333333333332</v>
      </c>
      <c r="M2186">
        <f t="shared" si="372"/>
        <v>16.037500000000001</v>
      </c>
      <c r="N2186">
        <f t="shared" si="373"/>
        <v>1.38</v>
      </c>
      <c r="O2186">
        <f t="shared" si="374"/>
        <v>20.087499999999999</v>
      </c>
      <c r="P2186">
        <f t="shared" si="375"/>
        <v>13.75</v>
      </c>
      <c r="Q2186">
        <f t="shared" si="376"/>
        <v>134.46</v>
      </c>
      <c r="R2186">
        <f t="shared" si="377"/>
        <v>134.46</v>
      </c>
      <c r="S2186" t="str">
        <f t="shared" si="378"/>
        <v>Moderate</v>
      </c>
      <c r="T2186" t="str">
        <f t="shared" si="379"/>
        <v>OZONE</v>
      </c>
    </row>
    <row r="2187" spans="1:20" x14ac:dyDescent="0.3">
      <c r="A2187" s="2" t="s">
        <v>15</v>
      </c>
      <c r="B2187">
        <v>560026</v>
      </c>
      <c r="C2187" s="5">
        <v>45744</v>
      </c>
      <c r="D2187" s="6">
        <v>40.380000000000003</v>
      </c>
      <c r="E2187" s="6">
        <v>100.94</v>
      </c>
      <c r="F2187" s="6">
        <v>12.46</v>
      </c>
      <c r="G2187" s="6">
        <v>5.32</v>
      </c>
      <c r="H2187" s="6">
        <v>12.56</v>
      </c>
      <c r="I2187" s="6">
        <v>0.9</v>
      </c>
      <c r="J2187" s="7">
        <v>83.91</v>
      </c>
      <c r="K2187">
        <f t="shared" si="370"/>
        <v>67.300000000000011</v>
      </c>
      <c r="L2187">
        <f t="shared" si="371"/>
        <v>100.62666666666667</v>
      </c>
      <c r="M2187">
        <f t="shared" si="372"/>
        <v>15.574999999999999</v>
      </c>
      <c r="N2187">
        <f t="shared" si="373"/>
        <v>1.33</v>
      </c>
      <c r="O2187">
        <f t="shared" si="374"/>
        <v>15.7</v>
      </c>
      <c r="P2187">
        <f t="shared" si="375"/>
        <v>10.227272727272727</v>
      </c>
      <c r="Q2187">
        <f t="shared" si="376"/>
        <v>146.185</v>
      </c>
      <c r="R2187">
        <f t="shared" si="377"/>
        <v>146.185</v>
      </c>
      <c r="S2187" t="str">
        <f t="shared" si="378"/>
        <v>Moderate</v>
      </c>
      <c r="T2187" t="str">
        <f t="shared" si="379"/>
        <v>OZONE</v>
      </c>
    </row>
    <row r="2188" spans="1:20" x14ac:dyDescent="0.3">
      <c r="A2188" s="2" t="s">
        <v>15</v>
      </c>
      <c r="B2188">
        <v>560026</v>
      </c>
      <c r="C2188" s="5">
        <v>45745</v>
      </c>
      <c r="D2188" s="6">
        <v>43.07</v>
      </c>
      <c r="E2188" s="6">
        <v>107.7</v>
      </c>
      <c r="F2188" s="6">
        <v>12.52</v>
      </c>
      <c r="G2188" s="6">
        <v>6.06</v>
      </c>
      <c r="H2188" s="6">
        <v>20.8</v>
      </c>
      <c r="I2188" s="6">
        <v>0.91</v>
      </c>
      <c r="J2188" s="7">
        <v>55.59</v>
      </c>
      <c r="K2188">
        <f t="shared" si="370"/>
        <v>71.783333333333331</v>
      </c>
      <c r="L2188">
        <f t="shared" si="371"/>
        <v>105.13333333333334</v>
      </c>
      <c r="M2188">
        <f t="shared" si="372"/>
        <v>15.65</v>
      </c>
      <c r="N2188">
        <f t="shared" si="373"/>
        <v>1.5149999999999999</v>
      </c>
      <c r="O2188">
        <f t="shared" si="374"/>
        <v>26</v>
      </c>
      <c r="P2188">
        <f t="shared" si="375"/>
        <v>10.340909090909092</v>
      </c>
      <c r="Q2188">
        <f t="shared" si="376"/>
        <v>52.927333333333344</v>
      </c>
      <c r="R2188">
        <f t="shared" si="377"/>
        <v>105.13333333333334</v>
      </c>
      <c r="S2188" t="str">
        <f t="shared" si="378"/>
        <v>Moderate</v>
      </c>
      <c r="T2188" t="str">
        <f t="shared" si="379"/>
        <v>PM10</v>
      </c>
    </row>
    <row r="2189" spans="1:20" x14ac:dyDescent="0.3">
      <c r="A2189" s="2" t="s">
        <v>15</v>
      </c>
      <c r="B2189">
        <v>560026</v>
      </c>
      <c r="C2189" s="5">
        <v>45746</v>
      </c>
      <c r="D2189" s="6">
        <v>36.26</v>
      </c>
      <c r="E2189" s="6">
        <v>90.66</v>
      </c>
      <c r="F2189" s="6">
        <v>13.16</v>
      </c>
      <c r="G2189" s="6">
        <v>6.99</v>
      </c>
      <c r="H2189" s="6">
        <v>36.409999999999997</v>
      </c>
      <c r="I2189" s="6">
        <v>0.7</v>
      </c>
      <c r="J2189" s="7">
        <v>141.78</v>
      </c>
      <c r="K2189">
        <f t="shared" si="370"/>
        <v>60.43333333333333</v>
      </c>
      <c r="L2189">
        <f t="shared" si="371"/>
        <v>90.66</v>
      </c>
      <c r="M2189">
        <f t="shared" si="372"/>
        <v>16.45</v>
      </c>
      <c r="N2189">
        <f t="shared" si="373"/>
        <v>1.7475000000000001</v>
      </c>
      <c r="O2189">
        <f t="shared" si="374"/>
        <v>45.512499999999996</v>
      </c>
      <c r="P2189">
        <f t="shared" si="375"/>
        <v>7.9545454545454541</v>
      </c>
      <c r="Q2189">
        <f t="shared" si="376"/>
        <v>238.68319148936169</v>
      </c>
      <c r="R2189">
        <f t="shared" si="377"/>
        <v>238.68319148936169</v>
      </c>
      <c r="S2189" t="str">
        <f t="shared" si="378"/>
        <v>Poor</v>
      </c>
      <c r="T2189" t="str">
        <f t="shared" si="379"/>
        <v>OZONE</v>
      </c>
    </row>
    <row r="2190" spans="1:20" x14ac:dyDescent="0.3">
      <c r="A2190" s="2" t="s">
        <v>15</v>
      </c>
      <c r="B2190">
        <v>560026</v>
      </c>
      <c r="C2190" s="5">
        <v>45747</v>
      </c>
      <c r="D2190" s="6">
        <v>39.630000000000003</v>
      </c>
      <c r="E2190" s="6">
        <v>99.23</v>
      </c>
      <c r="F2190" s="6">
        <v>10.14</v>
      </c>
      <c r="G2190" s="6">
        <v>6.12</v>
      </c>
      <c r="H2190" s="6">
        <v>21.37</v>
      </c>
      <c r="I2190" s="6">
        <v>0.84</v>
      </c>
      <c r="J2190" s="7">
        <v>84.2</v>
      </c>
      <c r="K2190">
        <f t="shared" si="370"/>
        <v>66.050000000000011</v>
      </c>
      <c r="L2190">
        <f t="shared" si="371"/>
        <v>99.23</v>
      </c>
      <c r="M2190">
        <f t="shared" si="372"/>
        <v>12.675000000000001</v>
      </c>
      <c r="N2190">
        <f t="shared" si="373"/>
        <v>1.53</v>
      </c>
      <c r="O2190">
        <f t="shared" si="374"/>
        <v>26.712499999999999</v>
      </c>
      <c r="P2190">
        <f t="shared" si="375"/>
        <v>9.545454545454545</v>
      </c>
      <c r="Q2190">
        <f t="shared" si="376"/>
        <v>147.20000000000002</v>
      </c>
      <c r="R2190">
        <f t="shared" si="377"/>
        <v>147.20000000000002</v>
      </c>
      <c r="S2190" t="str">
        <f t="shared" si="378"/>
        <v>Moderate</v>
      </c>
      <c r="T2190" t="str">
        <f t="shared" si="379"/>
        <v>OZONE</v>
      </c>
    </row>
    <row r="2191" spans="1:20" x14ac:dyDescent="0.3">
      <c r="A2191" s="2" t="s">
        <v>15</v>
      </c>
      <c r="B2191">
        <v>560026</v>
      </c>
      <c r="C2191" s="5">
        <v>45748</v>
      </c>
      <c r="D2191" s="6">
        <v>40.65</v>
      </c>
      <c r="E2191" s="6">
        <v>101.68</v>
      </c>
      <c r="F2191" s="6">
        <v>5.3</v>
      </c>
      <c r="G2191" s="6">
        <v>4.22</v>
      </c>
      <c r="H2191" s="6">
        <v>26.62</v>
      </c>
      <c r="I2191" s="6">
        <v>0.69</v>
      </c>
      <c r="J2191" s="7">
        <v>84.58</v>
      </c>
      <c r="K2191">
        <f t="shared" si="370"/>
        <v>67.75</v>
      </c>
      <c r="L2191">
        <f t="shared" si="371"/>
        <v>101.12</v>
      </c>
      <c r="M2191">
        <f t="shared" si="372"/>
        <v>6.625</v>
      </c>
      <c r="N2191">
        <f t="shared" si="373"/>
        <v>1.0549999999999999</v>
      </c>
      <c r="O2191">
        <f t="shared" si="374"/>
        <v>33.274999999999999</v>
      </c>
      <c r="P2191">
        <f t="shared" si="375"/>
        <v>7.8409090909090899</v>
      </c>
      <c r="Q2191">
        <f t="shared" si="376"/>
        <v>148.53</v>
      </c>
      <c r="R2191">
        <f t="shared" si="377"/>
        <v>148.53</v>
      </c>
      <c r="S2191" t="str">
        <f t="shared" si="378"/>
        <v>Moderate</v>
      </c>
      <c r="T2191" t="str">
        <f t="shared" si="379"/>
        <v>OZONE</v>
      </c>
    </row>
    <row r="2192" spans="1:20" x14ac:dyDescent="0.3">
      <c r="A2192" s="2" t="s">
        <v>15</v>
      </c>
      <c r="B2192">
        <v>560026</v>
      </c>
      <c r="C2192" s="5">
        <v>45749</v>
      </c>
      <c r="D2192" s="6">
        <v>32.25</v>
      </c>
      <c r="E2192" s="6">
        <v>80.72</v>
      </c>
      <c r="F2192" s="6">
        <v>4.96</v>
      </c>
      <c r="G2192" s="6">
        <v>4.01</v>
      </c>
      <c r="H2192" s="6">
        <v>28.8</v>
      </c>
      <c r="I2192" s="6">
        <v>0.62</v>
      </c>
      <c r="J2192" s="7">
        <v>93.62</v>
      </c>
      <c r="K2192">
        <f t="shared" si="370"/>
        <v>53.75</v>
      </c>
      <c r="L2192">
        <f t="shared" si="371"/>
        <v>80.72</v>
      </c>
      <c r="M2192">
        <f t="shared" si="372"/>
        <v>6.2</v>
      </c>
      <c r="N2192">
        <f t="shared" si="373"/>
        <v>1.0024999999999999</v>
      </c>
      <c r="O2192">
        <f t="shared" si="374"/>
        <v>36</v>
      </c>
      <c r="P2192">
        <f t="shared" si="375"/>
        <v>7.045454545454545</v>
      </c>
      <c r="Q2192">
        <f t="shared" si="376"/>
        <v>170.65157894736842</v>
      </c>
      <c r="R2192">
        <f t="shared" si="377"/>
        <v>170.65157894736842</v>
      </c>
      <c r="S2192" t="str">
        <f t="shared" si="378"/>
        <v>Moderate</v>
      </c>
      <c r="T2192" t="str">
        <f t="shared" si="379"/>
        <v>OZONE</v>
      </c>
    </row>
    <row r="2193" spans="1:20" x14ac:dyDescent="0.3">
      <c r="A2193" s="2" t="s">
        <v>15</v>
      </c>
      <c r="B2193">
        <v>560026</v>
      </c>
      <c r="C2193" s="5">
        <v>45750</v>
      </c>
      <c r="D2193" s="6">
        <v>28.33</v>
      </c>
      <c r="E2193" s="6">
        <v>70.7</v>
      </c>
      <c r="F2193" s="6">
        <v>6.81</v>
      </c>
      <c r="G2193" s="6">
        <v>5.16</v>
      </c>
      <c r="H2193" s="6">
        <v>23.62</v>
      </c>
      <c r="I2193" s="6">
        <v>0.99</v>
      </c>
      <c r="J2193" s="7">
        <v>47.21</v>
      </c>
      <c r="K2193">
        <f t="shared" si="370"/>
        <v>47.216666666666669</v>
      </c>
      <c r="L2193">
        <f t="shared" si="371"/>
        <v>70.7</v>
      </c>
      <c r="M2193">
        <f t="shared" si="372"/>
        <v>8.5124999999999993</v>
      </c>
      <c r="N2193">
        <f t="shared" si="373"/>
        <v>1.29</v>
      </c>
      <c r="O2193">
        <f t="shared" si="374"/>
        <v>29.524999999999999</v>
      </c>
      <c r="P2193">
        <f t="shared" si="375"/>
        <v>11.25</v>
      </c>
      <c r="Q2193">
        <f t="shared" si="376"/>
        <v>43.712962962962962</v>
      </c>
      <c r="R2193">
        <f t="shared" si="377"/>
        <v>70.7</v>
      </c>
      <c r="S2193" t="str">
        <f t="shared" si="378"/>
        <v>Satisfactory</v>
      </c>
      <c r="T2193" t="str">
        <f t="shared" si="379"/>
        <v>PM10</v>
      </c>
    </row>
    <row r="2194" spans="1:20" x14ac:dyDescent="0.3">
      <c r="A2194" s="2" t="s">
        <v>15</v>
      </c>
      <c r="B2194">
        <v>560026</v>
      </c>
      <c r="C2194" s="5">
        <v>45751</v>
      </c>
      <c r="D2194" s="6">
        <v>37.619999999999997</v>
      </c>
      <c r="E2194" s="6">
        <v>94.02</v>
      </c>
      <c r="F2194" s="6">
        <v>7.34</v>
      </c>
      <c r="G2194" s="6">
        <v>5.49</v>
      </c>
      <c r="H2194" s="6">
        <v>17.88</v>
      </c>
      <c r="I2194" s="6">
        <v>1.1200000000000001</v>
      </c>
      <c r="J2194" s="7">
        <v>42.93</v>
      </c>
      <c r="K2194">
        <f t="shared" si="370"/>
        <v>62.699999999999996</v>
      </c>
      <c r="L2194">
        <f t="shared" si="371"/>
        <v>94.02</v>
      </c>
      <c r="M2194">
        <f t="shared" si="372"/>
        <v>9.1750000000000007</v>
      </c>
      <c r="N2194">
        <f t="shared" si="373"/>
        <v>1.3725000000000001</v>
      </c>
      <c r="O2194">
        <f t="shared" si="374"/>
        <v>22.35</v>
      </c>
      <c r="P2194">
        <f t="shared" si="375"/>
        <v>12.727272727272728</v>
      </c>
      <c r="Q2194">
        <f t="shared" si="376"/>
        <v>39.75</v>
      </c>
      <c r="R2194">
        <f t="shared" si="377"/>
        <v>94.02</v>
      </c>
      <c r="S2194" t="str">
        <f t="shared" si="378"/>
        <v>Satisfactory</v>
      </c>
      <c r="T2194" t="str">
        <f t="shared" si="379"/>
        <v>PM10</v>
      </c>
    </row>
    <row r="2195" spans="1:20" x14ac:dyDescent="0.3">
      <c r="A2195" s="2" t="s">
        <v>15</v>
      </c>
      <c r="B2195">
        <v>560026</v>
      </c>
      <c r="C2195" s="5">
        <v>45752</v>
      </c>
      <c r="D2195" s="6">
        <v>26.4</v>
      </c>
      <c r="E2195" s="6">
        <v>66.06</v>
      </c>
      <c r="F2195" s="6">
        <v>6.34</v>
      </c>
      <c r="G2195" s="6">
        <v>4.87</v>
      </c>
      <c r="H2195" s="6">
        <v>22.37</v>
      </c>
      <c r="I2195" s="6">
        <v>0.89</v>
      </c>
      <c r="J2195" s="7">
        <v>51.28</v>
      </c>
      <c r="K2195">
        <f t="shared" si="370"/>
        <v>44</v>
      </c>
      <c r="L2195">
        <f t="shared" si="371"/>
        <v>66.06</v>
      </c>
      <c r="M2195">
        <f t="shared" si="372"/>
        <v>7.9249999999999998</v>
      </c>
      <c r="N2195">
        <f t="shared" si="373"/>
        <v>1.2175</v>
      </c>
      <c r="O2195">
        <f t="shared" si="374"/>
        <v>27.962499999999999</v>
      </c>
      <c r="P2195">
        <f t="shared" si="375"/>
        <v>10.113636363636363</v>
      </c>
      <c r="Q2195">
        <f t="shared" si="376"/>
        <v>47.481481481481481</v>
      </c>
      <c r="R2195">
        <f t="shared" si="377"/>
        <v>66.06</v>
      </c>
      <c r="S2195" t="str">
        <f t="shared" si="378"/>
        <v>Satisfactory</v>
      </c>
      <c r="T2195" t="str">
        <f t="shared" si="379"/>
        <v>PM10</v>
      </c>
    </row>
    <row r="2196" spans="1:20" x14ac:dyDescent="0.3">
      <c r="A2196" s="2" t="s">
        <v>15</v>
      </c>
      <c r="B2196">
        <v>560026</v>
      </c>
      <c r="C2196" s="5">
        <v>45753</v>
      </c>
      <c r="D2196" s="6">
        <v>31.24</v>
      </c>
      <c r="E2196" s="6">
        <v>78.17</v>
      </c>
      <c r="F2196" s="6">
        <v>6.94</v>
      </c>
      <c r="G2196" s="6">
        <v>5.23</v>
      </c>
      <c r="H2196" s="6">
        <v>23.24</v>
      </c>
      <c r="I2196" s="6">
        <v>1.02</v>
      </c>
      <c r="J2196" s="7">
        <v>68.69</v>
      </c>
      <c r="K2196">
        <f t="shared" si="370"/>
        <v>52.066666666666663</v>
      </c>
      <c r="L2196">
        <f t="shared" si="371"/>
        <v>78.17</v>
      </c>
      <c r="M2196">
        <f t="shared" si="372"/>
        <v>8.6750000000000007</v>
      </c>
      <c r="N2196">
        <f t="shared" si="373"/>
        <v>1.3075000000000001</v>
      </c>
      <c r="O2196">
        <f t="shared" si="374"/>
        <v>29.05</v>
      </c>
      <c r="P2196">
        <f t="shared" si="375"/>
        <v>11.59090909090909</v>
      </c>
      <c r="Q2196">
        <f t="shared" si="376"/>
        <v>95.720666666666659</v>
      </c>
      <c r="R2196">
        <f t="shared" si="377"/>
        <v>95.720666666666659</v>
      </c>
      <c r="S2196" t="str">
        <f t="shared" si="378"/>
        <v>Satisfactory</v>
      </c>
      <c r="T2196" t="str">
        <f t="shared" si="379"/>
        <v>OZONE</v>
      </c>
    </row>
    <row r="2197" spans="1:20" x14ac:dyDescent="0.3">
      <c r="A2197" s="2" t="s">
        <v>15</v>
      </c>
      <c r="B2197">
        <v>560026</v>
      </c>
      <c r="C2197" s="5">
        <v>45754</v>
      </c>
      <c r="D2197" s="6">
        <v>43.31</v>
      </c>
      <c r="E2197" s="6">
        <v>108.31</v>
      </c>
      <c r="F2197" s="6">
        <v>7.75</v>
      </c>
      <c r="G2197" s="6">
        <v>5.75</v>
      </c>
      <c r="H2197" s="6">
        <v>11.8</v>
      </c>
      <c r="I2197" s="6">
        <v>1.17</v>
      </c>
      <c r="J2197" s="7">
        <v>49.63</v>
      </c>
      <c r="K2197">
        <f t="shared" si="370"/>
        <v>72.183333333333337</v>
      </c>
      <c r="L2197">
        <f t="shared" si="371"/>
        <v>105.54</v>
      </c>
      <c r="M2197">
        <f t="shared" si="372"/>
        <v>9.6875</v>
      </c>
      <c r="N2197">
        <f t="shared" si="373"/>
        <v>1.4375</v>
      </c>
      <c r="O2197">
        <f t="shared" si="374"/>
        <v>14.75</v>
      </c>
      <c r="P2197">
        <f t="shared" si="375"/>
        <v>13.295454545454545</v>
      </c>
      <c r="Q2197">
        <f t="shared" si="376"/>
        <v>45.953703703703709</v>
      </c>
      <c r="R2197">
        <f t="shared" si="377"/>
        <v>105.54</v>
      </c>
      <c r="S2197" t="str">
        <f t="shared" si="378"/>
        <v>Moderate</v>
      </c>
      <c r="T2197" t="str">
        <f t="shared" si="379"/>
        <v>PM10</v>
      </c>
    </row>
    <row r="2198" spans="1:20" x14ac:dyDescent="0.3">
      <c r="A2198" s="2" t="s">
        <v>15</v>
      </c>
      <c r="B2198">
        <v>560026</v>
      </c>
      <c r="C2198" s="5">
        <v>45755</v>
      </c>
      <c r="D2198" s="6">
        <v>29.25</v>
      </c>
      <c r="E2198" s="6">
        <v>73.13</v>
      </c>
      <c r="F2198" s="6">
        <v>6.68</v>
      </c>
      <c r="G2198" s="6">
        <v>5.08</v>
      </c>
      <c r="H2198" s="6">
        <v>20.25</v>
      </c>
      <c r="I2198" s="6">
        <v>0.97</v>
      </c>
      <c r="J2198" s="7">
        <v>77.430000000000007</v>
      </c>
      <c r="K2198">
        <f t="shared" si="370"/>
        <v>48.75</v>
      </c>
      <c r="L2198">
        <f t="shared" si="371"/>
        <v>73.13</v>
      </c>
      <c r="M2198">
        <f t="shared" si="372"/>
        <v>8.35</v>
      </c>
      <c r="N2198">
        <f t="shared" si="373"/>
        <v>1.27</v>
      </c>
      <c r="O2198">
        <f t="shared" si="374"/>
        <v>25.3125</v>
      </c>
      <c r="P2198">
        <f t="shared" si="375"/>
        <v>11.022727272727272</v>
      </c>
      <c r="Q2198">
        <f t="shared" si="376"/>
        <v>123.50500000000002</v>
      </c>
      <c r="R2198">
        <f t="shared" si="377"/>
        <v>123.50500000000002</v>
      </c>
      <c r="S2198" t="str">
        <f t="shared" si="378"/>
        <v>Moderate</v>
      </c>
      <c r="T2198" t="str">
        <f t="shared" si="379"/>
        <v>OZONE</v>
      </c>
    </row>
    <row r="2199" spans="1:20" x14ac:dyDescent="0.3">
      <c r="A2199" s="2" t="s">
        <v>15</v>
      </c>
      <c r="B2199">
        <v>560026</v>
      </c>
      <c r="C2199" s="5">
        <v>45756</v>
      </c>
      <c r="D2199" s="6">
        <v>28.549836070000001</v>
      </c>
      <c r="E2199" s="6">
        <v>71.200897960000006</v>
      </c>
      <c r="F2199" s="6">
        <v>6.6815853660000002</v>
      </c>
      <c r="G2199" s="6">
        <v>4.4747154470000003</v>
      </c>
      <c r="H2199" s="6">
        <v>13.867682930000001</v>
      </c>
      <c r="I2199" s="6">
        <v>0.63065040699999997</v>
      </c>
      <c r="J2199" s="7">
        <v>34.938699190000001</v>
      </c>
      <c r="K2199">
        <f t="shared" si="370"/>
        <v>47.583060116666665</v>
      </c>
      <c r="L2199">
        <f t="shared" si="371"/>
        <v>71.200897960000006</v>
      </c>
      <c r="M2199">
        <f t="shared" si="372"/>
        <v>8.3519817075000002</v>
      </c>
      <c r="N2199">
        <f t="shared" si="373"/>
        <v>1.1186788617500001</v>
      </c>
      <c r="O2199">
        <f t="shared" si="374"/>
        <v>17.334603662500001</v>
      </c>
      <c r="P2199">
        <f t="shared" si="375"/>
        <v>7.1664818977272722</v>
      </c>
      <c r="Q2199">
        <f t="shared" si="376"/>
        <v>32.350647398148148</v>
      </c>
      <c r="R2199">
        <f t="shared" si="377"/>
        <v>71.200897960000006</v>
      </c>
      <c r="S2199" t="str">
        <f t="shared" si="378"/>
        <v>Satisfactory</v>
      </c>
      <c r="T2199" t="str">
        <f t="shared" si="379"/>
        <v>PM10</v>
      </c>
    </row>
    <row r="2200" spans="1:20" x14ac:dyDescent="0.3">
      <c r="A2200" s="2" t="s">
        <v>15</v>
      </c>
      <c r="B2200">
        <v>560026</v>
      </c>
      <c r="C2200" s="5">
        <v>45757</v>
      </c>
      <c r="D2200" s="6">
        <v>28.549836070000001</v>
      </c>
      <c r="E2200" s="6">
        <v>71.200897960000006</v>
      </c>
      <c r="F2200" s="6">
        <v>6.6815853660000002</v>
      </c>
      <c r="G2200" s="6">
        <v>4.4747154470000003</v>
      </c>
      <c r="H2200" s="6">
        <v>13.867682930000001</v>
      </c>
      <c r="I2200" s="6">
        <v>0.63065040699999997</v>
      </c>
      <c r="J2200" s="7">
        <v>34.938699190000001</v>
      </c>
      <c r="K2200">
        <f t="shared" si="370"/>
        <v>47.583060116666665</v>
      </c>
      <c r="L2200">
        <f t="shared" si="371"/>
        <v>71.200897960000006</v>
      </c>
      <c r="M2200">
        <f t="shared" si="372"/>
        <v>8.3519817075000002</v>
      </c>
      <c r="N2200">
        <f t="shared" si="373"/>
        <v>1.1186788617500001</v>
      </c>
      <c r="O2200">
        <f t="shared" si="374"/>
        <v>17.334603662500001</v>
      </c>
      <c r="P2200">
        <f t="shared" si="375"/>
        <v>7.1664818977272722</v>
      </c>
      <c r="Q2200">
        <f t="shared" si="376"/>
        <v>32.350647398148148</v>
      </c>
      <c r="R2200">
        <f t="shared" si="377"/>
        <v>71.200897960000006</v>
      </c>
      <c r="S2200" t="str">
        <f t="shared" si="378"/>
        <v>Satisfactory</v>
      </c>
      <c r="T2200" t="str">
        <f t="shared" si="379"/>
        <v>PM10</v>
      </c>
    </row>
    <row r="2201" spans="1:20" x14ac:dyDescent="0.3">
      <c r="A2201" s="2" t="s">
        <v>15</v>
      </c>
      <c r="B2201">
        <v>560026</v>
      </c>
      <c r="C2201" s="5">
        <v>45758</v>
      </c>
      <c r="D2201" s="6">
        <v>31.25</v>
      </c>
      <c r="E2201" s="6">
        <v>78.150000000000006</v>
      </c>
      <c r="F2201" s="6">
        <v>6.59</v>
      </c>
      <c r="G2201" s="6">
        <v>5.0199999999999996</v>
      </c>
      <c r="H2201" s="6">
        <v>27.26</v>
      </c>
      <c r="I2201" s="6">
        <v>0.95</v>
      </c>
      <c r="J2201" s="7">
        <v>73.27</v>
      </c>
      <c r="K2201">
        <f t="shared" si="370"/>
        <v>52.083333333333336</v>
      </c>
      <c r="L2201">
        <f t="shared" si="371"/>
        <v>78.150000000000006</v>
      </c>
      <c r="M2201">
        <f t="shared" si="372"/>
        <v>8.2375000000000007</v>
      </c>
      <c r="N2201">
        <f t="shared" si="373"/>
        <v>1.2549999999999999</v>
      </c>
      <c r="O2201">
        <f t="shared" si="374"/>
        <v>34.075000000000003</v>
      </c>
      <c r="P2201">
        <f t="shared" si="375"/>
        <v>10.795454545454545</v>
      </c>
      <c r="Q2201">
        <f t="shared" si="376"/>
        <v>108.94499999999999</v>
      </c>
      <c r="R2201">
        <f t="shared" si="377"/>
        <v>108.94499999999999</v>
      </c>
      <c r="S2201" t="str">
        <f t="shared" si="378"/>
        <v>Moderate</v>
      </c>
      <c r="T2201" t="str">
        <f t="shared" si="379"/>
        <v>OZONE</v>
      </c>
    </row>
    <row r="2202" spans="1:20" x14ac:dyDescent="0.3">
      <c r="A2202" s="2" t="s">
        <v>15</v>
      </c>
      <c r="B2202">
        <v>560026</v>
      </c>
      <c r="C2202" s="5">
        <v>45759</v>
      </c>
      <c r="D2202" s="6">
        <v>26.99</v>
      </c>
      <c r="E2202" s="6">
        <v>67.2</v>
      </c>
      <c r="F2202" s="6">
        <v>5.69</v>
      </c>
      <c r="G2202" s="6">
        <v>4.46</v>
      </c>
      <c r="H2202" s="6">
        <v>23.63</v>
      </c>
      <c r="I2202" s="6">
        <v>0.76</v>
      </c>
      <c r="J2202" s="7">
        <v>61.65</v>
      </c>
      <c r="K2202">
        <f t="shared" si="370"/>
        <v>44.983333333333334</v>
      </c>
      <c r="L2202">
        <f t="shared" si="371"/>
        <v>67.2</v>
      </c>
      <c r="M2202">
        <f t="shared" si="372"/>
        <v>7.1124999999999998</v>
      </c>
      <c r="N2202">
        <f t="shared" si="373"/>
        <v>1.115</v>
      </c>
      <c r="O2202">
        <f t="shared" si="374"/>
        <v>29.537500000000001</v>
      </c>
      <c r="P2202">
        <f t="shared" si="375"/>
        <v>8.6363636363636367</v>
      </c>
      <c r="Q2202">
        <f t="shared" si="376"/>
        <v>72.723333333333329</v>
      </c>
      <c r="R2202">
        <f t="shared" si="377"/>
        <v>72.723333333333329</v>
      </c>
      <c r="S2202" t="str">
        <f t="shared" si="378"/>
        <v>Satisfactory</v>
      </c>
      <c r="T2202" t="str">
        <f t="shared" si="379"/>
        <v>OZONE</v>
      </c>
    </row>
    <row r="2203" spans="1:20" x14ac:dyDescent="0.3">
      <c r="A2203" s="2" t="s">
        <v>15</v>
      </c>
      <c r="B2203">
        <v>560026</v>
      </c>
      <c r="C2203" s="5">
        <v>45760</v>
      </c>
      <c r="D2203" s="6">
        <v>30.47</v>
      </c>
      <c r="E2203" s="6">
        <v>76.23</v>
      </c>
      <c r="F2203" s="6">
        <v>6.98</v>
      </c>
      <c r="G2203" s="6">
        <v>5.27</v>
      </c>
      <c r="H2203" s="6">
        <v>22.97</v>
      </c>
      <c r="I2203" s="6">
        <v>1.04</v>
      </c>
      <c r="J2203" s="7">
        <v>138.79</v>
      </c>
      <c r="K2203">
        <f t="shared" si="370"/>
        <v>50.783333333333331</v>
      </c>
      <c r="L2203">
        <f t="shared" si="371"/>
        <v>76.23</v>
      </c>
      <c r="M2203">
        <f t="shared" si="372"/>
        <v>8.7249999999999996</v>
      </c>
      <c r="N2203">
        <f t="shared" si="373"/>
        <v>1.3174999999999999</v>
      </c>
      <c r="O2203">
        <f t="shared" si="374"/>
        <v>28.712499999999999</v>
      </c>
      <c r="P2203">
        <f t="shared" si="375"/>
        <v>11.818181818181818</v>
      </c>
      <c r="Q2203">
        <f t="shared" si="376"/>
        <v>235.5341489361702</v>
      </c>
      <c r="R2203">
        <f t="shared" si="377"/>
        <v>235.5341489361702</v>
      </c>
      <c r="S2203" t="str">
        <f t="shared" si="378"/>
        <v>Poor</v>
      </c>
      <c r="T2203" t="str">
        <f t="shared" si="379"/>
        <v>OZONE</v>
      </c>
    </row>
    <row r="2204" spans="1:20" x14ac:dyDescent="0.3">
      <c r="A2204" s="2" t="s">
        <v>15</v>
      </c>
      <c r="B2204">
        <v>560026</v>
      </c>
      <c r="C2204" s="5">
        <v>45761</v>
      </c>
      <c r="D2204" s="6">
        <v>34.19</v>
      </c>
      <c r="E2204" s="6">
        <v>85.59</v>
      </c>
      <c r="F2204" s="6">
        <v>6.31</v>
      </c>
      <c r="G2204" s="6">
        <v>4.8600000000000003</v>
      </c>
      <c r="H2204" s="6">
        <v>19.87</v>
      </c>
      <c r="I2204" s="6">
        <v>0.89</v>
      </c>
      <c r="J2204" s="7">
        <v>150.1</v>
      </c>
      <c r="K2204">
        <f t="shared" si="370"/>
        <v>56.983333333333327</v>
      </c>
      <c r="L2204">
        <f t="shared" si="371"/>
        <v>85.59</v>
      </c>
      <c r="M2204">
        <f t="shared" si="372"/>
        <v>7.8875000000000002</v>
      </c>
      <c r="N2204">
        <f t="shared" si="373"/>
        <v>1.2150000000000001</v>
      </c>
      <c r="O2204">
        <f t="shared" si="374"/>
        <v>24.837499999999999</v>
      </c>
      <c r="P2204">
        <f t="shared" si="375"/>
        <v>10.113636363636363</v>
      </c>
      <c r="Q2204">
        <f t="shared" si="376"/>
        <v>247.44574468085105</v>
      </c>
      <c r="R2204">
        <f t="shared" si="377"/>
        <v>247.44574468085105</v>
      </c>
      <c r="S2204" t="str">
        <f t="shared" si="378"/>
        <v>Poor</v>
      </c>
      <c r="T2204" t="str">
        <f t="shared" si="379"/>
        <v>OZONE</v>
      </c>
    </row>
    <row r="2205" spans="1:20" x14ac:dyDescent="0.3">
      <c r="A2205" s="2" t="s">
        <v>15</v>
      </c>
      <c r="B2205">
        <v>560026</v>
      </c>
      <c r="C2205" s="5">
        <v>45762</v>
      </c>
      <c r="D2205" s="6">
        <v>24.65</v>
      </c>
      <c r="E2205" s="6">
        <v>61.49</v>
      </c>
      <c r="F2205" s="6">
        <v>5.6</v>
      </c>
      <c r="G2205" s="6">
        <v>4.41</v>
      </c>
      <c r="H2205" s="6">
        <v>15.45</v>
      </c>
      <c r="I2205" s="6">
        <v>0.74</v>
      </c>
      <c r="J2205" s="7">
        <v>188.45</v>
      </c>
      <c r="K2205">
        <f t="shared" si="370"/>
        <v>41.083333333333336</v>
      </c>
      <c r="L2205">
        <f t="shared" si="371"/>
        <v>61.49</v>
      </c>
      <c r="M2205">
        <f t="shared" si="372"/>
        <v>7</v>
      </c>
      <c r="N2205">
        <f t="shared" si="373"/>
        <v>1.1025</v>
      </c>
      <c r="O2205">
        <f t="shared" si="374"/>
        <v>19.3125</v>
      </c>
      <c r="P2205">
        <f t="shared" si="375"/>
        <v>8.4090909090909083</v>
      </c>
      <c r="Q2205">
        <f t="shared" si="376"/>
        <v>287.83563829787232</v>
      </c>
      <c r="R2205">
        <f t="shared" si="377"/>
        <v>287.83563829787232</v>
      </c>
      <c r="S2205" t="str">
        <f t="shared" si="378"/>
        <v>Poor</v>
      </c>
      <c r="T2205" t="str">
        <f t="shared" si="379"/>
        <v>OZONE</v>
      </c>
    </row>
    <row r="2206" spans="1:20" x14ac:dyDescent="0.3">
      <c r="A2206" s="2" t="s">
        <v>15</v>
      </c>
      <c r="B2206">
        <v>560026</v>
      </c>
      <c r="C2206" s="5">
        <v>45763</v>
      </c>
      <c r="D2206" s="6">
        <v>28.61</v>
      </c>
      <c r="E2206" s="6">
        <v>71.569999999999993</v>
      </c>
      <c r="F2206" s="6">
        <v>6.93</v>
      </c>
      <c r="G2206" s="6">
        <v>5.23</v>
      </c>
      <c r="H2206" s="6">
        <v>20.85</v>
      </c>
      <c r="I2206" s="6">
        <v>1.01</v>
      </c>
      <c r="J2206" s="7">
        <v>74.39</v>
      </c>
      <c r="K2206">
        <f t="shared" si="370"/>
        <v>47.68333333333333</v>
      </c>
      <c r="L2206">
        <f t="shared" si="371"/>
        <v>71.569999999999993</v>
      </c>
      <c r="M2206">
        <f t="shared" si="372"/>
        <v>8.6624999999999996</v>
      </c>
      <c r="N2206">
        <f t="shared" si="373"/>
        <v>1.3075000000000001</v>
      </c>
      <c r="O2206">
        <f t="shared" si="374"/>
        <v>26.0625</v>
      </c>
      <c r="P2206">
        <f t="shared" si="375"/>
        <v>11.477272727272727</v>
      </c>
      <c r="Q2206">
        <f t="shared" si="376"/>
        <v>112.86500000000001</v>
      </c>
      <c r="R2206">
        <f t="shared" si="377"/>
        <v>112.86500000000001</v>
      </c>
      <c r="S2206" t="str">
        <f t="shared" si="378"/>
        <v>Moderate</v>
      </c>
      <c r="T2206" t="str">
        <f t="shared" si="379"/>
        <v>OZONE</v>
      </c>
    </row>
    <row r="2207" spans="1:20" x14ac:dyDescent="0.3">
      <c r="A2207" s="2" t="s">
        <v>15</v>
      </c>
      <c r="B2207">
        <v>560026</v>
      </c>
      <c r="C2207" s="5">
        <v>45764</v>
      </c>
      <c r="D2207" s="6">
        <v>22.28</v>
      </c>
      <c r="E2207" s="6">
        <v>55.83</v>
      </c>
      <c r="F2207" s="6">
        <v>6.62</v>
      </c>
      <c r="G2207" s="6">
        <v>5.04</v>
      </c>
      <c r="H2207" s="6">
        <v>17.34</v>
      </c>
      <c r="I2207" s="6">
        <v>0.97</v>
      </c>
      <c r="J2207" s="7">
        <v>64.81</v>
      </c>
      <c r="K2207">
        <f t="shared" si="370"/>
        <v>37.133333333333333</v>
      </c>
      <c r="L2207">
        <f t="shared" si="371"/>
        <v>55.83</v>
      </c>
      <c r="M2207">
        <f t="shared" si="372"/>
        <v>8.2750000000000004</v>
      </c>
      <c r="N2207">
        <f t="shared" si="373"/>
        <v>1.26</v>
      </c>
      <c r="O2207">
        <f t="shared" si="374"/>
        <v>21.675000000000001</v>
      </c>
      <c r="P2207">
        <f t="shared" si="375"/>
        <v>11.022727272727272</v>
      </c>
      <c r="Q2207">
        <f t="shared" si="376"/>
        <v>83.046000000000006</v>
      </c>
      <c r="R2207">
        <f t="shared" si="377"/>
        <v>83.046000000000006</v>
      </c>
      <c r="S2207" t="str">
        <f t="shared" si="378"/>
        <v>Satisfactory</v>
      </c>
      <c r="T2207" t="str">
        <f t="shared" si="379"/>
        <v>OZONE</v>
      </c>
    </row>
    <row r="2208" spans="1:20" x14ac:dyDescent="0.3">
      <c r="A2208" s="2" t="s">
        <v>15</v>
      </c>
      <c r="B2208">
        <v>560026</v>
      </c>
      <c r="C2208" s="5">
        <v>45765</v>
      </c>
      <c r="D2208" s="6">
        <v>26.83</v>
      </c>
      <c r="E2208" s="6">
        <v>67.150000000000006</v>
      </c>
      <c r="F2208" s="6">
        <v>6.22</v>
      </c>
      <c r="G2208" s="6">
        <v>4.79</v>
      </c>
      <c r="H2208" s="6">
        <v>19.940000000000001</v>
      </c>
      <c r="I2208" s="6">
        <v>0.89</v>
      </c>
      <c r="J2208" s="7">
        <v>45.66</v>
      </c>
      <c r="K2208">
        <f t="shared" si="370"/>
        <v>44.716666666666669</v>
      </c>
      <c r="L2208">
        <f t="shared" si="371"/>
        <v>67.150000000000006</v>
      </c>
      <c r="M2208">
        <f t="shared" si="372"/>
        <v>7.7750000000000004</v>
      </c>
      <c r="N2208">
        <f t="shared" si="373"/>
        <v>1.1975</v>
      </c>
      <c r="O2208">
        <f t="shared" si="374"/>
        <v>24.925000000000004</v>
      </c>
      <c r="P2208">
        <f t="shared" si="375"/>
        <v>10.113636363636363</v>
      </c>
      <c r="Q2208">
        <f t="shared" si="376"/>
        <v>42.277777777777771</v>
      </c>
      <c r="R2208">
        <f t="shared" si="377"/>
        <v>67.150000000000006</v>
      </c>
      <c r="S2208" t="str">
        <f t="shared" si="378"/>
        <v>Satisfactory</v>
      </c>
      <c r="T2208" t="str">
        <f t="shared" si="379"/>
        <v>PM10</v>
      </c>
    </row>
    <row r="2209" spans="1:20" x14ac:dyDescent="0.3">
      <c r="A2209" s="2" t="s">
        <v>15</v>
      </c>
      <c r="B2209">
        <v>560026</v>
      </c>
      <c r="C2209" s="5">
        <v>45766</v>
      </c>
      <c r="D2209" s="6">
        <v>30.09</v>
      </c>
      <c r="E2209" s="6">
        <v>75.2</v>
      </c>
      <c r="F2209" s="6">
        <v>7.19</v>
      </c>
      <c r="G2209" s="6">
        <v>5.39</v>
      </c>
      <c r="H2209" s="6">
        <v>20.18</v>
      </c>
      <c r="I2209" s="6">
        <v>1.0900000000000001</v>
      </c>
      <c r="J2209" s="7">
        <v>53.23</v>
      </c>
      <c r="K2209">
        <f t="shared" si="370"/>
        <v>50.15</v>
      </c>
      <c r="L2209">
        <f t="shared" si="371"/>
        <v>75.2</v>
      </c>
      <c r="M2209">
        <f t="shared" si="372"/>
        <v>8.9875000000000007</v>
      </c>
      <c r="N2209">
        <f t="shared" si="373"/>
        <v>1.3474999999999999</v>
      </c>
      <c r="O2209">
        <f t="shared" si="374"/>
        <v>25.225000000000001</v>
      </c>
      <c r="P2209">
        <f t="shared" si="375"/>
        <v>12.386363636363637</v>
      </c>
      <c r="Q2209">
        <f t="shared" si="376"/>
        <v>49.287037037037031</v>
      </c>
      <c r="R2209">
        <f t="shared" si="377"/>
        <v>75.2</v>
      </c>
      <c r="S2209" t="str">
        <f t="shared" si="378"/>
        <v>Satisfactory</v>
      </c>
      <c r="T2209" t="str">
        <f t="shared" si="379"/>
        <v>PM10</v>
      </c>
    </row>
    <row r="2210" spans="1:20" x14ac:dyDescent="0.3">
      <c r="A2210" s="2" t="s">
        <v>15</v>
      </c>
      <c r="B2210">
        <v>560026</v>
      </c>
      <c r="C2210" s="5">
        <v>45767</v>
      </c>
      <c r="D2210" s="6">
        <v>21.24</v>
      </c>
      <c r="E2210" s="6">
        <v>53.22</v>
      </c>
      <c r="F2210" s="6">
        <v>7.43</v>
      </c>
      <c r="G2210" s="6">
        <v>5.54</v>
      </c>
      <c r="H2210" s="6">
        <v>26.56</v>
      </c>
      <c r="I2210" s="6">
        <v>1.1100000000000001</v>
      </c>
      <c r="J2210" s="7">
        <v>49.2</v>
      </c>
      <c r="K2210">
        <f t="shared" si="370"/>
        <v>35.4</v>
      </c>
      <c r="L2210">
        <f t="shared" si="371"/>
        <v>53.22</v>
      </c>
      <c r="M2210">
        <f t="shared" si="372"/>
        <v>9.2874999999999996</v>
      </c>
      <c r="N2210">
        <f t="shared" si="373"/>
        <v>1.385</v>
      </c>
      <c r="O2210">
        <f t="shared" si="374"/>
        <v>33.200000000000003</v>
      </c>
      <c r="P2210">
        <f t="shared" si="375"/>
        <v>12.613636363636365</v>
      </c>
      <c r="Q2210">
        <f t="shared" si="376"/>
        <v>45.555555555555557</v>
      </c>
      <c r="R2210">
        <f t="shared" si="377"/>
        <v>53.22</v>
      </c>
      <c r="S2210" t="str">
        <f t="shared" si="378"/>
        <v>Satisfactory</v>
      </c>
      <c r="T2210" t="str">
        <f t="shared" si="379"/>
        <v>PM10</v>
      </c>
    </row>
    <row r="2211" spans="1:20" x14ac:dyDescent="0.3">
      <c r="A2211" s="2" t="s">
        <v>15</v>
      </c>
      <c r="B2211">
        <v>560026</v>
      </c>
      <c r="C2211" s="5">
        <v>45768</v>
      </c>
      <c r="D2211" s="6">
        <v>41.9</v>
      </c>
      <c r="E2211" s="6">
        <v>104.94</v>
      </c>
      <c r="F2211" s="6">
        <v>7.15</v>
      </c>
      <c r="G2211" s="6">
        <v>5.37</v>
      </c>
      <c r="H2211" s="6">
        <v>24.39</v>
      </c>
      <c r="I2211" s="6">
        <v>1.1000000000000001</v>
      </c>
      <c r="J2211" s="7">
        <v>63.56</v>
      </c>
      <c r="K2211">
        <f t="shared" si="370"/>
        <v>69.833333333333329</v>
      </c>
      <c r="L2211">
        <f t="shared" si="371"/>
        <v>103.29333333333334</v>
      </c>
      <c r="M2211">
        <f t="shared" si="372"/>
        <v>8.9375</v>
      </c>
      <c r="N2211">
        <f t="shared" si="373"/>
        <v>1.3425</v>
      </c>
      <c r="O2211">
        <f t="shared" si="374"/>
        <v>30.487500000000001</v>
      </c>
      <c r="P2211">
        <f t="shared" si="375"/>
        <v>12.5</v>
      </c>
      <c r="Q2211">
        <f t="shared" si="376"/>
        <v>78.962666666666678</v>
      </c>
      <c r="R2211">
        <f t="shared" si="377"/>
        <v>103.29333333333334</v>
      </c>
      <c r="S2211" t="str">
        <f t="shared" si="378"/>
        <v>Moderate</v>
      </c>
      <c r="T2211" t="str">
        <f t="shared" si="379"/>
        <v>PM10</v>
      </c>
    </row>
    <row r="2212" spans="1:20" x14ac:dyDescent="0.3">
      <c r="A2212" s="2" t="s">
        <v>15</v>
      </c>
      <c r="B2212">
        <v>560026</v>
      </c>
      <c r="C2212" s="5">
        <v>45769</v>
      </c>
      <c r="D2212" s="6">
        <v>44.32</v>
      </c>
      <c r="E2212" s="6">
        <v>110.49</v>
      </c>
      <c r="F2212" s="6">
        <v>4.9400000000000004</v>
      </c>
      <c r="G2212" s="6">
        <v>4</v>
      </c>
      <c r="H2212" s="6">
        <v>25.6</v>
      </c>
      <c r="I2212" s="6">
        <v>0.64</v>
      </c>
      <c r="J2212" s="7">
        <v>57.87</v>
      </c>
      <c r="K2212">
        <f t="shared" si="370"/>
        <v>73.866666666666674</v>
      </c>
      <c r="L2212">
        <f t="shared" si="371"/>
        <v>106.99333333333333</v>
      </c>
      <c r="M2212">
        <f t="shared" si="372"/>
        <v>6.1750000000000007</v>
      </c>
      <c r="N2212">
        <f t="shared" si="373"/>
        <v>1</v>
      </c>
      <c r="O2212">
        <f t="shared" si="374"/>
        <v>32</v>
      </c>
      <c r="P2212">
        <f t="shared" si="375"/>
        <v>7.2727272727272725</v>
      </c>
      <c r="Q2212">
        <f t="shared" si="376"/>
        <v>60.375333333333323</v>
      </c>
      <c r="R2212">
        <f t="shared" si="377"/>
        <v>106.99333333333333</v>
      </c>
      <c r="S2212" t="str">
        <f t="shared" si="378"/>
        <v>Moderate</v>
      </c>
      <c r="T2212" t="str">
        <f t="shared" si="379"/>
        <v>PM10</v>
      </c>
    </row>
    <row r="2213" spans="1:20" x14ac:dyDescent="0.3">
      <c r="A2213" s="2" t="s">
        <v>15</v>
      </c>
      <c r="B2213">
        <v>560026</v>
      </c>
      <c r="C2213" s="5">
        <v>45770</v>
      </c>
      <c r="D2213" s="6">
        <v>37.799999999999997</v>
      </c>
      <c r="E2213" s="6">
        <v>94.62</v>
      </c>
      <c r="F2213" s="6">
        <v>6.34</v>
      </c>
      <c r="G2213" s="6">
        <v>4.87</v>
      </c>
      <c r="H2213" s="6">
        <v>22.45</v>
      </c>
      <c r="I2213" s="6">
        <v>0.9</v>
      </c>
      <c r="J2213" s="7">
        <v>69.7</v>
      </c>
      <c r="K2213">
        <f t="shared" si="370"/>
        <v>63</v>
      </c>
      <c r="L2213">
        <f t="shared" si="371"/>
        <v>94.62</v>
      </c>
      <c r="M2213">
        <f t="shared" si="372"/>
        <v>7.9249999999999998</v>
      </c>
      <c r="N2213">
        <f t="shared" si="373"/>
        <v>1.2175</v>
      </c>
      <c r="O2213">
        <f t="shared" si="374"/>
        <v>28.0625</v>
      </c>
      <c r="P2213">
        <f t="shared" si="375"/>
        <v>10.227272727272727</v>
      </c>
      <c r="Q2213">
        <f t="shared" si="376"/>
        <v>99.02000000000001</v>
      </c>
      <c r="R2213">
        <f t="shared" si="377"/>
        <v>99.02000000000001</v>
      </c>
      <c r="S2213" t="str">
        <f t="shared" si="378"/>
        <v>Satisfactory</v>
      </c>
      <c r="T2213" t="str">
        <f t="shared" si="379"/>
        <v>OZONE</v>
      </c>
    </row>
    <row r="2214" spans="1:20" x14ac:dyDescent="0.3">
      <c r="A2214" s="2" t="s">
        <v>15</v>
      </c>
      <c r="B2214">
        <v>560026</v>
      </c>
      <c r="C2214" s="5">
        <v>45771</v>
      </c>
      <c r="D2214" s="6">
        <v>38.78</v>
      </c>
      <c r="E2214" s="6">
        <v>97.06</v>
      </c>
      <c r="F2214" s="6">
        <v>6.69</v>
      </c>
      <c r="G2214" s="6">
        <v>5.08</v>
      </c>
      <c r="H2214" s="6">
        <v>19.309999999999999</v>
      </c>
      <c r="I2214" s="6">
        <v>0.96</v>
      </c>
      <c r="J2214" s="7">
        <v>51.45</v>
      </c>
      <c r="K2214">
        <f t="shared" si="370"/>
        <v>64.63333333333334</v>
      </c>
      <c r="L2214">
        <f t="shared" si="371"/>
        <v>97.06</v>
      </c>
      <c r="M2214">
        <f t="shared" si="372"/>
        <v>8.3625000000000007</v>
      </c>
      <c r="N2214">
        <f t="shared" si="373"/>
        <v>1.27</v>
      </c>
      <c r="O2214">
        <f t="shared" si="374"/>
        <v>24.137499999999996</v>
      </c>
      <c r="P2214">
        <f t="shared" si="375"/>
        <v>10.909090909090908</v>
      </c>
      <c r="Q2214">
        <f t="shared" si="376"/>
        <v>47.638888888888893</v>
      </c>
      <c r="R2214">
        <f t="shared" si="377"/>
        <v>97.06</v>
      </c>
      <c r="S2214" t="str">
        <f t="shared" si="378"/>
        <v>Satisfactory</v>
      </c>
      <c r="T2214" t="str">
        <f t="shared" si="379"/>
        <v>PM10</v>
      </c>
    </row>
    <row r="2215" spans="1:20" x14ac:dyDescent="0.3">
      <c r="A2215" s="2" t="s">
        <v>15</v>
      </c>
      <c r="B2215">
        <v>560026</v>
      </c>
      <c r="C2215" s="5">
        <v>45772</v>
      </c>
      <c r="D2215" s="6">
        <v>31.58</v>
      </c>
      <c r="E2215" s="6">
        <v>78.73</v>
      </c>
      <c r="F2215" s="6">
        <v>5.95</v>
      </c>
      <c r="G2215" s="6">
        <v>4.62</v>
      </c>
      <c r="H2215" s="6">
        <v>13.91</v>
      </c>
      <c r="I2215" s="6">
        <v>0.83</v>
      </c>
      <c r="J2215" s="7">
        <v>63.25</v>
      </c>
      <c r="K2215">
        <f t="shared" si="370"/>
        <v>52.633333333333333</v>
      </c>
      <c r="L2215">
        <f t="shared" si="371"/>
        <v>78.73</v>
      </c>
      <c r="M2215">
        <f t="shared" si="372"/>
        <v>7.4375</v>
      </c>
      <c r="N2215">
        <f t="shared" si="373"/>
        <v>1.155</v>
      </c>
      <c r="O2215">
        <f t="shared" si="374"/>
        <v>17.387499999999999</v>
      </c>
      <c r="P2215">
        <f t="shared" si="375"/>
        <v>9.4318181818181817</v>
      </c>
      <c r="Q2215">
        <f t="shared" si="376"/>
        <v>77.95</v>
      </c>
      <c r="R2215">
        <f t="shared" si="377"/>
        <v>78.73</v>
      </c>
      <c r="S2215" t="str">
        <f t="shared" si="378"/>
        <v>Satisfactory</v>
      </c>
      <c r="T2215" t="str">
        <f t="shared" si="379"/>
        <v>PM10</v>
      </c>
    </row>
    <row r="2216" spans="1:20" x14ac:dyDescent="0.3">
      <c r="A2216" s="2" t="s">
        <v>15</v>
      </c>
      <c r="B2216">
        <v>560026</v>
      </c>
      <c r="C2216" s="5">
        <v>45773</v>
      </c>
      <c r="D2216" s="6">
        <v>27.35</v>
      </c>
      <c r="E2216" s="6">
        <v>68.36</v>
      </c>
      <c r="F2216" s="6">
        <v>4.34</v>
      </c>
      <c r="G2216" s="6">
        <v>3.62</v>
      </c>
      <c r="H2216" s="6">
        <v>22.95</v>
      </c>
      <c r="I2216" s="6">
        <v>0.49</v>
      </c>
      <c r="J2216" s="7">
        <v>65.25</v>
      </c>
      <c r="K2216">
        <f t="shared" si="370"/>
        <v>45.583333333333336</v>
      </c>
      <c r="L2216">
        <f t="shared" si="371"/>
        <v>68.36</v>
      </c>
      <c r="M2216">
        <f t="shared" si="372"/>
        <v>5.4249999999999998</v>
      </c>
      <c r="N2216">
        <f t="shared" si="373"/>
        <v>0.90500000000000003</v>
      </c>
      <c r="O2216">
        <f t="shared" si="374"/>
        <v>28.6875</v>
      </c>
      <c r="P2216">
        <f t="shared" si="375"/>
        <v>5.5681818181818183</v>
      </c>
      <c r="Q2216">
        <f t="shared" si="376"/>
        <v>84.483333333333334</v>
      </c>
      <c r="R2216">
        <f t="shared" si="377"/>
        <v>84.483333333333334</v>
      </c>
      <c r="S2216" t="str">
        <f t="shared" si="378"/>
        <v>Satisfactory</v>
      </c>
      <c r="T2216" t="str">
        <f t="shared" si="379"/>
        <v>OZONE</v>
      </c>
    </row>
    <row r="2217" spans="1:20" x14ac:dyDescent="0.3">
      <c r="A2217" s="2" t="s">
        <v>15</v>
      </c>
      <c r="B2217">
        <v>560026</v>
      </c>
      <c r="C2217" s="5">
        <v>45774</v>
      </c>
      <c r="D2217" s="6">
        <v>26.56</v>
      </c>
      <c r="E2217" s="6">
        <v>66.34</v>
      </c>
      <c r="F2217" s="6">
        <v>4.8600000000000003</v>
      </c>
      <c r="G2217" s="6">
        <v>3.96</v>
      </c>
      <c r="H2217" s="6">
        <v>34.17</v>
      </c>
      <c r="I2217" s="6">
        <v>0.6</v>
      </c>
      <c r="J2217" s="7">
        <v>83.88</v>
      </c>
      <c r="K2217">
        <f t="shared" si="370"/>
        <v>44.266666666666666</v>
      </c>
      <c r="L2217">
        <f t="shared" si="371"/>
        <v>66.34</v>
      </c>
      <c r="M2217">
        <f t="shared" si="372"/>
        <v>6.0750000000000011</v>
      </c>
      <c r="N2217">
        <f t="shared" si="373"/>
        <v>0.99</v>
      </c>
      <c r="O2217">
        <f t="shared" si="374"/>
        <v>42.712499999999999</v>
      </c>
      <c r="P2217">
        <f t="shared" si="375"/>
        <v>6.8181818181818175</v>
      </c>
      <c r="Q2217">
        <f t="shared" si="376"/>
        <v>146.07999999999998</v>
      </c>
      <c r="R2217">
        <f t="shared" si="377"/>
        <v>146.07999999999998</v>
      </c>
      <c r="S2217" t="str">
        <f t="shared" si="378"/>
        <v>Moderate</v>
      </c>
      <c r="T2217" t="str">
        <f t="shared" si="379"/>
        <v>OZONE</v>
      </c>
    </row>
    <row r="2218" spans="1:20" x14ac:dyDescent="0.3">
      <c r="A2218" s="2" t="s">
        <v>15</v>
      </c>
      <c r="B2218">
        <v>560026</v>
      </c>
      <c r="C2218" s="5">
        <v>45775</v>
      </c>
      <c r="D2218" s="6">
        <v>29.29</v>
      </c>
      <c r="E2218" s="6">
        <v>73.400000000000006</v>
      </c>
      <c r="F2218" s="6">
        <v>7.94</v>
      </c>
      <c r="G2218" s="6">
        <v>5.85</v>
      </c>
      <c r="H2218" s="6">
        <v>22.56</v>
      </c>
      <c r="I2218" s="6">
        <v>1.21</v>
      </c>
      <c r="J2218" s="7">
        <v>61.47</v>
      </c>
      <c r="K2218">
        <f t="shared" si="370"/>
        <v>48.81666666666667</v>
      </c>
      <c r="L2218">
        <f t="shared" si="371"/>
        <v>73.400000000000006</v>
      </c>
      <c r="M2218">
        <f t="shared" si="372"/>
        <v>9.9250000000000007</v>
      </c>
      <c r="N2218">
        <f t="shared" si="373"/>
        <v>1.4624999999999999</v>
      </c>
      <c r="O2218">
        <f t="shared" si="374"/>
        <v>28.2</v>
      </c>
      <c r="P2218">
        <f t="shared" si="375"/>
        <v>13.75</v>
      </c>
      <c r="Q2218">
        <f t="shared" si="376"/>
        <v>72.135333333333335</v>
      </c>
      <c r="R2218">
        <f t="shared" si="377"/>
        <v>73.400000000000006</v>
      </c>
      <c r="S2218" t="str">
        <f t="shared" si="378"/>
        <v>Satisfactory</v>
      </c>
      <c r="T2218" t="str">
        <f t="shared" si="379"/>
        <v>PM10</v>
      </c>
    </row>
    <row r="2219" spans="1:20" x14ac:dyDescent="0.3">
      <c r="A2219" s="2" t="s">
        <v>15</v>
      </c>
      <c r="B2219">
        <v>560026</v>
      </c>
      <c r="C2219" s="5">
        <v>45776</v>
      </c>
      <c r="D2219" s="6">
        <v>30.53</v>
      </c>
      <c r="E2219" s="6">
        <v>76.34</v>
      </c>
      <c r="F2219" s="6">
        <v>6.01</v>
      </c>
      <c r="G2219" s="6">
        <v>4.66</v>
      </c>
      <c r="H2219" s="6">
        <v>23.16</v>
      </c>
      <c r="I2219" s="6">
        <v>0.83</v>
      </c>
      <c r="J2219" s="7">
        <v>64.010000000000005</v>
      </c>
      <c r="K2219">
        <f t="shared" si="370"/>
        <v>50.883333333333333</v>
      </c>
      <c r="L2219">
        <f t="shared" si="371"/>
        <v>76.34</v>
      </c>
      <c r="M2219">
        <f t="shared" si="372"/>
        <v>7.5125000000000002</v>
      </c>
      <c r="N2219">
        <f t="shared" si="373"/>
        <v>1.165</v>
      </c>
      <c r="O2219">
        <f t="shared" si="374"/>
        <v>28.95</v>
      </c>
      <c r="P2219">
        <f t="shared" si="375"/>
        <v>9.4318181818181817</v>
      </c>
      <c r="Q2219">
        <f t="shared" si="376"/>
        <v>80.432666666666677</v>
      </c>
      <c r="R2219">
        <f t="shared" si="377"/>
        <v>80.432666666666677</v>
      </c>
      <c r="S2219" t="str">
        <f t="shared" si="378"/>
        <v>Satisfactory</v>
      </c>
      <c r="T2219" t="str">
        <f t="shared" si="379"/>
        <v>OZONE</v>
      </c>
    </row>
    <row r="2220" spans="1:20" x14ac:dyDescent="0.3">
      <c r="A2220" s="2" t="s">
        <v>15</v>
      </c>
      <c r="B2220">
        <v>560026</v>
      </c>
      <c r="C2220" s="5">
        <v>45777</v>
      </c>
      <c r="D2220" s="6">
        <v>30.9</v>
      </c>
      <c r="E2220" s="6">
        <v>77.290000000000006</v>
      </c>
      <c r="F2220" s="6">
        <v>6.18</v>
      </c>
      <c r="G2220" s="6">
        <v>4.7699999999999996</v>
      </c>
      <c r="H2220" s="6">
        <v>26.23</v>
      </c>
      <c r="I2220" s="6">
        <v>0.87</v>
      </c>
      <c r="J2220" s="7">
        <v>52.39</v>
      </c>
      <c r="K2220">
        <f t="shared" si="370"/>
        <v>51.5</v>
      </c>
      <c r="L2220">
        <f t="shared" si="371"/>
        <v>77.290000000000006</v>
      </c>
      <c r="M2220">
        <f t="shared" si="372"/>
        <v>7.7249999999999996</v>
      </c>
      <c r="N2220">
        <f t="shared" si="373"/>
        <v>1.1924999999999999</v>
      </c>
      <c r="O2220">
        <f t="shared" si="374"/>
        <v>32.787500000000001</v>
      </c>
      <c r="P2220">
        <f t="shared" si="375"/>
        <v>9.8863636363636367</v>
      </c>
      <c r="Q2220">
        <f t="shared" si="376"/>
        <v>48.50925925925926</v>
      </c>
      <c r="R2220">
        <f t="shared" si="377"/>
        <v>77.290000000000006</v>
      </c>
      <c r="S2220" t="str">
        <f t="shared" si="378"/>
        <v>Satisfactory</v>
      </c>
      <c r="T2220" t="str">
        <f t="shared" si="379"/>
        <v>PM10</v>
      </c>
    </row>
    <row r="2221" spans="1:20" x14ac:dyDescent="0.3">
      <c r="A2221" s="2" t="s">
        <v>15</v>
      </c>
      <c r="B2221">
        <v>560026</v>
      </c>
      <c r="C2221" s="5">
        <v>45778</v>
      </c>
      <c r="D2221" s="6">
        <v>22.24</v>
      </c>
      <c r="E2221" s="6">
        <v>55.56</v>
      </c>
      <c r="F2221" s="6">
        <v>3.26</v>
      </c>
      <c r="G2221" s="6">
        <v>2.96</v>
      </c>
      <c r="H2221" s="6">
        <v>31.19</v>
      </c>
      <c r="I2221" s="6">
        <v>0.4</v>
      </c>
      <c r="J2221" s="7">
        <v>13.01</v>
      </c>
      <c r="K2221">
        <f t="shared" si="370"/>
        <v>37.06666666666667</v>
      </c>
      <c r="L2221">
        <f t="shared" si="371"/>
        <v>55.56</v>
      </c>
      <c r="M2221">
        <f t="shared" si="372"/>
        <v>4.0750000000000002</v>
      </c>
      <c r="N2221">
        <f t="shared" si="373"/>
        <v>0.74</v>
      </c>
      <c r="O2221">
        <f t="shared" si="374"/>
        <v>38.987499999999997</v>
      </c>
      <c r="P2221">
        <f t="shared" si="375"/>
        <v>4.5454545454545459</v>
      </c>
      <c r="Q2221">
        <f t="shared" si="376"/>
        <v>12.046296296296296</v>
      </c>
      <c r="R2221">
        <f t="shared" si="377"/>
        <v>55.56</v>
      </c>
      <c r="S2221" t="str">
        <f t="shared" si="378"/>
        <v>Satisfactory</v>
      </c>
      <c r="T2221" t="str">
        <f t="shared" si="379"/>
        <v>PM10</v>
      </c>
    </row>
    <row r="2222" spans="1:20" x14ac:dyDescent="0.3">
      <c r="A2222" s="2" t="s">
        <v>15</v>
      </c>
      <c r="B2222">
        <v>560026</v>
      </c>
      <c r="C2222" s="5">
        <v>45779</v>
      </c>
      <c r="D2222" s="6">
        <v>29.79</v>
      </c>
      <c r="E2222" s="6">
        <v>74.31</v>
      </c>
      <c r="F2222" s="6">
        <v>6.03</v>
      </c>
      <c r="G2222" s="6">
        <v>4.45</v>
      </c>
      <c r="H2222" s="6">
        <v>24.92</v>
      </c>
      <c r="I2222" s="6">
        <v>0.7</v>
      </c>
      <c r="J2222" s="7">
        <v>15.34</v>
      </c>
      <c r="K2222">
        <f t="shared" si="370"/>
        <v>49.65</v>
      </c>
      <c r="L2222">
        <f t="shared" si="371"/>
        <v>74.31</v>
      </c>
      <c r="M2222">
        <f t="shared" si="372"/>
        <v>7.5374999999999996</v>
      </c>
      <c r="N2222">
        <f t="shared" si="373"/>
        <v>1.1125</v>
      </c>
      <c r="O2222">
        <f t="shared" si="374"/>
        <v>31.15</v>
      </c>
      <c r="P2222">
        <f t="shared" si="375"/>
        <v>7.9545454545454541</v>
      </c>
      <c r="Q2222">
        <f t="shared" si="376"/>
        <v>14.203703703703704</v>
      </c>
      <c r="R2222">
        <f t="shared" si="377"/>
        <v>74.31</v>
      </c>
      <c r="S2222" t="str">
        <f t="shared" si="378"/>
        <v>Satisfactory</v>
      </c>
      <c r="T2222" t="str">
        <f t="shared" si="379"/>
        <v>PM10</v>
      </c>
    </row>
    <row r="2223" spans="1:20" x14ac:dyDescent="0.3">
      <c r="A2223" s="2" t="s">
        <v>15</v>
      </c>
      <c r="B2223">
        <v>560026</v>
      </c>
      <c r="C2223" s="5">
        <v>45780</v>
      </c>
      <c r="D2223" s="6">
        <v>23.54</v>
      </c>
      <c r="E2223" s="6">
        <v>58.96</v>
      </c>
      <c r="F2223" s="6">
        <v>8.14</v>
      </c>
      <c r="G2223" s="6">
        <v>5.99</v>
      </c>
      <c r="H2223" s="6">
        <v>27.55</v>
      </c>
      <c r="I2223" s="6">
        <v>0.96</v>
      </c>
      <c r="J2223" s="7">
        <v>22.5</v>
      </c>
      <c r="K2223">
        <f t="shared" si="370"/>
        <v>39.233333333333334</v>
      </c>
      <c r="L2223">
        <f t="shared" si="371"/>
        <v>58.96</v>
      </c>
      <c r="M2223">
        <f t="shared" si="372"/>
        <v>10.175000000000001</v>
      </c>
      <c r="N2223">
        <f t="shared" si="373"/>
        <v>1.4975000000000001</v>
      </c>
      <c r="O2223">
        <f t="shared" si="374"/>
        <v>34.4375</v>
      </c>
      <c r="P2223">
        <f t="shared" si="375"/>
        <v>10.909090909090908</v>
      </c>
      <c r="Q2223">
        <f t="shared" si="376"/>
        <v>20.833333333333332</v>
      </c>
      <c r="R2223">
        <f t="shared" si="377"/>
        <v>58.96</v>
      </c>
      <c r="S2223" t="str">
        <f t="shared" si="378"/>
        <v>Satisfactory</v>
      </c>
      <c r="T2223" t="str">
        <f t="shared" si="379"/>
        <v>PM10</v>
      </c>
    </row>
    <row r="2224" spans="1:20" x14ac:dyDescent="0.3">
      <c r="A2224" s="2" t="s">
        <v>15</v>
      </c>
      <c r="B2224">
        <v>560026</v>
      </c>
      <c r="C2224" s="5">
        <v>45781</v>
      </c>
      <c r="D2224" s="6">
        <v>44.71</v>
      </c>
      <c r="E2224" s="6">
        <v>111.78</v>
      </c>
      <c r="F2224" s="6">
        <v>7.85</v>
      </c>
      <c r="G2224" s="6">
        <v>5.75</v>
      </c>
      <c r="H2224" s="6">
        <v>36.58</v>
      </c>
      <c r="I2224" s="6">
        <v>1.1399999999999999</v>
      </c>
      <c r="J2224" s="7">
        <v>20.85</v>
      </c>
      <c r="K2224">
        <f t="shared" si="370"/>
        <v>74.516666666666666</v>
      </c>
      <c r="L2224">
        <f t="shared" si="371"/>
        <v>107.85333333333334</v>
      </c>
      <c r="M2224">
        <f t="shared" si="372"/>
        <v>9.8125</v>
      </c>
      <c r="N2224">
        <f t="shared" si="373"/>
        <v>1.4375</v>
      </c>
      <c r="O2224">
        <f t="shared" si="374"/>
        <v>45.725000000000001</v>
      </c>
      <c r="P2224">
        <f t="shared" si="375"/>
        <v>12.954545454545453</v>
      </c>
      <c r="Q2224">
        <f t="shared" si="376"/>
        <v>19.305555555555557</v>
      </c>
      <c r="R2224">
        <f t="shared" si="377"/>
        <v>107.85333333333334</v>
      </c>
      <c r="S2224" t="str">
        <f t="shared" si="378"/>
        <v>Moderate</v>
      </c>
      <c r="T2224" t="str">
        <f t="shared" si="379"/>
        <v>PM10</v>
      </c>
    </row>
    <row r="2225" spans="1:20" x14ac:dyDescent="0.3">
      <c r="A2225" s="2" t="s">
        <v>15</v>
      </c>
      <c r="B2225">
        <v>560026</v>
      </c>
      <c r="C2225" s="5">
        <v>45782</v>
      </c>
      <c r="D2225" s="6">
        <v>24.52</v>
      </c>
      <c r="E2225" s="6">
        <v>61.31</v>
      </c>
      <c r="F2225" s="6">
        <v>6.17</v>
      </c>
      <c r="G2225" s="6">
        <v>4.76</v>
      </c>
      <c r="H2225" s="6">
        <v>28.08</v>
      </c>
      <c r="I2225" s="6">
        <v>0.6</v>
      </c>
      <c r="J2225" s="7">
        <v>35.130000000000003</v>
      </c>
      <c r="K2225">
        <f t="shared" si="370"/>
        <v>40.866666666666667</v>
      </c>
      <c r="L2225">
        <f t="shared" si="371"/>
        <v>61.31</v>
      </c>
      <c r="M2225">
        <f t="shared" si="372"/>
        <v>7.7125000000000004</v>
      </c>
      <c r="N2225">
        <f t="shared" si="373"/>
        <v>1.19</v>
      </c>
      <c r="O2225">
        <f t="shared" si="374"/>
        <v>35.1</v>
      </c>
      <c r="P2225">
        <f t="shared" si="375"/>
        <v>6.8181818181818175</v>
      </c>
      <c r="Q2225">
        <f t="shared" si="376"/>
        <v>32.527777777777779</v>
      </c>
      <c r="R2225">
        <f t="shared" si="377"/>
        <v>61.31</v>
      </c>
      <c r="S2225" t="str">
        <f t="shared" si="378"/>
        <v>Satisfactory</v>
      </c>
      <c r="T2225" t="str">
        <f t="shared" si="379"/>
        <v>PM10</v>
      </c>
    </row>
    <row r="2226" spans="1:20" x14ac:dyDescent="0.3">
      <c r="A2226" s="2" t="s">
        <v>15</v>
      </c>
      <c r="B2226">
        <v>560026</v>
      </c>
      <c r="C2226" s="5">
        <v>45783</v>
      </c>
      <c r="D2226" s="6">
        <v>32.75</v>
      </c>
      <c r="E2226" s="6">
        <v>81.709999999999994</v>
      </c>
      <c r="F2226" s="6">
        <v>7.48</v>
      </c>
      <c r="G2226" s="6">
        <v>5.47</v>
      </c>
      <c r="H2226" s="6">
        <v>37.75</v>
      </c>
      <c r="I2226" s="6">
        <v>0.86</v>
      </c>
      <c r="J2226" s="7">
        <v>26.09</v>
      </c>
      <c r="K2226">
        <f t="shared" si="370"/>
        <v>54.583333333333336</v>
      </c>
      <c r="L2226">
        <f t="shared" si="371"/>
        <v>81.709999999999994</v>
      </c>
      <c r="M2226">
        <f t="shared" si="372"/>
        <v>9.35</v>
      </c>
      <c r="N2226">
        <f t="shared" si="373"/>
        <v>1.3674999999999999</v>
      </c>
      <c r="O2226">
        <f t="shared" si="374"/>
        <v>47.1875</v>
      </c>
      <c r="P2226">
        <f t="shared" si="375"/>
        <v>9.7727272727272716</v>
      </c>
      <c r="Q2226">
        <f t="shared" si="376"/>
        <v>24.157407407407408</v>
      </c>
      <c r="R2226">
        <f t="shared" si="377"/>
        <v>81.709999999999994</v>
      </c>
      <c r="S2226" t="str">
        <f t="shared" si="378"/>
        <v>Satisfactory</v>
      </c>
      <c r="T2226" t="str">
        <f t="shared" si="379"/>
        <v>PM10</v>
      </c>
    </row>
    <row r="2227" spans="1:20" x14ac:dyDescent="0.3">
      <c r="A2227" s="2" t="s">
        <v>15</v>
      </c>
      <c r="B2227">
        <v>560026</v>
      </c>
      <c r="C2227" s="5">
        <v>45784</v>
      </c>
      <c r="D2227" s="6">
        <v>29.62</v>
      </c>
      <c r="E2227" s="6">
        <v>73.92</v>
      </c>
      <c r="F2227" s="6">
        <v>7.13</v>
      </c>
      <c r="G2227" s="6">
        <v>5.36</v>
      </c>
      <c r="H2227" s="6">
        <v>27.62</v>
      </c>
      <c r="I2227" s="6">
        <v>0.83</v>
      </c>
      <c r="J2227" s="7">
        <v>26.57</v>
      </c>
      <c r="K2227">
        <f t="shared" si="370"/>
        <v>49.366666666666667</v>
      </c>
      <c r="L2227">
        <f t="shared" si="371"/>
        <v>73.92</v>
      </c>
      <c r="M2227">
        <f t="shared" si="372"/>
        <v>8.9124999999999996</v>
      </c>
      <c r="N2227">
        <f t="shared" si="373"/>
        <v>1.34</v>
      </c>
      <c r="O2227">
        <f t="shared" si="374"/>
        <v>34.524999999999999</v>
      </c>
      <c r="P2227">
        <f t="shared" si="375"/>
        <v>9.4318181818181817</v>
      </c>
      <c r="Q2227">
        <f t="shared" si="376"/>
        <v>24.601851851851851</v>
      </c>
      <c r="R2227">
        <f t="shared" si="377"/>
        <v>73.92</v>
      </c>
      <c r="S2227" t="str">
        <f t="shared" si="378"/>
        <v>Satisfactory</v>
      </c>
      <c r="T2227" t="str">
        <f t="shared" si="379"/>
        <v>PM10</v>
      </c>
    </row>
    <row r="2228" spans="1:20" x14ac:dyDescent="0.3">
      <c r="A2228" s="2" t="s">
        <v>15</v>
      </c>
      <c r="B2228">
        <v>560026</v>
      </c>
      <c r="C2228" s="5">
        <v>45785</v>
      </c>
      <c r="D2228" s="6">
        <v>20.190000000000001</v>
      </c>
      <c r="E2228" s="6">
        <v>50.56</v>
      </c>
      <c r="F2228" s="6">
        <v>5.96</v>
      </c>
      <c r="G2228" s="6">
        <v>4.6399999999999997</v>
      </c>
      <c r="H2228" s="6">
        <v>29.41</v>
      </c>
      <c r="I2228" s="6">
        <v>0.54</v>
      </c>
      <c r="J2228" s="7">
        <v>27.49</v>
      </c>
      <c r="K2228">
        <f t="shared" si="370"/>
        <v>33.650000000000006</v>
      </c>
      <c r="L2228">
        <f t="shared" si="371"/>
        <v>50.56</v>
      </c>
      <c r="M2228">
        <f t="shared" si="372"/>
        <v>7.45</v>
      </c>
      <c r="N2228">
        <f t="shared" si="373"/>
        <v>1.1599999999999999</v>
      </c>
      <c r="O2228">
        <f t="shared" si="374"/>
        <v>36.762500000000003</v>
      </c>
      <c r="P2228">
        <f t="shared" si="375"/>
        <v>6.1363636363636367</v>
      </c>
      <c r="Q2228">
        <f t="shared" si="376"/>
        <v>25.453703703703702</v>
      </c>
      <c r="R2228">
        <f t="shared" si="377"/>
        <v>50.56</v>
      </c>
      <c r="S2228" t="str">
        <f t="shared" si="378"/>
        <v>Satisfactory</v>
      </c>
      <c r="T2228" t="str">
        <f t="shared" si="379"/>
        <v>PM10</v>
      </c>
    </row>
    <row r="2229" spans="1:20" x14ac:dyDescent="0.3">
      <c r="A2229" s="2" t="s">
        <v>15</v>
      </c>
      <c r="B2229">
        <v>560026</v>
      </c>
      <c r="C2229" s="5">
        <v>45786</v>
      </c>
      <c r="D2229" s="6">
        <v>31.43</v>
      </c>
      <c r="E2229" s="6">
        <v>78.83</v>
      </c>
      <c r="F2229" s="6">
        <v>6.4</v>
      </c>
      <c r="G2229" s="6">
        <v>4.9000000000000004</v>
      </c>
      <c r="H2229" s="6">
        <v>36.130000000000003</v>
      </c>
      <c r="I2229" s="6">
        <v>0.83</v>
      </c>
      <c r="J2229" s="7">
        <v>25.91</v>
      </c>
      <c r="K2229">
        <f t="shared" si="370"/>
        <v>52.383333333333333</v>
      </c>
      <c r="L2229">
        <f t="shared" si="371"/>
        <v>78.83</v>
      </c>
      <c r="M2229">
        <f t="shared" si="372"/>
        <v>8</v>
      </c>
      <c r="N2229">
        <f t="shared" si="373"/>
        <v>1.2250000000000001</v>
      </c>
      <c r="O2229">
        <f t="shared" si="374"/>
        <v>45.162500000000009</v>
      </c>
      <c r="P2229">
        <f t="shared" si="375"/>
        <v>9.4318181818181817</v>
      </c>
      <c r="Q2229">
        <f t="shared" si="376"/>
        <v>23.99074074074074</v>
      </c>
      <c r="R2229">
        <f t="shared" si="377"/>
        <v>78.83</v>
      </c>
      <c r="S2229" t="str">
        <f t="shared" si="378"/>
        <v>Satisfactory</v>
      </c>
      <c r="T2229" t="str">
        <f t="shared" si="379"/>
        <v>PM10</v>
      </c>
    </row>
    <row r="2230" spans="1:20" x14ac:dyDescent="0.3">
      <c r="A2230" s="2" t="s">
        <v>15</v>
      </c>
      <c r="B2230">
        <v>560026</v>
      </c>
      <c r="C2230" s="5">
        <v>45787</v>
      </c>
      <c r="D2230" s="6">
        <v>29.37</v>
      </c>
      <c r="E2230" s="6">
        <v>73.52</v>
      </c>
      <c r="F2230" s="6">
        <v>5.83</v>
      </c>
      <c r="G2230" s="6">
        <v>4.55</v>
      </c>
      <c r="H2230" s="6">
        <v>32.659999999999997</v>
      </c>
      <c r="I2230" s="6">
        <v>0.9</v>
      </c>
      <c r="J2230" s="7">
        <v>30.28</v>
      </c>
      <c r="K2230">
        <f t="shared" si="370"/>
        <v>48.95</v>
      </c>
      <c r="L2230">
        <f t="shared" si="371"/>
        <v>73.52</v>
      </c>
      <c r="M2230">
        <f t="shared" si="372"/>
        <v>7.2874999999999996</v>
      </c>
      <c r="N2230">
        <f t="shared" si="373"/>
        <v>1.1375</v>
      </c>
      <c r="O2230">
        <f t="shared" si="374"/>
        <v>40.824999999999996</v>
      </c>
      <c r="P2230">
        <f t="shared" si="375"/>
        <v>10.227272727272727</v>
      </c>
      <c r="Q2230">
        <f t="shared" si="376"/>
        <v>28.037037037037038</v>
      </c>
      <c r="R2230">
        <f t="shared" si="377"/>
        <v>73.52</v>
      </c>
      <c r="S2230" t="str">
        <f t="shared" si="378"/>
        <v>Satisfactory</v>
      </c>
      <c r="T2230" t="str">
        <f t="shared" si="379"/>
        <v>PM10</v>
      </c>
    </row>
    <row r="2231" spans="1:20" x14ac:dyDescent="0.3">
      <c r="A2231" s="2" t="s">
        <v>15</v>
      </c>
      <c r="B2231">
        <v>560026</v>
      </c>
      <c r="C2231" s="5">
        <v>45788</v>
      </c>
      <c r="D2231" s="6">
        <v>26.06</v>
      </c>
      <c r="E2231" s="6">
        <v>65.150000000000006</v>
      </c>
      <c r="F2231" s="6">
        <v>7.03</v>
      </c>
      <c r="G2231" s="6">
        <v>5.29</v>
      </c>
      <c r="H2231" s="6">
        <v>37.07</v>
      </c>
      <c r="I2231" s="6">
        <v>0.92</v>
      </c>
      <c r="J2231" s="7">
        <v>34.04</v>
      </c>
      <c r="K2231">
        <f t="shared" si="370"/>
        <v>43.43333333333333</v>
      </c>
      <c r="L2231">
        <f t="shared" si="371"/>
        <v>65.150000000000006</v>
      </c>
      <c r="M2231">
        <f t="shared" si="372"/>
        <v>8.7874999999999996</v>
      </c>
      <c r="N2231">
        <f t="shared" si="373"/>
        <v>1.3225</v>
      </c>
      <c r="O2231">
        <f t="shared" si="374"/>
        <v>46.337499999999999</v>
      </c>
      <c r="P2231">
        <f t="shared" si="375"/>
        <v>10.454545454545455</v>
      </c>
      <c r="Q2231">
        <f t="shared" si="376"/>
        <v>31.518518518518519</v>
      </c>
      <c r="R2231">
        <f t="shared" si="377"/>
        <v>65.150000000000006</v>
      </c>
      <c r="S2231" t="str">
        <f t="shared" si="378"/>
        <v>Satisfactory</v>
      </c>
      <c r="T2231" t="str">
        <f t="shared" si="379"/>
        <v>PM10</v>
      </c>
    </row>
    <row r="2232" spans="1:20" x14ac:dyDescent="0.3">
      <c r="A2232" s="2" t="s">
        <v>15</v>
      </c>
      <c r="B2232">
        <v>560026</v>
      </c>
      <c r="C2232" s="5">
        <v>45789</v>
      </c>
      <c r="D2232" s="6">
        <v>18.04</v>
      </c>
      <c r="E2232" s="6">
        <v>45.15</v>
      </c>
      <c r="F2232" s="6">
        <v>4.47</v>
      </c>
      <c r="G2232" s="6">
        <v>3.71</v>
      </c>
      <c r="H2232" s="6">
        <v>37.36</v>
      </c>
      <c r="I2232" s="6">
        <v>0.45</v>
      </c>
      <c r="J2232" s="7">
        <v>31.35</v>
      </c>
      <c r="K2232">
        <f t="shared" si="370"/>
        <v>30.066666666666666</v>
      </c>
      <c r="L2232">
        <f t="shared" si="371"/>
        <v>45.15</v>
      </c>
      <c r="M2232">
        <f t="shared" si="372"/>
        <v>5.5875000000000004</v>
      </c>
      <c r="N2232">
        <f t="shared" si="373"/>
        <v>0.92749999999999999</v>
      </c>
      <c r="O2232">
        <f t="shared" si="374"/>
        <v>46.7</v>
      </c>
      <c r="P2232">
        <f t="shared" si="375"/>
        <v>5.1136363636363633</v>
      </c>
      <c r="Q2232">
        <f t="shared" si="376"/>
        <v>29.027777777777779</v>
      </c>
      <c r="R2232">
        <f t="shared" si="377"/>
        <v>46.7</v>
      </c>
      <c r="S2232" t="str">
        <f t="shared" si="378"/>
        <v>Good</v>
      </c>
      <c r="T2232" t="str">
        <f t="shared" si="379"/>
        <v>SO2</v>
      </c>
    </row>
    <row r="2233" spans="1:20" x14ac:dyDescent="0.3">
      <c r="A2233" s="2" t="s">
        <v>15</v>
      </c>
      <c r="B2233">
        <v>560026</v>
      </c>
      <c r="C2233" s="5">
        <v>45790</v>
      </c>
      <c r="D2233" s="6">
        <v>19.63</v>
      </c>
      <c r="E2233" s="6">
        <v>49.18</v>
      </c>
      <c r="F2233" s="6">
        <v>3.85</v>
      </c>
      <c r="G2233" s="6">
        <v>3.29</v>
      </c>
      <c r="H2233" s="6">
        <v>45.87</v>
      </c>
      <c r="I2233" s="6">
        <v>0.44</v>
      </c>
      <c r="J2233" s="7">
        <v>34.979999999999997</v>
      </c>
      <c r="K2233">
        <f t="shared" si="370"/>
        <v>32.716666666666669</v>
      </c>
      <c r="L2233">
        <f t="shared" si="371"/>
        <v>49.18</v>
      </c>
      <c r="M2233">
        <f t="shared" si="372"/>
        <v>4.8125</v>
      </c>
      <c r="N2233">
        <f t="shared" si="373"/>
        <v>0.82250000000000001</v>
      </c>
      <c r="O2233">
        <f t="shared" si="374"/>
        <v>57.337499999999999</v>
      </c>
      <c r="P2233">
        <f t="shared" si="375"/>
        <v>5</v>
      </c>
      <c r="Q2233">
        <f t="shared" si="376"/>
        <v>32.388888888888886</v>
      </c>
      <c r="R2233">
        <f t="shared" si="377"/>
        <v>57.337499999999999</v>
      </c>
      <c r="S2233" t="str">
        <f t="shared" si="378"/>
        <v>Satisfactory</v>
      </c>
      <c r="T2233" t="str">
        <f t="shared" si="379"/>
        <v>SO2</v>
      </c>
    </row>
    <row r="2234" spans="1:20" x14ac:dyDescent="0.3">
      <c r="A2234" s="2" t="s">
        <v>15</v>
      </c>
      <c r="B2234">
        <v>560026</v>
      </c>
      <c r="C2234" s="5">
        <v>45791</v>
      </c>
      <c r="D2234" s="6">
        <v>23.29</v>
      </c>
      <c r="E2234" s="6">
        <v>58.19</v>
      </c>
      <c r="F2234" s="6">
        <v>6.33</v>
      </c>
      <c r="G2234" s="6">
        <v>4.8600000000000003</v>
      </c>
      <c r="H2234" s="6">
        <v>35.880000000000003</v>
      </c>
      <c r="I2234" s="6">
        <v>0.91</v>
      </c>
      <c r="J2234" s="7">
        <v>44.73</v>
      </c>
      <c r="K2234">
        <f t="shared" si="370"/>
        <v>38.81666666666667</v>
      </c>
      <c r="L2234">
        <f t="shared" si="371"/>
        <v>58.19</v>
      </c>
      <c r="M2234">
        <f t="shared" si="372"/>
        <v>7.9124999999999996</v>
      </c>
      <c r="N2234">
        <f t="shared" si="373"/>
        <v>1.2150000000000001</v>
      </c>
      <c r="O2234">
        <f t="shared" si="374"/>
        <v>44.850000000000009</v>
      </c>
      <c r="P2234">
        <f t="shared" si="375"/>
        <v>10.340909090909092</v>
      </c>
      <c r="Q2234">
        <f t="shared" si="376"/>
        <v>41.416666666666664</v>
      </c>
      <c r="R2234">
        <f t="shared" si="377"/>
        <v>58.19</v>
      </c>
      <c r="S2234" t="str">
        <f t="shared" si="378"/>
        <v>Satisfactory</v>
      </c>
      <c r="T2234" t="str">
        <f t="shared" si="379"/>
        <v>PM10</v>
      </c>
    </row>
    <row r="2235" spans="1:20" x14ac:dyDescent="0.3">
      <c r="A2235" s="2" t="s">
        <v>15</v>
      </c>
      <c r="B2235">
        <v>560026</v>
      </c>
      <c r="C2235" s="5">
        <v>45792</v>
      </c>
      <c r="D2235" s="6">
        <v>16.579999999999998</v>
      </c>
      <c r="E2235" s="6">
        <v>41.38</v>
      </c>
      <c r="F2235" s="6">
        <v>4.4000000000000004</v>
      </c>
      <c r="G2235" s="6">
        <v>3.66</v>
      </c>
      <c r="H2235" s="6">
        <v>32.159999999999997</v>
      </c>
      <c r="I2235" s="6">
        <v>0.37</v>
      </c>
      <c r="J2235" s="7">
        <v>40.08</v>
      </c>
      <c r="K2235">
        <f t="shared" si="370"/>
        <v>27.633333333333329</v>
      </c>
      <c r="L2235">
        <f t="shared" si="371"/>
        <v>41.38</v>
      </c>
      <c r="M2235">
        <f t="shared" si="372"/>
        <v>5.5000000000000009</v>
      </c>
      <c r="N2235">
        <f t="shared" si="373"/>
        <v>0.91500000000000004</v>
      </c>
      <c r="O2235">
        <f t="shared" si="374"/>
        <v>40.199999999999996</v>
      </c>
      <c r="P2235">
        <f t="shared" si="375"/>
        <v>4.2045454545454541</v>
      </c>
      <c r="Q2235">
        <f t="shared" si="376"/>
        <v>37.111111111111107</v>
      </c>
      <c r="R2235">
        <f t="shared" si="377"/>
        <v>41.38</v>
      </c>
      <c r="S2235" t="str">
        <f t="shared" si="378"/>
        <v>Good</v>
      </c>
      <c r="T2235" t="str">
        <f t="shared" si="379"/>
        <v>PM10</v>
      </c>
    </row>
    <row r="2236" spans="1:20" x14ac:dyDescent="0.3">
      <c r="A2236" s="2" t="s">
        <v>15</v>
      </c>
      <c r="B2236">
        <v>560026</v>
      </c>
      <c r="C2236" s="5">
        <v>45793</v>
      </c>
      <c r="D2236" s="6">
        <v>20.100000000000001</v>
      </c>
      <c r="E2236" s="6">
        <v>50.27</v>
      </c>
      <c r="F2236" s="6">
        <v>4.4000000000000004</v>
      </c>
      <c r="G2236" s="6">
        <v>3.67</v>
      </c>
      <c r="H2236" s="6">
        <v>43.19</v>
      </c>
      <c r="I2236" s="6">
        <v>0.6</v>
      </c>
      <c r="J2236" s="7">
        <v>35.270000000000003</v>
      </c>
      <c r="K2236">
        <f t="shared" si="370"/>
        <v>33.500000000000007</v>
      </c>
      <c r="L2236">
        <f t="shared" si="371"/>
        <v>50.27</v>
      </c>
      <c r="M2236">
        <f t="shared" si="372"/>
        <v>5.5000000000000009</v>
      </c>
      <c r="N2236">
        <f t="shared" si="373"/>
        <v>0.91749999999999998</v>
      </c>
      <c r="O2236">
        <f t="shared" si="374"/>
        <v>53.987499999999997</v>
      </c>
      <c r="P2236">
        <f t="shared" si="375"/>
        <v>6.8181818181818175</v>
      </c>
      <c r="Q2236">
        <f t="shared" si="376"/>
        <v>32.657407407407412</v>
      </c>
      <c r="R2236">
        <f t="shared" si="377"/>
        <v>53.987499999999997</v>
      </c>
      <c r="S2236" t="str">
        <f t="shared" si="378"/>
        <v>Satisfactory</v>
      </c>
      <c r="T2236" t="str">
        <f t="shared" si="379"/>
        <v>SO2</v>
      </c>
    </row>
    <row r="2237" spans="1:20" x14ac:dyDescent="0.3">
      <c r="A2237" s="2" t="s">
        <v>15</v>
      </c>
      <c r="B2237">
        <v>560026</v>
      </c>
      <c r="C2237" s="5">
        <v>45794</v>
      </c>
      <c r="D2237" s="6">
        <v>14.25</v>
      </c>
      <c r="E2237" s="6">
        <v>35.68</v>
      </c>
      <c r="F2237" s="6">
        <v>3.68</v>
      </c>
      <c r="G2237" s="6">
        <v>3.22</v>
      </c>
      <c r="H2237" s="6">
        <v>36.01</v>
      </c>
      <c r="I2237" s="6">
        <v>0.43</v>
      </c>
      <c r="J2237" s="7">
        <v>23.49</v>
      </c>
      <c r="K2237">
        <f t="shared" si="370"/>
        <v>23.75</v>
      </c>
      <c r="L2237">
        <f t="shared" si="371"/>
        <v>35.68</v>
      </c>
      <c r="M2237">
        <f t="shared" si="372"/>
        <v>4.5999999999999996</v>
      </c>
      <c r="N2237">
        <f t="shared" si="373"/>
        <v>0.80500000000000005</v>
      </c>
      <c r="O2237">
        <f t="shared" si="374"/>
        <v>45.012500000000003</v>
      </c>
      <c r="P2237">
        <f t="shared" si="375"/>
        <v>4.8863636363636358</v>
      </c>
      <c r="Q2237">
        <f t="shared" si="376"/>
        <v>21.75</v>
      </c>
      <c r="R2237">
        <f t="shared" si="377"/>
        <v>45.012500000000003</v>
      </c>
      <c r="S2237" t="str">
        <f t="shared" si="378"/>
        <v>Good</v>
      </c>
      <c r="T2237" t="str">
        <f t="shared" si="379"/>
        <v>SO2</v>
      </c>
    </row>
    <row r="2238" spans="1:20" x14ac:dyDescent="0.3">
      <c r="A2238" s="2" t="s">
        <v>15</v>
      </c>
      <c r="B2238">
        <v>560026</v>
      </c>
      <c r="C2238" s="5">
        <v>45795</v>
      </c>
      <c r="D2238" s="6">
        <v>17.23</v>
      </c>
      <c r="E2238" s="6">
        <v>43.18</v>
      </c>
      <c r="F2238" s="6">
        <v>3.72</v>
      </c>
      <c r="G2238" s="6">
        <v>3.24</v>
      </c>
      <c r="H2238" s="6">
        <v>24.28</v>
      </c>
      <c r="I2238" s="6">
        <v>0.49</v>
      </c>
      <c r="J2238" s="7">
        <v>26.16</v>
      </c>
      <c r="K2238">
        <f t="shared" si="370"/>
        <v>28.716666666666665</v>
      </c>
      <c r="L2238">
        <f t="shared" si="371"/>
        <v>43.18</v>
      </c>
      <c r="M2238">
        <f t="shared" si="372"/>
        <v>4.6500000000000004</v>
      </c>
      <c r="N2238">
        <f t="shared" si="373"/>
        <v>0.81</v>
      </c>
      <c r="O2238">
        <f t="shared" si="374"/>
        <v>30.35</v>
      </c>
      <c r="P2238">
        <f t="shared" si="375"/>
        <v>5.5681818181818183</v>
      </c>
      <c r="Q2238">
        <f t="shared" si="376"/>
        <v>24.222222222222221</v>
      </c>
      <c r="R2238">
        <f t="shared" si="377"/>
        <v>43.18</v>
      </c>
      <c r="S2238" t="str">
        <f t="shared" si="378"/>
        <v>Good</v>
      </c>
      <c r="T2238" t="str">
        <f t="shared" si="379"/>
        <v>PM10</v>
      </c>
    </row>
    <row r="2239" spans="1:20" x14ac:dyDescent="0.3">
      <c r="A2239" s="2" t="s">
        <v>15</v>
      </c>
      <c r="B2239">
        <v>560026</v>
      </c>
      <c r="C2239" s="5">
        <v>45796</v>
      </c>
      <c r="D2239" s="6">
        <v>12.38</v>
      </c>
      <c r="E2239" s="6">
        <v>30.95</v>
      </c>
      <c r="F2239" s="6">
        <v>4.0999999999999996</v>
      </c>
      <c r="G2239" s="6">
        <v>3.42</v>
      </c>
      <c r="H2239" s="6">
        <v>25.43</v>
      </c>
      <c r="I2239" s="6">
        <v>0.57999999999999996</v>
      </c>
      <c r="J2239" s="7">
        <v>19.39</v>
      </c>
      <c r="K2239">
        <f t="shared" ref="K2239:K2302" si="380">IF(ISTEXT(D2239),0,IF(D2239&lt;=30,D2239*50/30,IF(AND(D2239&gt;30,D2239&lt;=60),50+(D2239-30)*50/30,IF(AND(D2239&gt;60,D2239&lt;=90),100+(D2239-60)*100/30,IF(AND(D2239&gt;90,D2239&lt;=120),200+(D2239-90)*(100/30),IF(AND(D2239&gt;120,D2239&lt;=250),300+(D2239-120)*(100/130),IF(D2239&gt;250,400+(D2239-250)*(100/130))))))))</f>
        <v>20.633333333333333</v>
      </c>
      <c r="L2239">
        <f t="shared" ref="L2239:L2302" si="381">IF(ISTEXT(E2239),0,IF(E2239&lt;=50,E2239,IF(AND(E2239&gt;50,E2239&lt;=100),E2239,IF(AND(E2239&gt;100,E2239&lt;=250),100+(E2239-100)*100/150,IF(AND(E2239&gt;250,E2239&lt;=350),200+(E2239-250),IF(AND(E2239&gt;350,E2239&lt;=430),300+(E2239-350)*(100/80),IF(E2239&gt;430,400+(E2239-430)*(100/80))))))))</f>
        <v>30.95</v>
      </c>
      <c r="M2239">
        <f t="shared" ref="M2239:M2302" si="382">IF(ISTEXT(F2239),0,IF(F2239&lt;=40,F2239*50/40,IF(AND(F2239&gt;40,F2239&lt;=80),50+(F2239-40)*50/40,IF(AND(F2239&gt;80,F2239&lt;=180),100+(F2239-80)*100/100,IF(AND(F2239&gt;180,F2239&lt;=280),200+(F2239-180)*(100/100),IF(AND(F2239&gt;280,F2239&lt;=400),300+(F2239-280)*(100/120),IF(F2239&gt;400,400+(F2239-400)*(100/120))))))))</f>
        <v>5.1249999999999991</v>
      </c>
      <c r="N2239">
        <f t="shared" ref="N2239:N2302" si="383">IF(ISTEXT(G2239),0,IF(G2239&lt;=200,G2239*50/200,IF(AND(G2239&gt;200,G2239&lt;=400),50+(G2239-200)*50/200,IF(AND(G2239&gt;400,G2239&lt;=800),100+(G2239-400)*100/400,IF(AND(G2239&gt;800,G2239&lt;=1200),200+(G2239-800)*(100/400),IF(AND(G2239&gt;1200,G2239&lt;=1800),300+(G2239-1200)*(100/600),IF(G2239&gt;1800,400+(G2239-1800)*(100/600))))))))</f>
        <v>0.85499999999999998</v>
      </c>
      <c r="O2239">
        <f t="shared" ref="O2239:O2302" si="384">IF(ISTEXT(H2239),0,IF(H2239&lt;=40,H2239*50/40,IF(AND(H2239&gt;40,H2239&lt;=80),50+(H2239-40)*50/40,IF(AND(H2239&gt;80,H2239&lt;=380),100+(H2239-80)*100/300,IF(AND(H2239&gt;380,H2239&lt;=800),200+(H2239-380)*(100/420),IF(AND(H2239&gt;800,H2239&lt;=1600),300+(H2239-800)*(100/800),IF(H2239&gt;1600,400+(H2239-1600)*(100/800))))))))</f>
        <v>31.787500000000001</v>
      </c>
      <c r="P2239">
        <f t="shared" ref="P2239:P2302" si="385">IF(I2239&lt;=4.4,(50-0)/(4.4-0)*(I2239-0)+0,
IF(I2239&lt;=9.4,(100-51)/(9.4-4.5)*(I2239-4.5)+51,
IF(I2239&lt;=12.4,(150-101)/(12.4-9.5)*(I2239-9.5)+101,
IF(I2239&lt;=15.4,(200-151)/(15.4-12.5)*(I2239-12.5)+151,
IF(I2239&lt;=30.4,(300-201)/(30.4-15.5)*(I2239-15.5)+201,
(500-301)/(50.4-30.5)*(I2239-30.5)+301)))))</f>
        <v>6.5909090909090899</v>
      </c>
      <c r="Q2239">
        <f t="shared" ref="Q2239:Q2302" si="386">IF(J2239&lt;=54,(50-0)/(54-0)*(J2239-0)+0,
IF(J2239&lt;=70,(100-51)/(70-55)*(J2239-55)+51,
IF(J2239&lt;=85,(150-101)/(85-71)*(J2239-71)+101,
IF(J2239&lt;=105,(200-151)/(105-86)*(J2239-86)+151,
IF(J2239&lt;=200,(300-201)/(200-106)*(J2239-106)+201,
(500-301)/(300-201)*(J2239-201)+301)))))</f>
        <v>17.953703703703706</v>
      </c>
      <c r="R2239">
        <f t="shared" ref="R2239:R2302" si="387">MAX(K2239:Q2239)</f>
        <v>31.787500000000001</v>
      </c>
      <c r="S2239" t="str">
        <f t="shared" ref="S2239:S2302" si="388">IF(R2239&lt;=50,"Good",
IF(R2239&lt;=100,"Satisfactory",
IF(R2239&lt;=200,"Moderate",
IF(R2239&lt;=300,"Poor",
IF(R2239&lt;=400,"Very Poor",
"Severe")))))</f>
        <v>Good</v>
      </c>
      <c r="T2239" t="str">
        <f t="shared" ref="T2239:T2302" si="389">IF(MAX(K2239:Q2239)=K2239,"PM2.5",
IF(MAX(K2239:Q2239)=L2239,"PM10",
IF(MAX(K2239:Q2239)=M2239,"NO2",
IF(MAX(K2239:Q2239)=N2239,"NH3",
IF(MAX(K2239:Q2239)=O2239,"SO2",
IF(MAX(K2239:Q2239)=P2239,"CO",
IF(MAX(K2239:Q2239)=Q2239,"OZONE","")))))))</f>
        <v>SO2</v>
      </c>
    </row>
    <row r="2240" spans="1:20" x14ac:dyDescent="0.3">
      <c r="A2240" s="2" t="s">
        <v>15</v>
      </c>
      <c r="B2240">
        <v>560026</v>
      </c>
      <c r="C2240" s="5">
        <v>45797</v>
      </c>
      <c r="D2240" s="6">
        <v>10.9</v>
      </c>
      <c r="E2240" s="6">
        <v>27.01</v>
      </c>
      <c r="F2240" s="6">
        <v>6.03</v>
      </c>
      <c r="G2240" s="6">
        <v>4.68</v>
      </c>
      <c r="H2240" s="6">
        <v>39.15</v>
      </c>
      <c r="I2240" s="6">
        <v>0.57999999999999996</v>
      </c>
      <c r="J2240" s="7">
        <v>13.4</v>
      </c>
      <c r="K2240">
        <f t="shared" si="380"/>
        <v>18.166666666666668</v>
      </c>
      <c r="L2240">
        <f t="shared" si="381"/>
        <v>27.01</v>
      </c>
      <c r="M2240">
        <f t="shared" si="382"/>
        <v>7.5374999999999996</v>
      </c>
      <c r="N2240">
        <f t="shared" si="383"/>
        <v>1.17</v>
      </c>
      <c r="O2240">
        <f t="shared" si="384"/>
        <v>48.9375</v>
      </c>
      <c r="P2240">
        <f t="shared" si="385"/>
        <v>6.5909090909090899</v>
      </c>
      <c r="Q2240">
        <f t="shared" si="386"/>
        <v>12.407407407407408</v>
      </c>
      <c r="R2240">
        <f t="shared" si="387"/>
        <v>48.9375</v>
      </c>
      <c r="S2240" t="str">
        <f t="shared" si="388"/>
        <v>Good</v>
      </c>
      <c r="T2240" t="str">
        <f t="shared" si="389"/>
        <v>SO2</v>
      </c>
    </row>
    <row r="2241" spans="1:20" x14ac:dyDescent="0.3">
      <c r="A2241" s="2" t="s">
        <v>15</v>
      </c>
      <c r="B2241">
        <v>560026</v>
      </c>
      <c r="C2241" s="5">
        <v>45798</v>
      </c>
      <c r="D2241" s="6">
        <v>13.54</v>
      </c>
      <c r="E2241" s="6">
        <v>33.85</v>
      </c>
      <c r="F2241" s="6">
        <v>4.43</v>
      </c>
      <c r="G2241" s="6">
        <v>3.65</v>
      </c>
      <c r="H2241" s="6">
        <v>21.71</v>
      </c>
      <c r="I2241" s="6">
        <v>0.83</v>
      </c>
      <c r="J2241" s="7">
        <v>16.670000000000002</v>
      </c>
      <c r="K2241">
        <f t="shared" si="380"/>
        <v>22.566666666666666</v>
      </c>
      <c r="L2241">
        <f t="shared" si="381"/>
        <v>33.85</v>
      </c>
      <c r="M2241">
        <f t="shared" si="382"/>
        <v>5.5374999999999996</v>
      </c>
      <c r="N2241">
        <f t="shared" si="383"/>
        <v>0.91249999999999998</v>
      </c>
      <c r="O2241">
        <f t="shared" si="384"/>
        <v>27.137499999999999</v>
      </c>
      <c r="P2241">
        <f t="shared" si="385"/>
        <v>9.4318181818181817</v>
      </c>
      <c r="Q2241">
        <f t="shared" si="386"/>
        <v>15.435185185185187</v>
      </c>
      <c r="R2241">
        <f t="shared" si="387"/>
        <v>33.85</v>
      </c>
      <c r="S2241" t="str">
        <f t="shared" si="388"/>
        <v>Good</v>
      </c>
      <c r="T2241" t="str">
        <f t="shared" si="389"/>
        <v>PM10</v>
      </c>
    </row>
    <row r="2242" spans="1:20" x14ac:dyDescent="0.3">
      <c r="A2242" s="2" t="s">
        <v>15</v>
      </c>
      <c r="B2242">
        <v>560026</v>
      </c>
      <c r="C2242" s="5">
        <v>45799</v>
      </c>
      <c r="D2242" s="6">
        <v>33.380000000000003</v>
      </c>
      <c r="E2242" s="6">
        <v>83.6</v>
      </c>
      <c r="F2242" s="6">
        <v>5.49</v>
      </c>
      <c r="G2242" s="6">
        <v>4.33</v>
      </c>
      <c r="H2242" s="6">
        <v>19.79</v>
      </c>
      <c r="I2242" s="6">
        <v>0.52</v>
      </c>
      <c r="J2242" s="7">
        <v>14.52</v>
      </c>
      <c r="K2242">
        <f t="shared" si="380"/>
        <v>55.63333333333334</v>
      </c>
      <c r="L2242">
        <f t="shared" si="381"/>
        <v>83.6</v>
      </c>
      <c r="M2242">
        <f t="shared" si="382"/>
        <v>6.8624999999999998</v>
      </c>
      <c r="N2242">
        <f t="shared" si="383"/>
        <v>1.0825</v>
      </c>
      <c r="O2242">
        <f t="shared" si="384"/>
        <v>24.737500000000001</v>
      </c>
      <c r="P2242">
        <f t="shared" si="385"/>
        <v>5.9090909090909092</v>
      </c>
      <c r="Q2242">
        <f t="shared" si="386"/>
        <v>13.444444444444445</v>
      </c>
      <c r="R2242">
        <f t="shared" si="387"/>
        <v>83.6</v>
      </c>
      <c r="S2242" t="str">
        <f t="shared" si="388"/>
        <v>Satisfactory</v>
      </c>
      <c r="T2242" t="str">
        <f t="shared" si="389"/>
        <v>PM10</v>
      </c>
    </row>
    <row r="2243" spans="1:20" x14ac:dyDescent="0.3">
      <c r="A2243" s="2" t="s">
        <v>15</v>
      </c>
      <c r="B2243">
        <v>560026</v>
      </c>
      <c r="C2243" s="5">
        <v>45800</v>
      </c>
      <c r="D2243" s="6">
        <v>28.73</v>
      </c>
      <c r="E2243" s="6">
        <v>71.900000000000006</v>
      </c>
      <c r="F2243" s="6">
        <v>2.2999999999999998</v>
      </c>
      <c r="G2243" s="6">
        <v>2.34</v>
      </c>
      <c r="H2243" s="6">
        <v>3.95</v>
      </c>
      <c r="I2243" s="6">
        <v>0.2</v>
      </c>
      <c r="J2243" s="7">
        <v>12.3</v>
      </c>
      <c r="K2243">
        <f t="shared" si="380"/>
        <v>47.883333333333333</v>
      </c>
      <c r="L2243">
        <f t="shared" si="381"/>
        <v>71.900000000000006</v>
      </c>
      <c r="M2243">
        <f t="shared" si="382"/>
        <v>2.8749999999999996</v>
      </c>
      <c r="N2243">
        <f t="shared" si="383"/>
        <v>0.58499999999999996</v>
      </c>
      <c r="O2243">
        <f t="shared" si="384"/>
        <v>4.9375</v>
      </c>
      <c r="P2243">
        <f t="shared" si="385"/>
        <v>2.2727272727272729</v>
      </c>
      <c r="Q2243">
        <f t="shared" si="386"/>
        <v>11.388888888888889</v>
      </c>
      <c r="R2243">
        <f t="shared" si="387"/>
        <v>71.900000000000006</v>
      </c>
      <c r="S2243" t="str">
        <f t="shared" si="388"/>
        <v>Satisfactory</v>
      </c>
      <c r="T2243" t="str">
        <f t="shared" si="389"/>
        <v>PM10</v>
      </c>
    </row>
    <row r="2244" spans="1:20" x14ac:dyDescent="0.3">
      <c r="A2244" s="2" t="s">
        <v>15</v>
      </c>
      <c r="B2244">
        <v>560026</v>
      </c>
      <c r="C2244" s="5">
        <v>45801</v>
      </c>
      <c r="D2244" s="6">
        <v>19.22</v>
      </c>
      <c r="E2244" s="6">
        <v>47.94</v>
      </c>
      <c r="F2244" s="6">
        <v>2.67</v>
      </c>
      <c r="G2244" s="6">
        <v>2.59</v>
      </c>
      <c r="H2244" s="6">
        <v>3.51</v>
      </c>
      <c r="I2244" s="6">
        <v>0.17</v>
      </c>
      <c r="J2244" s="7">
        <v>12.06</v>
      </c>
      <c r="K2244">
        <f t="shared" si="380"/>
        <v>32.033333333333331</v>
      </c>
      <c r="L2244">
        <f t="shared" si="381"/>
        <v>47.94</v>
      </c>
      <c r="M2244">
        <f t="shared" si="382"/>
        <v>3.3374999999999999</v>
      </c>
      <c r="N2244">
        <f t="shared" si="383"/>
        <v>0.64749999999999996</v>
      </c>
      <c r="O2244">
        <f t="shared" si="384"/>
        <v>4.3875000000000002</v>
      </c>
      <c r="P2244">
        <f t="shared" si="385"/>
        <v>1.9318181818181819</v>
      </c>
      <c r="Q2244">
        <f t="shared" si="386"/>
        <v>11.166666666666668</v>
      </c>
      <c r="R2244">
        <f t="shared" si="387"/>
        <v>47.94</v>
      </c>
      <c r="S2244" t="str">
        <f t="shared" si="388"/>
        <v>Good</v>
      </c>
      <c r="T2244" t="str">
        <f t="shared" si="389"/>
        <v>PM10</v>
      </c>
    </row>
    <row r="2245" spans="1:20" x14ac:dyDescent="0.3">
      <c r="A2245" s="2" t="s">
        <v>15</v>
      </c>
      <c r="B2245">
        <v>560026</v>
      </c>
      <c r="C2245" s="5">
        <v>45802</v>
      </c>
      <c r="D2245" s="6">
        <v>10.27</v>
      </c>
      <c r="E2245" s="6">
        <v>25.38</v>
      </c>
      <c r="F2245" s="6">
        <v>1.92</v>
      </c>
      <c r="G2245" s="6">
        <v>2.11</v>
      </c>
      <c r="H2245" s="6">
        <v>2.02</v>
      </c>
      <c r="I2245" s="6">
        <v>0.14000000000000001</v>
      </c>
      <c r="J2245" s="7">
        <v>12.45</v>
      </c>
      <c r="K2245">
        <f t="shared" si="380"/>
        <v>17.116666666666667</v>
      </c>
      <c r="L2245">
        <f t="shared" si="381"/>
        <v>25.38</v>
      </c>
      <c r="M2245">
        <f t="shared" si="382"/>
        <v>2.4</v>
      </c>
      <c r="N2245">
        <f t="shared" si="383"/>
        <v>0.52749999999999997</v>
      </c>
      <c r="O2245">
        <f t="shared" si="384"/>
        <v>2.5249999999999999</v>
      </c>
      <c r="P2245">
        <f t="shared" si="385"/>
        <v>1.5909090909090911</v>
      </c>
      <c r="Q2245">
        <f t="shared" si="386"/>
        <v>11.527777777777777</v>
      </c>
      <c r="R2245">
        <f t="shared" si="387"/>
        <v>25.38</v>
      </c>
      <c r="S2245" t="str">
        <f t="shared" si="388"/>
        <v>Good</v>
      </c>
      <c r="T2245" t="str">
        <f t="shared" si="389"/>
        <v>PM10</v>
      </c>
    </row>
    <row r="2246" spans="1:20" x14ac:dyDescent="0.3">
      <c r="A2246" s="2" t="s">
        <v>15</v>
      </c>
      <c r="B2246">
        <v>560026</v>
      </c>
      <c r="C2246" s="5">
        <v>45803</v>
      </c>
      <c r="D2246" s="6">
        <v>7.2</v>
      </c>
      <c r="E2246" s="6">
        <v>17.8</v>
      </c>
      <c r="F2246" s="6">
        <v>2.0499999999999998</v>
      </c>
      <c r="G2246" s="6">
        <v>2.14</v>
      </c>
      <c r="H2246" s="6">
        <v>1.99</v>
      </c>
      <c r="I2246" s="6">
        <v>0.17</v>
      </c>
      <c r="J2246" s="7">
        <v>11.75</v>
      </c>
      <c r="K2246">
        <f t="shared" si="380"/>
        <v>12</v>
      </c>
      <c r="L2246">
        <f t="shared" si="381"/>
        <v>17.8</v>
      </c>
      <c r="M2246">
        <f t="shared" si="382"/>
        <v>2.5624999999999996</v>
      </c>
      <c r="N2246">
        <f t="shared" si="383"/>
        <v>0.53500000000000003</v>
      </c>
      <c r="O2246">
        <f t="shared" si="384"/>
        <v>2.4874999999999998</v>
      </c>
      <c r="P2246">
        <f t="shared" si="385"/>
        <v>1.9318181818181819</v>
      </c>
      <c r="Q2246">
        <f t="shared" si="386"/>
        <v>10.87962962962963</v>
      </c>
      <c r="R2246">
        <f t="shared" si="387"/>
        <v>17.8</v>
      </c>
      <c r="S2246" t="str">
        <f t="shared" si="388"/>
        <v>Good</v>
      </c>
      <c r="T2246" t="str">
        <f t="shared" si="389"/>
        <v>PM10</v>
      </c>
    </row>
    <row r="2247" spans="1:20" x14ac:dyDescent="0.3">
      <c r="A2247" s="2" t="s">
        <v>15</v>
      </c>
      <c r="B2247">
        <v>560026</v>
      </c>
      <c r="C2247" s="5">
        <v>45804</v>
      </c>
      <c r="D2247" s="6">
        <v>20.39</v>
      </c>
      <c r="E2247" s="6">
        <v>51.14</v>
      </c>
      <c r="F2247" s="6">
        <v>2.4900000000000002</v>
      </c>
      <c r="G2247" s="6">
        <v>2.36</v>
      </c>
      <c r="H2247" s="6">
        <v>2.76</v>
      </c>
      <c r="I2247" s="6">
        <v>0.2</v>
      </c>
      <c r="J2247" s="7">
        <v>11.06</v>
      </c>
      <c r="K2247">
        <f t="shared" si="380"/>
        <v>33.983333333333334</v>
      </c>
      <c r="L2247">
        <f t="shared" si="381"/>
        <v>51.14</v>
      </c>
      <c r="M2247">
        <f t="shared" si="382"/>
        <v>3.1125000000000003</v>
      </c>
      <c r="N2247">
        <f t="shared" si="383"/>
        <v>0.59</v>
      </c>
      <c r="O2247">
        <f t="shared" si="384"/>
        <v>3.45</v>
      </c>
      <c r="P2247">
        <f t="shared" si="385"/>
        <v>2.2727272727272729</v>
      </c>
      <c r="Q2247">
        <f t="shared" si="386"/>
        <v>10.24074074074074</v>
      </c>
      <c r="R2247">
        <f t="shared" si="387"/>
        <v>51.14</v>
      </c>
      <c r="S2247" t="str">
        <f t="shared" si="388"/>
        <v>Satisfactory</v>
      </c>
      <c r="T2247" t="str">
        <f t="shared" si="389"/>
        <v>PM10</v>
      </c>
    </row>
    <row r="2248" spans="1:20" x14ac:dyDescent="0.3">
      <c r="A2248" s="2" t="s">
        <v>15</v>
      </c>
      <c r="B2248">
        <v>560026</v>
      </c>
      <c r="C2248" s="5">
        <v>45805</v>
      </c>
      <c r="D2248" s="6">
        <v>20.74</v>
      </c>
      <c r="E2248" s="6">
        <v>51.83</v>
      </c>
      <c r="F2248" s="6">
        <v>2.41</v>
      </c>
      <c r="G2248" s="6">
        <v>2.4</v>
      </c>
      <c r="H2248" s="6">
        <v>3.01</v>
      </c>
      <c r="I2248" s="6">
        <v>0.18</v>
      </c>
      <c r="J2248" s="7">
        <v>10.91</v>
      </c>
      <c r="K2248">
        <f t="shared" si="380"/>
        <v>34.56666666666667</v>
      </c>
      <c r="L2248">
        <f t="shared" si="381"/>
        <v>51.83</v>
      </c>
      <c r="M2248">
        <f t="shared" si="382"/>
        <v>3.0125000000000002</v>
      </c>
      <c r="N2248">
        <f t="shared" si="383"/>
        <v>0.6</v>
      </c>
      <c r="O2248">
        <f t="shared" si="384"/>
        <v>3.7625000000000002</v>
      </c>
      <c r="P2248">
        <f t="shared" si="385"/>
        <v>2.0454545454545454</v>
      </c>
      <c r="Q2248">
        <f t="shared" si="386"/>
        <v>10.101851851851851</v>
      </c>
      <c r="R2248">
        <f t="shared" si="387"/>
        <v>51.83</v>
      </c>
      <c r="S2248" t="str">
        <f t="shared" si="388"/>
        <v>Satisfactory</v>
      </c>
      <c r="T2248" t="str">
        <f t="shared" si="389"/>
        <v>PM10</v>
      </c>
    </row>
    <row r="2249" spans="1:20" x14ac:dyDescent="0.3">
      <c r="A2249" s="2" t="s">
        <v>15</v>
      </c>
      <c r="B2249">
        <v>560026</v>
      </c>
      <c r="C2249" s="5">
        <v>45806</v>
      </c>
      <c r="D2249" s="6">
        <v>12.76</v>
      </c>
      <c r="E2249" s="6">
        <v>31.9</v>
      </c>
      <c r="F2249" s="6">
        <v>2.38</v>
      </c>
      <c r="G2249" s="6">
        <v>2.3199999999999998</v>
      </c>
      <c r="H2249" s="6">
        <v>3.04</v>
      </c>
      <c r="I2249" s="6">
        <v>0.14000000000000001</v>
      </c>
      <c r="J2249" s="7">
        <v>10.78</v>
      </c>
      <c r="K2249">
        <f t="shared" si="380"/>
        <v>21.266666666666666</v>
      </c>
      <c r="L2249">
        <f t="shared" si="381"/>
        <v>31.9</v>
      </c>
      <c r="M2249">
        <f t="shared" si="382"/>
        <v>2.9750000000000001</v>
      </c>
      <c r="N2249">
        <f t="shared" si="383"/>
        <v>0.57999999999999996</v>
      </c>
      <c r="O2249">
        <f t="shared" si="384"/>
        <v>3.8</v>
      </c>
      <c r="P2249">
        <f t="shared" si="385"/>
        <v>1.5909090909090911</v>
      </c>
      <c r="Q2249">
        <f t="shared" si="386"/>
        <v>9.981481481481481</v>
      </c>
      <c r="R2249">
        <f t="shared" si="387"/>
        <v>31.9</v>
      </c>
      <c r="S2249" t="str">
        <f t="shared" si="388"/>
        <v>Good</v>
      </c>
      <c r="T2249" t="str">
        <f t="shared" si="389"/>
        <v>PM10</v>
      </c>
    </row>
    <row r="2250" spans="1:20" x14ac:dyDescent="0.3">
      <c r="A2250" s="2" t="s">
        <v>15</v>
      </c>
      <c r="B2250">
        <v>560026</v>
      </c>
      <c r="C2250" s="5">
        <v>45807</v>
      </c>
      <c r="D2250" s="6">
        <v>21.43</v>
      </c>
      <c r="E2250" s="6">
        <v>53.51</v>
      </c>
      <c r="F2250" s="6">
        <v>2.15</v>
      </c>
      <c r="G2250" s="6">
        <v>2.2599999999999998</v>
      </c>
      <c r="H2250" s="6">
        <v>3.25</v>
      </c>
      <c r="I2250" s="6">
        <v>0.12</v>
      </c>
      <c r="J2250" s="7">
        <v>10.75</v>
      </c>
      <c r="K2250">
        <f t="shared" si="380"/>
        <v>35.716666666666669</v>
      </c>
      <c r="L2250">
        <f t="shared" si="381"/>
        <v>53.51</v>
      </c>
      <c r="M2250">
        <f t="shared" si="382"/>
        <v>2.6875</v>
      </c>
      <c r="N2250">
        <f t="shared" si="383"/>
        <v>0.56499999999999995</v>
      </c>
      <c r="O2250">
        <f t="shared" si="384"/>
        <v>4.0625</v>
      </c>
      <c r="P2250">
        <f t="shared" si="385"/>
        <v>1.3636363636363635</v>
      </c>
      <c r="Q2250">
        <f t="shared" si="386"/>
        <v>9.9537037037037042</v>
      </c>
      <c r="R2250">
        <f t="shared" si="387"/>
        <v>53.51</v>
      </c>
      <c r="S2250" t="str">
        <f t="shared" si="388"/>
        <v>Satisfactory</v>
      </c>
      <c r="T2250" t="str">
        <f t="shared" si="389"/>
        <v>PM10</v>
      </c>
    </row>
    <row r="2251" spans="1:20" x14ac:dyDescent="0.3">
      <c r="A2251" s="2" t="s">
        <v>15</v>
      </c>
      <c r="B2251">
        <v>560026</v>
      </c>
      <c r="C2251" s="5">
        <v>45808</v>
      </c>
      <c r="D2251" s="6">
        <v>30.39</v>
      </c>
      <c r="E2251" s="6">
        <v>75.98</v>
      </c>
      <c r="F2251" s="6">
        <v>2.42</v>
      </c>
      <c r="G2251" s="6">
        <v>2.4300000000000002</v>
      </c>
      <c r="H2251" s="6">
        <v>3.37</v>
      </c>
      <c r="I2251" s="6">
        <v>0.13</v>
      </c>
      <c r="J2251" s="7">
        <v>9.89</v>
      </c>
      <c r="K2251">
        <f t="shared" si="380"/>
        <v>50.65</v>
      </c>
      <c r="L2251">
        <f t="shared" si="381"/>
        <v>75.98</v>
      </c>
      <c r="M2251">
        <f t="shared" si="382"/>
        <v>3.0249999999999999</v>
      </c>
      <c r="N2251">
        <f t="shared" si="383"/>
        <v>0.60750000000000004</v>
      </c>
      <c r="O2251">
        <f t="shared" si="384"/>
        <v>4.2125000000000004</v>
      </c>
      <c r="P2251">
        <f t="shared" si="385"/>
        <v>1.4772727272727273</v>
      </c>
      <c r="Q2251">
        <f t="shared" si="386"/>
        <v>9.1574074074074083</v>
      </c>
      <c r="R2251">
        <f t="shared" si="387"/>
        <v>75.98</v>
      </c>
      <c r="S2251" t="str">
        <f t="shared" si="388"/>
        <v>Satisfactory</v>
      </c>
      <c r="T2251" t="str">
        <f t="shared" si="389"/>
        <v>PM10</v>
      </c>
    </row>
    <row r="2252" spans="1:20" x14ac:dyDescent="0.3">
      <c r="A2252" s="2" t="s">
        <v>15</v>
      </c>
      <c r="B2252">
        <v>560026</v>
      </c>
      <c r="C2252" s="5">
        <v>45809</v>
      </c>
      <c r="D2252" s="6">
        <v>29.03</v>
      </c>
      <c r="E2252" s="6">
        <v>72.540000000000006</v>
      </c>
      <c r="F2252" s="6">
        <v>2.4500000000000002</v>
      </c>
      <c r="G2252" s="6">
        <v>2.44</v>
      </c>
      <c r="H2252" s="6">
        <v>3.03</v>
      </c>
      <c r="I2252" s="6">
        <v>0.22</v>
      </c>
      <c r="J2252" s="7">
        <v>9</v>
      </c>
      <c r="K2252">
        <f t="shared" si="380"/>
        <v>48.383333333333333</v>
      </c>
      <c r="L2252">
        <f t="shared" si="381"/>
        <v>72.540000000000006</v>
      </c>
      <c r="M2252">
        <f t="shared" si="382"/>
        <v>3.0625000000000004</v>
      </c>
      <c r="N2252">
        <f t="shared" si="383"/>
        <v>0.61</v>
      </c>
      <c r="O2252">
        <f t="shared" si="384"/>
        <v>3.7875000000000001</v>
      </c>
      <c r="P2252">
        <f t="shared" si="385"/>
        <v>2.5</v>
      </c>
      <c r="Q2252">
        <f t="shared" si="386"/>
        <v>8.3333333333333339</v>
      </c>
      <c r="R2252">
        <f t="shared" si="387"/>
        <v>72.540000000000006</v>
      </c>
      <c r="S2252" t="str">
        <f t="shared" si="388"/>
        <v>Satisfactory</v>
      </c>
      <c r="T2252" t="str">
        <f t="shared" si="389"/>
        <v>PM10</v>
      </c>
    </row>
    <row r="2253" spans="1:20" x14ac:dyDescent="0.3">
      <c r="A2253" s="2" t="s">
        <v>15</v>
      </c>
      <c r="B2253">
        <v>560026</v>
      </c>
      <c r="C2253" s="5">
        <v>45810</v>
      </c>
      <c r="D2253" s="6">
        <v>31.9</v>
      </c>
      <c r="E2253" s="6">
        <v>79.88</v>
      </c>
      <c r="F2253" s="6">
        <v>1.7</v>
      </c>
      <c r="G2253" s="6">
        <v>1.95</v>
      </c>
      <c r="H2253" s="6">
        <v>4.12</v>
      </c>
      <c r="I2253" s="6">
        <v>0.1</v>
      </c>
      <c r="J2253" s="7">
        <v>8.6199999999999992</v>
      </c>
      <c r="K2253">
        <f t="shared" si="380"/>
        <v>53.166666666666664</v>
      </c>
      <c r="L2253">
        <f t="shared" si="381"/>
        <v>79.88</v>
      </c>
      <c r="M2253">
        <f t="shared" si="382"/>
        <v>2.125</v>
      </c>
      <c r="N2253">
        <f t="shared" si="383"/>
        <v>0.48749999999999999</v>
      </c>
      <c r="O2253">
        <f t="shared" si="384"/>
        <v>5.15</v>
      </c>
      <c r="P2253">
        <f t="shared" si="385"/>
        <v>1.1363636363636365</v>
      </c>
      <c r="Q2253">
        <f t="shared" si="386"/>
        <v>7.981481481481481</v>
      </c>
      <c r="R2253">
        <f t="shared" si="387"/>
        <v>79.88</v>
      </c>
      <c r="S2253" t="str">
        <f t="shared" si="388"/>
        <v>Satisfactory</v>
      </c>
      <c r="T2253" t="str">
        <f t="shared" si="389"/>
        <v>PM10</v>
      </c>
    </row>
    <row r="2254" spans="1:20" x14ac:dyDescent="0.3">
      <c r="A2254" s="2" t="s">
        <v>15</v>
      </c>
      <c r="B2254">
        <v>560026</v>
      </c>
      <c r="C2254" s="5">
        <v>45811</v>
      </c>
      <c r="D2254" s="6">
        <v>23.68</v>
      </c>
      <c r="E2254" s="6">
        <v>59.15</v>
      </c>
      <c r="F2254" s="6">
        <v>2.17</v>
      </c>
      <c r="G2254" s="6">
        <v>2.27</v>
      </c>
      <c r="H2254" s="6">
        <v>3.5</v>
      </c>
      <c r="I2254" s="6">
        <v>0.24</v>
      </c>
      <c r="J2254" s="7">
        <v>12.89</v>
      </c>
      <c r="K2254">
        <f t="shared" si="380"/>
        <v>39.466666666666669</v>
      </c>
      <c r="L2254">
        <f t="shared" si="381"/>
        <v>59.15</v>
      </c>
      <c r="M2254">
        <f t="shared" si="382"/>
        <v>2.7124999999999999</v>
      </c>
      <c r="N2254">
        <f t="shared" si="383"/>
        <v>0.5675</v>
      </c>
      <c r="O2254">
        <f t="shared" si="384"/>
        <v>4.375</v>
      </c>
      <c r="P2254">
        <f t="shared" si="385"/>
        <v>2.7272727272727271</v>
      </c>
      <c r="Q2254">
        <f t="shared" si="386"/>
        <v>11.935185185185185</v>
      </c>
      <c r="R2254">
        <f t="shared" si="387"/>
        <v>59.15</v>
      </c>
      <c r="S2254" t="str">
        <f t="shared" si="388"/>
        <v>Satisfactory</v>
      </c>
      <c r="T2254" t="str">
        <f t="shared" si="389"/>
        <v>PM10</v>
      </c>
    </row>
    <row r="2255" spans="1:20" x14ac:dyDescent="0.3">
      <c r="A2255" s="2" t="s">
        <v>15</v>
      </c>
      <c r="B2255">
        <v>560026</v>
      </c>
      <c r="C2255" s="5">
        <v>45812</v>
      </c>
      <c r="D2255" s="6">
        <v>30.53</v>
      </c>
      <c r="E2255" s="6">
        <v>76.510000000000005</v>
      </c>
      <c r="F2255" s="6">
        <v>5.67</v>
      </c>
      <c r="G2255" s="6">
        <v>4.25</v>
      </c>
      <c r="H2255" s="6">
        <v>4.03</v>
      </c>
      <c r="I2255" s="6">
        <v>0.33</v>
      </c>
      <c r="J2255" s="7">
        <v>21.65</v>
      </c>
      <c r="K2255">
        <f t="shared" si="380"/>
        <v>50.883333333333333</v>
      </c>
      <c r="L2255">
        <f t="shared" si="381"/>
        <v>76.510000000000005</v>
      </c>
      <c r="M2255">
        <f t="shared" si="382"/>
        <v>7.0875000000000004</v>
      </c>
      <c r="N2255">
        <f t="shared" si="383"/>
        <v>1.0625</v>
      </c>
      <c r="O2255">
        <f t="shared" si="384"/>
        <v>5.0374999999999996</v>
      </c>
      <c r="P2255">
        <f t="shared" si="385"/>
        <v>3.75</v>
      </c>
      <c r="Q2255">
        <f t="shared" si="386"/>
        <v>20.046296296296294</v>
      </c>
      <c r="R2255">
        <f t="shared" si="387"/>
        <v>76.510000000000005</v>
      </c>
      <c r="S2255" t="str">
        <f t="shared" si="388"/>
        <v>Satisfactory</v>
      </c>
      <c r="T2255" t="str">
        <f t="shared" si="389"/>
        <v>PM10</v>
      </c>
    </row>
    <row r="2256" spans="1:20" x14ac:dyDescent="0.3">
      <c r="A2256" s="2" t="s">
        <v>15</v>
      </c>
      <c r="B2256">
        <v>560026</v>
      </c>
      <c r="C2256" s="5">
        <v>45813</v>
      </c>
      <c r="D2256" s="6">
        <v>41.46</v>
      </c>
      <c r="E2256" s="6">
        <v>103.55</v>
      </c>
      <c r="F2256" s="6">
        <v>5.15</v>
      </c>
      <c r="G2256" s="6">
        <v>3.89</v>
      </c>
      <c r="H2256" s="6">
        <v>4.45</v>
      </c>
      <c r="I2256" s="6">
        <v>0.25</v>
      </c>
      <c r="J2256" s="7">
        <v>24.6</v>
      </c>
      <c r="K2256">
        <f t="shared" si="380"/>
        <v>69.099999999999994</v>
      </c>
      <c r="L2256">
        <f t="shared" si="381"/>
        <v>102.36666666666666</v>
      </c>
      <c r="M2256">
        <f t="shared" si="382"/>
        <v>6.4375</v>
      </c>
      <c r="N2256">
        <f t="shared" si="383"/>
        <v>0.97250000000000003</v>
      </c>
      <c r="O2256">
        <f t="shared" si="384"/>
        <v>5.5625</v>
      </c>
      <c r="P2256">
        <f t="shared" si="385"/>
        <v>2.8409090909090908</v>
      </c>
      <c r="Q2256">
        <f t="shared" si="386"/>
        <v>22.777777777777779</v>
      </c>
      <c r="R2256">
        <f t="shared" si="387"/>
        <v>102.36666666666666</v>
      </c>
      <c r="S2256" t="str">
        <f t="shared" si="388"/>
        <v>Moderate</v>
      </c>
      <c r="T2256" t="str">
        <f t="shared" si="389"/>
        <v>PM10</v>
      </c>
    </row>
    <row r="2257" spans="1:20" x14ac:dyDescent="0.3">
      <c r="A2257" s="2" t="s">
        <v>15</v>
      </c>
      <c r="B2257">
        <v>560026</v>
      </c>
      <c r="C2257" s="5">
        <v>45814</v>
      </c>
      <c r="D2257" s="6">
        <v>57.32</v>
      </c>
      <c r="E2257" s="6">
        <v>143.30000000000001</v>
      </c>
      <c r="F2257" s="6">
        <v>4.47</v>
      </c>
      <c r="G2257" s="6">
        <v>3.67</v>
      </c>
      <c r="H2257" s="6">
        <v>5.14</v>
      </c>
      <c r="I2257" s="6">
        <v>0.56000000000000005</v>
      </c>
      <c r="J2257" s="7">
        <v>29.89</v>
      </c>
      <c r="K2257">
        <f t="shared" si="380"/>
        <v>95.533333333333331</v>
      </c>
      <c r="L2257">
        <f t="shared" si="381"/>
        <v>128.86666666666667</v>
      </c>
      <c r="M2257">
        <f t="shared" si="382"/>
        <v>5.5875000000000004</v>
      </c>
      <c r="N2257">
        <f t="shared" si="383"/>
        <v>0.91749999999999998</v>
      </c>
      <c r="O2257">
        <f t="shared" si="384"/>
        <v>6.4249999999999998</v>
      </c>
      <c r="P2257">
        <f t="shared" si="385"/>
        <v>6.3636363636363642</v>
      </c>
      <c r="Q2257">
        <f t="shared" si="386"/>
        <v>27.675925925925927</v>
      </c>
      <c r="R2257">
        <f t="shared" si="387"/>
        <v>128.86666666666667</v>
      </c>
      <c r="S2257" t="str">
        <f t="shared" si="388"/>
        <v>Moderate</v>
      </c>
      <c r="T2257" t="str">
        <f t="shared" si="389"/>
        <v>PM10</v>
      </c>
    </row>
    <row r="2258" spans="1:20" x14ac:dyDescent="0.3">
      <c r="A2258" s="2" t="s">
        <v>15</v>
      </c>
      <c r="B2258">
        <v>560026</v>
      </c>
      <c r="C2258" s="5">
        <v>45815</v>
      </c>
      <c r="D2258" s="6">
        <v>31.81</v>
      </c>
      <c r="E2258" s="6">
        <v>79.61</v>
      </c>
      <c r="F2258" s="6">
        <v>3.79</v>
      </c>
      <c r="G2258" s="6">
        <v>3.29</v>
      </c>
      <c r="H2258" s="6">
        <v>4.1100000000000003</v>
      </c>
      <c r="I2258" s="6">
        <v>0.41</v>
      </c>
      <c r="J2258" s="7">
        <v>24.01</v>
      </c>
      <c r="K2258">
        <f t="shared" si="380"/>
        <v>53.016666666666666</v>
      </c>
      <c r="L2258">
        <f t="shared" si="381"/>
        <v>79.61</v>
      </c>
      <c r="M2258">
        <f t="shared" si="382"/>
        <v>4.7374999999999998</v>
      </c>
      <c r="N2258">
        <f t="shared" si="383"/>
        <v>0.82250000000000001</v>
      </c>
      <c r="O2258">
        <f t="shared" si="384"/>
        <v>5.1375000000000011</v>
      </c>
      <c r="P2258">
        <f t="shared" si="385"/>
        <v>4.6590909090909083</v>
      </c>
      <c r="Q2258">
        <f t="shared" si="386"/>
        <v>22.231481481481485</v>
      </c>
      <c r="R2258">
        <f t="shared" si="387"/>
        <v>79.61</v>
      </c>
      <c r="S2258" t="str">
        <f t="shared" si="388"/>
        <v>Satisfactory</v>
      </c>
      <c r="T2258" t="str">
        <f t="shared" si="389"/>
        <v>PM10</v>
      </c>
    </row>
    <row r="2259" spans="1:20" x14ac:dyDescent="0.3">
      <c r="A2259" s="2" t="s">
        <v>15</v>
      </c>
      <c r="B2259">
        <v>560026</v>
      </c>
      <c r="C2259" s="5">
        <v>45816</v>
      </c>
      <c r="D2259" s="6">
        <v>21.39</v>
      </c>
      <c r="E2259" s="6">
        <v>53.46</v>
      </c>
      <c r="F2259" s="6">
        <v>3.56</v>
      </c>
      <c r="G2259" s="6">
        <v>3.15</v>
      </c>
      <c r="H2259" s="6">
        <v>3.22</v>
      </c>
      <c r="I2259" s="6">
        <v>0.41</v>
      </c>
      <c r="J2259" s="7">
        <v>26.68</v>
      </c>
      <c r="K2259">
        <f t="shared" si="380"/>
        <v>35.65</v>
      </c>
      <c r="L2259">
        <f t="shared" si="381"/>
        <v>53.46</v>
      </c>
      <c r="M2259">
        <f t="shared" si="382"/>
        <v>4.45</v>
      </c>
      <c r="N2259">
        <f t="shared" si="383"/>
        <v>0.78749999999999998</v>
      </c>
      <c r="O2259">
        <f t="shared" si="384"/>
        <v>4.0250000000000004</v>
      </c>
      <c r="P2259">
        <f t="shared" si="385"/>
        <v>4.6590909090909083</v>
      </c>
      <c r="Q2259">
        <f t="shared" si="386"/>
        <v>24.703703703703702</v>
      </c>
      <c r="R2259">
        <f t="shared" si="387"/>
        <v>53.46</v>
      </c>
      <c r="S2259" t="str">
        <f t="shared" si="388"/>
        <v>Satisfactory</v>
      </c>
      <c r="T2259" t="str">
        <f t="shared" si="389"/>
        <v>PM10</v>
      </c>
    </row>
    <row r="2260" spans="1:20" x14ac:dyDescent="0.3">
      <c r="A2260" s="2" t="s">
        <v>15</v>
      </c>
      <c r="B2260">
        <v>560026</v>
      </c>
      <c r="C2260" s="5">
        <v>45817</v>
      </c>
      <c r="D2260" s="6">
        <v>21.32</v>
      </c>
      <c r="E2260" s="6">
        <v>53.34</v>
      </c>
      <c r="F2260" s="6">
        <v>3.85</v>
      </c>
      <c r="G2260" s="6">
        <v>3.32</v>
      </c>
      <c r="H2260" s="6">
        <v>3.9</v>
      </c>
      <c r="I2260" s="6">
        <v>0.41</v>
      </c>
      <c r="J2260" s="7">
        <v>21.15</v>
      </c>
      <c r="K2260">
        <f t="shared" si="380"/>
        <v>35.533333333333331</v>
      </c>
      <c r="L2260">
        <f t="shared" si="381"/>
        <v>53.34</v>
      </c>
      <c r="M2260">
        <f t="shared" si="382"/>
        <v>4.8125</v>
      </c>
      <c r="N2260">
        <f t="shared" si="383"/>
        <v>0.83</v>
      </c>
      <c r="O2260">
        <f t="shared" si="384"/>
        <v>4.875</v>
      </c>
      <c r="P2260">
        <f t="shared" si="385"/>
        <v>4.6590909090909083</v>
      </c>
      <c r="Q2260">
        <f t="shared" si="386"/>
        <v>19.583333333333332</v>
      </c>
      <c r="R2260">
        <f t="shared" si="387"/>
        <v>53.34</v>
      </c>
      <c r="S2260" t="str">
        <f t="shared" si="388"/>
        <v>Satisfactory</v>
      </c>
      <c r="T2260" t="str">
        <f t="shared" si="389"/>
        <v>PM10</v>
      </c>
    </row>
    <row r="2261" spans="1:20" x14ac:dyDescent="0.3">
      <c r="A2261" s="2" t="s">
        <v>15</v>
      </c>
      <c r="B2261">
        <v>560026</v>
      </c>
      <c r="C2261" s="5">
        <v>45818</v>
      </c>
      <c r="D2261" s="6">
        <v>26.38</v>
      </c>
      <c r="E2261" s="6">
        <v>66.17</v>
      </c>
      <c r="F2261" s="6">
        <v>3.43</v>
      </c>
      <c r="G2261" s="6">
        <v>3.06</v>
      </c>
      <c r="H2261" s="6">
        <v>4.1399999999999997</v>
      </c>
      <c r="I2261" s="6">
        <v>0.39</v>
      </c>
      <c r="J2261" s="7">
        <v>17.11</v>
      </c>
      <c r="K2261">
        <f t="shared" si="380"/>
        <v>43.966666666666669</v>
      </c>
      <c r="L2261">
        <f t="shared" si="381"/>
        <v>66.17</v>
      </c>
      <c r="M2261">
        <f t="shared" si="382"/>
        <v>4.2874999999999996</v>
      </c>
      <c r="N2261">
        <f t="shared" si="383"/>
        <v>0.76500000000000001</v>
      </c>
      <c r="O2261">
        <f t="shared" si="384"/>
        <v>5.1749999999999989</v>
      </c>
      <c r="P2261">
        <f t="shared" si="385"/>
        <v>4.4318181818181817</v>
      </c>
      <c r="Q2261">
        <f t="shared" si="386"/>
        <v>15.842592592592592</v>
      </c>
      <c r="R2261">
        <f t="shared" si="387"/>
        <v>66.17</v>
      </c>
      <c r="S2261" t="str">
        <f t="shared" si="388"/>
        <v>Satisfactory</v>
      </c>
      <c r="T2261" t="str">
        <f t="shared" si="389"/>
        <v>PM10</v>
      </c>
    </row>
    <row r="2262" spans="1:20" x14ac:dyDescent="0.3">
      <c r="A2262" s="2" t="s">
        <v>15</v>
      </c>
      <c r="B2262">
        <v>560026</v>
      </c>
      <c r="C2262" s="5">
        <v>45819</v>
      </c>
      <c r="D2262" s="6">
        <v>21.21</v>
      </c>
      <c r="E2262" s="6">
        <v>53.11</v>
      </c>
      <c r="F2262" s="6">
        <v>1.89</v>
      </c>
      <c r="G2262" s="6">
        <v>2.11</v>
      </c>
      <c r="H2262" s="6">
        <v>4.09</v>
      </c>
      <c r="I2262" s="6">
        <v>0.1</v>
      </c>
      <c r="J2262" s="7">
        <v>12</v>
      </c>
      <c r="K2262">
        <f t="shared" si="380"/>
        <v>35.35</v>
      </c>
      <c r="L2262">
        <f t="shared" si="381"/>
        <v>53.11</v>
      </c>
      <c r="M2262">
        <f t="shared" si="382"/>
        <v>2.3624999999999998</v>
      </c>
      <c r="N2262">
        <f t="shared" si="383"/>
        <v>0.52749999999999997</v>
      </c>
      <c r="O2262">
        <f t="shared" si="384"/>
        <v>5.1124999999999998</v>
      </c>
      <c r="P2262">
        <f t="shared" si="385"/>
        <v>1.1363636363636365</v>
      </c>
      <c r="Q2262">
        <f t="shared" si="386"/>
        <v>11.111111111111111</v>
      </c>
      <c r="R2262">
        <f t="shared" si="387"/>
        <v>53.11</v>
      </c>
      <c r="S2262" t="str">
        <f t="shared" si="388"/>
        <v>Satisfactory</v>
      </c>
      <c r="T2262" t="str">
        <f t="shared" si="389"/>
        <v>PM10</v>
      </c>
    </row>
    <row r="2263" spans="1:20" x14ac:dyDescent="0.3">
      <c r="A2263" s="2" t="s">
        <v>15</v>
      </c>
      <c r="B2263">
        <v>560026</v>
      </c>
      <c r="C2263" s="5">
        <v>45820</v>
      </c>
      <c r="D2263" s="6">
        <v>12.32</v>
      </c>
      <c r="E2263" s="6">
        <v>30.58</v>
      </c>
      <c r="F2263" s="6">
        <v>1.81</v>
      </c>
      <c r="G2263" s="6">
        <v>2.06</v>
      </c>
      <c r="H2263" s="6">
        <v>2.4700000000000002</v>
      </c>
      <c r="I2263" s="6">
        <v>0.12</v>
      </c>
      <c r="J2263" s="7">
        <v>12.08</v>
      </c>
      <c r="K2263">
        <f t="shared" si="380"/>
        <v>20.533333333333335</v>
      </c>
      <c r="L2263">
        <f t="shared" si="381"/>
        <v>30.58</v>
      </c>
      <c r="M2263">
        <f t="shared" si="382"/>
        <v>2.2625000000000002</v>
      </c>
      <c r="N2263">
        <f t="shared" si="383"/>
        <v>0.51500000000000001</v>
      </c>
      <c r="O2263">
        <f t="shared" si="384"/>
        <v>3.0875000000000004</v>
      </c>
      <c r="P2263">
        <f t="shared" si="385"/>
        <v>1.3636363636363635</v>
      </c>
      <c r="Q2263">
        <f t="shared" si="386"/>
        <v>11.185185185185185</v>
      </c>
      <c r="R2263">
        <f t="shared" si="387"/>
        <v>30.58</v>
      </c>
      <c r="S2263" t="str">
        <f t="shared" si="388"/>
        <v>Good</v>
      </c>
      <c r="T2263" t="str">
        <f t="shared" si="389"/>
        <v>PM10</v>
      </c>
    </row>
    <row r="2264" spans="1:20" x14ac:dyDescent="0.3">
      <c r="A2264" s="2" t="s">
        <v>15</v>
      </c>
      <c r="B2264">
        <v>560026</v>
      </c>
      <c r="C2264" s="5">
        <v>45821</v>
      </c>
      <c r="D2264" s="6">
        <v>19.68</v>
      </c>
      <c r="E2264" s="6">
        <v>49.2</v>
      </c>
      <c r="F2264" s="6">
        <v>2.0699999999999998</v>
      </c>
      <c r="G2264" s="6">
        <v>2.2200000000000002</v>
      </c>
      <c r="H2264" s="6">
        <v>3.21</v>
      </c>
      <c r="I2264" s="6">
        <v>0.15</v>
      </c>
      <c r="J2264" s="7">
        <v>11.92</v>
      </c>
      <c r="K2264">
        <f t="shared" si="380"/>
        <v>32.799999999999997</v>
      </c>
      <c r="L2264">
        <f t="shared" si="381"/>
        <v>49.2</v>
      </c>
      <c r="M2264">
        <f t="shared" si="382"/>
        <v>2.5874999999999995</v>
      </c>
      <c r="N2264">
        <f t="shared" si="383"/>
        <v>0.55500000000000005</v>
      </c>
      <c r="O2264">
        <f t="shared" si="384"/>
        <v>4.0125000000000002</v>
      </c>
      <c r="P2264">
        <f t="shared" si="385"/>
        <v>1.7045454545454544</v>
      </c>
      <c r="Q2264">
        <f t="shared" si="386"/>
        <v>11.037037037037036</v>
      </c>
      <c r="R2264">
        <f t="shared" si="387"/>
        <v>49.2</v>
      </c>
      <c r="S2264" t="str">
        <f t="shared" si="388"/>
        <v>Good</v>
      </c>
      <c r="T2264" t="str">
        <f t="shared" si="389"/>
        <v>PM10</v>
      </c>
    </row>
    <row r="2265" spans="1:20" x14ac:dyDescent="0.3">
      <c r="A2265" s="2" t="s">
        <v>15</v>
      </c>
      <c r="B2265">
        <v>560026</v>
      </c>
      <c r="C2265" s="5">
        <v>45822</v>
      </c>
      <c r="D2265" s="6">
        <v>10.4</v>
      </c>
      <c r="E2265" s="6">
        <v>25.98</v>
      </c>
      <c r="F2265" s="6">
        <v>2.02</v>
      </c>
      <c r="G2265" s="6">
        <v>2.19</v>
      </c>
      <c r="H2265" s="6">
        <v>2.37</v>
      </c>
      <c r="I2265" s="6">
        <v>0.1</v>
      </c>
      <c r="J2265" s="7">
        <v>12</v>
      </c>
      <c r="K2265">
        <f t="shared" si="380"/>
        <v>17.333333333333332</v>
      </c>
      <c r="L2265">
        <f t="shared" si="381"/>
        <v>25.98</v>
      </c>
      <c r="M2265">
        <f t="shared" si="382"/>
        <v>2.5249999999999999</v>
      </c>
      <c r="N2265">
        <f t="shared" si="383"/>
        <v>0.54749999999999999</v>
      </c>
      <c r="O2265">
        <f t="shared" si="384"/>
        <v>2.9624999999999999</v>
      </c>
      <c r="P2265">
        <f t="shared" si="385"/>
        <v>1.1363636363636365</v>
      </c>
      <c r="Q2265">
        <f t="shared" si="386"/>
        <v>11.111111111111111</v>
      </c>
      <c r="R2265">
        <f t="shared" si="387"/>
        <v>25.98</v>
      </c>
      <c r="S2265" t="str">
        <f t="shared" si="388"/>
        <v>Good</v>
      </c>
      <c r="T2265" t="str">
        <f t="shared" si="389"/>
        <v>PM10</v>
      </c>
    </row>
    <row r="2266" spans="1:20" x14ac:dyDescent="0.3">
      <c r="A2266" s="2" t="s">
        <v>15</v>
      </c>
      <c r="B2266">
        <v>560026</v>
      </c>
      <c r="C2266" s="5">
        <v>45823</v>
      </c>
      <c r="D2266" s="6">
        <v>6.8</v>
      </c>
      <c r="E2266" s="6">
        <v>17.07</v>
      </c>
      <c r="F2266" s="6">
        <v>2.14</v>
      </c>
      <c r="G2266" s="6">
        <v>2.27</v>
      </c>
      <c r="H2266" s="6">
        <v>1.49</v>
      </c>
      <c r="I2266" s="6">
        <v>0.11</v>
      </c>
      <c r="J2266" s="7">
        <v>11.92</v>
      </c>
      <c r="K2266">
        <f t="shared" si="380"/>
        <v>11.333333333333334</v>
      </c>
      <c r="L2266">
        <f t="shared" si="381"/>
        <v>17.07</v>
      </c>
      <c r="M2266">
        <f t="shared" si="382"/>
        <v>2.6749999999999998</v>
      </c>
      <c r="N2266">
        <f t="shared" si="383"/>
        <v>0.5675</v>
      </c>
      <c r="O2266">
        <f t="shared" si="384"/>
        <v>1.8625</v>
      </c>
      <c r="P2266">
        <f t="shared" si="385"/>
        <v>1.25</v>
      </c>
      <c r="Q2266">
        <f t="shared" si="386"/>
        <v>11.037037037037036</v>
      </c>
      <c r="R2266">
        <f t="shared" si="387"/>
        <v>17.07</v>
      </c>
      <c r="S2266" t="str">
        <f t="shared" si="388"/>
        <v>Good</v>
      </c>
      <c r="T2266" t="str">
        <f t="shared" si="389"/>
        <v>PM10</v>
      </c>
    </row>
    <row r="2267" spans="1:20" x14ac:dyDescent="0.3">
      <c r="A2267" s="2" t="s">
        <v>15</v>
      </c>
      <c r="B2267">
        <v>560026</v>
      </c>
      <c r="C2267" s="5">
        <v>45824</v>
      </c>
      <c r="D2267" s="6">
        <v>11.81</v>
      </c>
      <c r="E2267" s="6">
        <v>29.53</v>
      </c>
      <c r="F2267" s="6">
        <v>1.86</v>
      </c>
      <c r="G2267" s="6">
        <v>2.09</v>
      </c>
      <c r="H2267" s="6">
        <v>1.73</v>
      </c>
      <c r="I2267" s="6">
        <v>7.0000000000000007E-2</v>
      </c>
      <c r="J2267" s="7">
        <v>11.93</v>
      </c>
      <c r="K2267">
        <f t="shared" si="380"/>
        <v>19.683333333333334</v>
      </c>
      <c r="L2267">
        <f t="shared" si="381"/>
        <v>29.53</v>
      </c>
      <c r="M2267">
        <f t="shared" si="382"/>
        <v>2.3250000000000002</v>
      </c>
      <c r="N2267">
        <f t="shared" si="383"/>
        <v>0.52249999999999996</v>
      </c>
      <c r="O2267">
        <f t="shared" si="384"/>
        <v>2.1625000000000001</v>
      </c>
      <c r="P2267">
        <f t="shared" si="385"/>
        <v>0.79545454545454553</v>
      </c>
      <c r="Q2267">
        <f t="shared" si="386"/>
        <v>11.046296296296296</v>
      </c>
      <c r="R2267">
        <f t="shared" si="387"/>
        <v>29.53</v>
      </c>
      <c r="S2267" t="str">
        <f t="shared" si="388"/>
        <v>Good</v>
      </c>
      <c r="T2267" t="str">
        <f t="shared" si="389"/>
        <v>PM10</v>
      </c>
    </row>
    <row r="2268" spans="1:20" x14ac:dyDescent="0.3">
      <c r="A2268" s="2" t="s">
        <v>15</v>
      </c>
      <c r="B2268">
        <v>560026</v>
      </c>
      <c r="C2268" s="5">
        <v>45825</v>
      </c>
      <c r="D2268" s="6">
        <v>16.59</v>
      </c>
      <c r="E2268" s="6">
        <v>41.96</v>
      </c>
      <c r="F2268" s="6">
        <v>2.1</v>
      </c>
      <c r="G2268" s="6">
        <v>2.2400000000000002</v>
      </c>
      <c r="H2268" s="6">
        <v>2.65</v>
      </c>
      <c r="I2268" s="6">
        <v>0.09</v>
      </c>
      <c r="J2268" s="7">
        <v>12.04</v>
      </c>
      <c r="K2268">
        <f t="shared" si="380"/>
        <v>27.65</v>
      </c>
      <c r="L2268">
        <f t="shared" si="381"/>
        <v>41.96</v>
      </c>
      <c r="M2268">
        <f t="shared" si="382"/>
        <v>2.625</v>
      </c>
      <c r="N2268">
        <f t="shared" si="383"/>
        <v>0.56000000000000005</v>
      </c>
      <c r="O2268">
        <f t="shared" si="384"/>
        <v>3.3125</v>
      </c>
      <c r="P2268">
        <f t="shared" si="385"/>
        <v>1.0227272727272727</v>
      </c>
      <c r="Q2268">
        <f t="shared" si="386"/>
        <v>11.148148148148147</v>
      </c>
      <c r="R2268">
        <f t="shared" si="387"/>
        <v>41.96</v>
      </c>
      <c r="S2268" t="str">
        <f t="shared" si="388"/>
        <v>Good</v>
      </c>
      <c r="T2268" t="str">
        <f t="shared" si="389"/>
        <v>PM10</v>
      </c>
    </row>
    <row r="2269" spans="1:20" x14ac:dyDescent="0.3">
      <c r="A2269" s="2" t="s">
        <v>15</v>
      </c>
      <c r="B2269">
        <v>560026</v>
      </c>
      <c r="C2269" s="5">
        <v>45826</v>
      </c>
      <c r="D2269" s="6">
        <v>14.08</v>
      </c>
      <c r="E2269" s="6">
        <v>35.03</v>
      </c>
      <c r="F2269" s="6">
        <v>2.0499999999999998</v>
      </c>
      <c r="G2269" s="6">
        <v>2.21</v>
      </c>
      <c r="H2269" s="6">
        <v>2.96</v>
      </c>
      <c r="I2269" s="6">
        <v>0.09</v>
      </c>
      <c r="J2269" s="7">
        <v>12.06</v>
      </c>
      <c r="K2269">
        <f t="shared" si="380"/>
        <v>23.466666666666665</v>
      </c>
      <c r="L2269">
        <f t="shared" si="381"/>
        <v>35.03</v>
      </c>
      <c r="M2269">
        <f t="shared" si="382"/>
        <v>2.5624999999999996</v>
      </c>
      <c r="N2269">
        <f t="shared" si="383"/>
        <v>0.55249999999999999</v>
      </c>
      <c r="O2269">
        <f t="shared" si="384"/>
        <v>3.7</v>
      </c>
      <c r="P2269">
        <f t="shared" si="385"/>
        <v>1.0227272727272727</v>
      </c>
      <c r="Q2269">
        <f t="shared" si="386"/>
        <v>11.166666666666668</v>
      </c>
      <c r="R2269">
        <f t="shared" si="387"/>
        <v>35.03</v>
      </c>
      <c r="S2269" t="str">
        <f t="shared" si="388"/>
        <v>Good</v>
      </c>
      <c r="T2269" t="str">
        <f t="shared" si="389"/>
        <v>PM10</v>
      </c>
    </row>
    <row r="2270" spans="1:20" x14ac:dyDescent="0.3">
      <c r="A2270" s="2" t="s">
        <v>15</v>
      </c>
      <c r="B2270">
        <v>560026</v>
      </c>
      <c r="C2270" s="5">
        <v>45827</v>
      </c>
      <c r="D2270" s="6">
        <v>17.829999999999998</v>
      </c>
      <c r="E2270" s="6">
        <v>44.54</v>
      </c>
      <c r="F2270" s="6">
        <v>2.35</v>
      </c>
      <c r="G2270" s="6">
        <v>2.39</v>
      </c>
      <c r="H2270" s="6">
        <v>2.41</v>
      </c>
      <c r="I2270" s="6">
        <v>0.13</v>
      </c>
      <c r="J2270" s="7">
        <v>12</v>
      </c>
      <c r="K2270">
        <f t="shared" si="380"/>
        <v>29.716666666666661</v>
      </c>
      <c r="L2270">
        <f t="shared" si="381"/>
        <v>44.54</v>
      </c>
      <c r="M2270">
        <f t="shared" si="382"/>
        <v>2.9375</v>
      </c>
      <c r="N2270">
        <f t="shared" si="383"/>
        <v>0.59750000000000003</v>
      </c>
      <c r="O2270">
        <f t="shared" si="384"/>
        <v>3.0125000000000002</v>
      </c>
      <c r="P2270">
        <f t="shared" si="385"/>
        <v>1.4772727272727273</v>
      </c>
      <c r="Q2270">
        <f t="shared" si="386"/>
        <v>11.111111111111111</v>
      </c>
      <c r="R2270">
        <f t="shared" si="387"/>
        <v>44.54</v>
      </c>
      <c r="S2270" t="str">
        <f t="shared" si="388"/>
        <v>Good</v>
      </c>
      <c r="T2270" t="str">
        <f t="shared" si="389"/>
        <v>PM10</v>
      </c>
    </row>
    <row r="2271" spans="1:20" x14ac:dyDescent="0.3">
      <c r="A2271" s="2" t="s">
        <v>15</v>
      </c>
      <c r="B2271">
        <v>560026</v>
      </c>
      <c r="C2271" s="5">
        <v>45828</v>
      </c>
      <c r="D2271" s="6">
        <v>32.06</v>
      </c>
      <c r="E2271" s="6">
        <v>80.150000000000006</v>
      </c>
      <c r="F2271" s="6">
        <v>2.46</v>
      </c>
      <c r="G2271" s="6">
        <v>2.46</v>
      </c>
      <c r="H2271" s="6">
        <v>2.97</v>
      </c>
      <c r="I2271" s="6">
        <v>0.14000000000000001</v>
      </c>
      <c r="J2271" s="7">
        <v>11.94</v>
      </c>
      <c r="K2271">
        <f t="shared" si="380"/>
        <v>53.433333333333337</v>
      </c>
      <c r="L2271">
        <f t="shared" si="381"/>
        <v>80.150000000000006</v>
      </c>
      <c r="M2271">
        <f t="shared" si="382"/>
        <v>3.0750000000000002</v>
      </c>
      <c r="N2271">
        <f t="shared" si="383"/>
        <v>0.61499999999999999</v>
      </c>
      <c r="O2271">
        <f t="shared" si="384"/>
        <v>3.7124999999999999</v>
      </c>
      <c r="P2271">
        <f t="shared" si="385"/>
        <v>1.5909090909090911</v>
      </c>
      <c r="Q2271">
        <f t="shared" si="386"/>
        <v>11.055555555555555</v>
      </c>
      <c r="R2271">
        <f t="shared" si="387"/>
        <v>80.150000000000006</v>
      </c>
      <c r="S2271" t="str">
        <f t="shared" si="388"/>
        <v>Satisfactory</v>
      </c>
      <c r="T2271" t="str">
        <f t="shared" si="389"/>
        <v>PM10</v>
      </c>
    </row>
    <row r="2272" spans="1:20" x14ac:dyDescent="0.3">
      <c r="A2272" s="2" t="s">
        <v>15</v>
      </c>
      <c r="B2272">
        <v>560026</v>
      </c>
      <c r="C2272" s="5">
        <v>45829</v>
      </c>
      <c r="D2272" s="6">
        <v>22.98</v>
      </c>
      <c r="E2272" s="6">
        <v>57.51</v>
      </c>
      <c r="F2272" s="6">
        <v>2.41</v>
      </c>
      <c r="G2272" s="6">
        <v>2.4300000000000002</v>
      </c>
      <c r="H2272" s="6">
        <v>2.7</v>
      </c>
      <c r="I2272" s="6">
        <v>0.12</v>
      </c>
      <c r="J2272" s="7">
        <v>11.96</v>
      </c>
      <c r="K2272">
        <f t="shared" si="380"/>
        <v>38.299999999999997</v>
      </c>
      <c r="L2272">
        <f t="shared" si="381"/>
        <v>57.51</v>
      </c>
      <c r="M2272">
        <f t="shared" si="382"/>
        <v>3.0125000000000002</v>
      </c>
      <c r="N2272">
        <f t="shared" si="383"/>
        <v>0.60750000000000004</v>
      </c>
      <c r="O2272">
        <f t="shared" si="384"/>
        <v>3.375</v>
      </c>
      <c r="P2272">
        <f t="shared" si="385"/>
        <v>1.3636363636363635</v>
      </c>
      <c r="Q2272">
        <f t="shared" si="386"/>
        <v>11.074074074074074</v>
      </c>
      <c r="R2272">
        <f t="shared" si="387"/>
        <v>57.51</v>
      </c>
      <c r="S2272" t="str">
        <f t="shared" si="388"/>
        <v>Satisfactory</v>
      </c>
      <c r="T2272" t="str">
        <f t="shared" si="389"/>
        <v>PM10</v>
      </c>
    </row>
    <row r="2273" spans="1:20" x14ac:dyDescent="0.3">
      <c r="A2273" s="2" t="s">
        <v>15</v>
      </c>
      <c r="B2273">
        <v>560026</v>
      </c>
      <c r="C2273" s="5">
        <v>45830</v>
      </c>
      <c r="D2273" s="6">
        <v>12.57</v>
      </c>
      <c r="E2273" s="6">
        <v>31.51</v>
      </c>
      <c r="F2273" s="6">
        <v>2.14</v>
      </c>
      <c r="G2273" s="6">
        <v>2.25</v>
      </c>
      <c r="H2273" s="6">
        <v>1.93</v>
      </c>
      <c r="I2273" s="6">
        <v>0.1</v>
      </c>
      <c r="J2273" s="7">
        <v>11.96</v>
      </c>
      <c r="K2273">
        <f t="shared" si="380"/>
        <v>20.95</v>
      </c>
      <c r="L2273">
        <f t="shared" si="381"/>
        <v>31.51</v>
      </c>
      <c r="M2273">
        <f t="shared" si="382"/>
        <v>2.6749999999999998</v>
      </c>
      <c r="N2273">
        <f t="shared" si="383"/>
        <v>0.5625</v>
      </c>
      <c r="O2273">
        <f t="shared" si="384"/>
        <v>2.4125000000000001</v>
      </c>
      <c r="P2273">
        <f t="shared" si="385"/>
        <v>1.1363636363636365</v>
      </c>
      <c r="Q2273">
        <f t="shared" si="386"/>
        <v>11.074074074074074</v>
      </c>
      <c r="R2273">
        <f t="shared" si="387"/>
        <v>31.51</v>
      </c>
      <c r="S2273" t="str">
        <f t="shared" si="388"/>
        <v>Good</v>
      </c>
      <c r="T2273" t="str">
        <f t="shared" si="389"/>
        <v>PM10</v>
      </c>
    </row>
    <row r="2274" spans="1:20" x14ac:dyDescent="0.3">
      <c r="A2274" s="2" t="s">
        <v>15</v>
      </c>
      <c r="B2274">
        <v>560026</v>
      </c>
      <c r="C2274" s="5">
        <v>45831</v>
      </c>
      <c r="D2274" s="6">
        <v>12.66</v>
      </c>
      <c r="E2274" s="6">
        <v>31.46</v>
      </c>
      <c r="F2274" s="6">
        <v>2.0299999999999998</v>
      </c>
      <c r="G2274" s="6">
        <v>2.1800000000000002</v>
      </c>
      <c r="H2274" s="6">
        <v>1.86</v>
      </c>
      <c r="I2274" s="6">
        <v>0.12</v>
      </c>
      <c r="J2274" s="7">
        <v>11.9</v>
      </c>
      <c r="K2274">
        <f t="shared" si="380"/>
        <v>21.1</v>
      </c>
      <c r="L2274">
        <f t="shared" si="381"/>
        <v>31.46</v>
      </c>
      <c r="M2274">
        <f t="shared" si="382"/>
        <v>2.5374999999999996</v>
      </c>
      <c r="N2274">
        <f t="shared" si="383"/>
        <v>0.54500000000000004</v>
      </c>
      <c r="O2274">
        <f t="shared" si="384"/>
        <v>2.3250000000000002</v>
      </c>
      <c r="P2274">
        <f t="shared" si="385"/>
        <v>1.3636363636363635</v>
      </c>
      <c r="Q2274">
        <f t="shared" si="386"/>
        <v>11.018518518518519</v>
      </c>
      <c r="R2274">
        <f t="shared" si="387"/>
        <v>31.46</v>
      </c>
      <c r="S2274" t="str">
        <f t="shared" si="388"/>
        <v>Good</v>
      </c>
      <c r="T2274" t="str">
        <f t="shared" si="389"/>
        <v>PM10</v>
      </c>
    </row>
    <row r="2275" spans="1:20" x14ac:dyDescent="0.3">
      <c r="A2275" s="2" t="s">
        <v>15</v>
      </c>
      <c r="B2275">
        <v>560026</v>
      </c>
      <c r="C2275" s="5">
        <v>45832</v>
      </c>
      <c r="D2275" s="6">
        <v>14.25</v>
      </c>
      <c r="E2275" s="6">
        <v>35.729999999999997</v>
      </c>
      <c r="F2275" s="6">
        <v>1.92</v>
      </c>
      <c r="G2275" s="6">
        <v>2.11</v>
      </c>
      <c r="H2275" s="6">
        <v>2.0099999999999998</v>
      </c>
      <c r="I2275" s="6">
        <v>0.12</v>
      </c>
      <c r="J2275" s="7">
        <v>11.97</v>
      </c>
      <c r="K2275">
        <f t="shared" si="380"/>
        <v>23.75</v>
      </c>
      <c r="L2275">
        <f t="shared" si="381"/>
        <v>35.729999999999997</v>
      </c>
      <c r="M2275">
        <f t="shared" si="382"/>
        <v>2.4</v>
      </c>
      <c r="N2275">
        <f t="shared" si="383"/>
        <v>0.52749999999999997</v>
      </c>
      <c r="O2275">
        <f t="shared" si="384"/>
        <v>2.5124999999999997</v>
      </c>
      <c r="P2275">
        <f t="shared" si="385"/>
        <v>1.3636363636363635</v>
      </c>
      <c r="Q2275">
        <f t="shared" si="386"/>
        <v>11.083333333333334</v>
      </c>
      <c r="R2275">
        <f t="shared" si="387"/>
        <v>35.729999999999997</v>
      </c>
      <c r="S2275" t="str">
        <f t="shared" si="388"/>
        <v>Good</v>
      </c>
      <c r="T2275" t="str">
        <f t="shared" si="389"/>
        <v>PM10</v>
      </c>
    </row>
    <row r="2276" spans="1:20" x14ac:dyDescent="0.3">
      <c r="A2276" s="2" t="s">
        <v>15</v>
      </c>
      <c r="B2276">
        <v>560026</v>
      </c>
      <c r="C2276" s="5">
        <v>45833</v>
      </c>
      <c r="D2276" s="6">
        <v>13.68</v>
      </c>
      <c r="E2276" s="6">
        <v>34.26</v>
      </c>
      <c r="F2276" s="6">
        <v>2.06</v>
      </c>
      <c r="G2276" s="6">
        <v>2.21</v>
      </c>
      <c r="H2276" s="6">
        <v>1.94</v>
      </c>
      <c r="I2276" s="6">
        <v>0.1</v>
      </c>
      <c r="J2276" s="7">
        <v>11.95</v>
      </c>
      <c r="K2276">
        <f t="shared" si="380"/>
        <v>22.8</v>
      </c>
      <c r="L2276">
        <f t="shared" si="381"/>
        <v>34.26</v>
      </c>
      <c r="M2276">
        <f t="shared" si="382"/>
        <v>2.5750000000000002</v>
      </c>
      <c r="N2276">
        <f t="shared" si="383"/>
        <v>0.55249999999999999</v>
      </c>
      <c r="O2276">
        <f t="shared" si="384"/>
        <v>2.4249999999999998</v>
      </c>
      <c r="P2276">
        <f t="shared" si="385"/>
        <v>1.1363636363636365</v>
      </c>
      <c r="Q2276">
        <f t="shared" si="386"/>
        <v>11.064814814814815</v>
      </c>
      <c r="R2276">
        <f t="shared" si="387"/>
        <v>34.26</v>
      </c>
      <c r="S2276" t="str">
        <f t="shared" si="388"/>
        <v>Good</v>
      </c>
      <c r="T2276" t="str">
        <f t="shared" si="389"/>
        <v>PM10</v>
      </c>
    </row>
    <row r="2277" spans="1:20" x14ac:dyDescent="0.3">
      <c r="A2277" s="2" t="s">
        <v>15</v>
      </c>
      <c r="B2277">
        <v>560026</v>
      </c>
      <c r="C2277" s="5">
        <v>45834</v>
      </c>
      <c r="D2277" s="6">
        <v>16.920000000000002</v>
      </c>
      <c r="E2277" s="6">
        <v>42.03</v>
      </c>
      <c r="F2277" s="6">
        <v>1.94</v>
      </c>
      <c r="G2277" s="6">
        <v>2.14</v>
      </c>
      <c r="H2277" s="6">
        <v>2.36</v>
      </c>
      <c r="I2277" s="6">
        <v>0.08</v>
      </c>
      <c r="J2277" s="7">
        <v>11.98</v>
      </c>
      <c r="K2277">
        <f t="shared" si="380"/>
        <v>28.200000000000003</v>
      </c>
      <c r="L2277">
        <f t="shared" si="381"/>
        <v>42.03</v>
      </c>
      <c r="M2277">
        <f t="shared" si="382"/>
        <v>2.4249999999999998</v>
      </c>
      <c r="N2277">
        <f t="shared" si="383"/>
        <v>0.53500000000000003</v>
      </c>
      <c r="O2277">
        <f t="shared" si="384"/>
        <v>2.95</v>
      </c>
      <c r="P2277">
        <f t="shared" si="385"/>
        <v>0.90909090909090906</v>
      </c>
      <c r="Q2277">
        <f t="shared" si="386"/>
        <v>11.092592592592593</v>
      </c>
      <c r="R2277">
        <f t="shared" si="387"/>
        <v>42.03</v>
      </c>
      <c r="S2277" t="str">
        <f t="shared" si="388"/>
        <v>Good</v>
      </c>
      <c r="T2277" t="str">
        <f t="shared" si="389"/>
        <v>PM10</v>
      </c>
    </row>
    <row r="2278" spans="1:20" x14ac:dyDescent="0.3">
      <c r="A2278" s="2" t="s">
        <v>15</v>
      </c>
      <c r="B2278">
        <v>560026</v>
      </c>
      <c r="C2278" s="5">
        <v>45835</v>
      </c>
      <c r="D2278" s="6">
        <v>15.13</v>
      </c>
      <c r="E2278" s="6">
        <v>37.89</v>
      </c>
      <c r="F2278" s="6">
        <v>1.9</v>
      </c>
      <c r="G2278" s="6">
        <v>2.12</v>
      </c>
      <c r="H2278" s="6">
        <v>2.2799999999999998</v>
      </c>
      <c r="I2278" s="6">
        <v>0.1</v>
      </c>
      <c r="J2278" s="7">
        <v>12.01</v>
      </c>
      <c r="K2278">
        <f t="shared" si="380"/>
        <v>25.216666666666665</v>
      </c>
      <c r="L2278">
        <f t="shared" si="381"/>
        <v>37.89</v>
      </c>
      <c r="M2278">
        <f t="shared" si="382"/>
        <v>2.375</v>
      </c>
      <c r="N2278">
        <f t="shared" si="383"/>
        <v>0.53</v>
      </c>
      <c r="O2278">
        <f t="shared" si="384"/>
        <v>2.8499999999999996</v>
      </c>
      <c r="P2278">
        <f t="shared" si="385"/>
        <v>1.1363636363636365</v>
      </c>
      <c r="Q2278">
        <f t="shared" si="386"/>
        <v>11.12037037037037</v>
      </c>
      <c r="R2278">
        <f t="shared" si="387"/>
        <v>37.89</v>
      </c>
      <c r="S2278" t="str">
        <f t="shared" si="388"/>
        <v>Good</v>
      </c>
      <c r="T2278" t="str">
        <f t="shared" si="389"/>
        <v>PM10</v>
      </c>
    </row>
    <row r="2279" spans="1:20" x14ac:dyDescent="0.3">
      <c r="A2279" s="2" t="s">
        <v>15</v>
      </c>
      <c r="B2279">
        <v>560026</v>
      </c>
      <c r="C2279" s="5">
        <v>45836</v>
      </c>
      <c r="D2279" s="6">
        <v>21.14</v>
      </c>
      <c r="E2279" s="6">
        <v>53.04</v>
      </c>
      <c r="F2279" s="6">
        <v>2.21</v>
      </c>
      <c r="G2279" s="6">
        <v>2.31</v>
      </c>
      <c r="H2279" s="6">
        <v>2.7</v>
      </c>
      <c r="I2279" s="6">
        <v>0.09</v>
      </c>
      <c r="J2279" s="7">
        <v>12.04</v>
      </c>
      <c r="K2279">
        <f t="shared" si="380"/>
        <v>35.233333333333334</v>
      </c>
      <c r="L2279">
        <f t="shared" si="381"/>
        <v>53.04</v>
      </c>
      <c r="M2279">
        <f t="shared" si="382"/>
        <v>2.7625000000000002</v>
      </c>
      <c r="N2279">
        <f t="shared" si="383"/>
        <v>0.57750000000000001</v>
      </c>
      <c r="O2279">
        <f t="shared" si="384"/>
        <v>3.375</v>
      </c>
      <c r="P2279">
        <f t="shared" si="385"/>
        <v>1.0227272727272727</v>
      </c>
      <c r="Q2279">
        <f t="shared" si="386"/>
        <v>11.148148148148147</v>
      </c>
      <c r="R2279">
        <f t="shared" si="387"/>
        <v>53.04</v>
      </c>
      <c r="S2279" t="str">
        <f t="shared" si="388"/>
        <v>Satisfactory</v>
      </c>
      <c r="T2279" t="str">
        <f t="shared" si="389"/>
        <v>PM10</v>
      </c>
    </row>
    <row r="2280" spans="1:20" x14ac:dyDescent="0.3">
      <c r="A2280" s="2" t="s">
        <v>15</v>
      </c>
      <c r="B2280">
        <v>560026</v>
      </c>
      <c r="C2280" s="5">
        <v>45837</v>
      </c>
      <c r="D2280" s="6">
        <v>20.13</v>
      </c>
      <c r="E2280" s="6">
        <v>50.37</v>
      </c>
      <c r="F2280" s="6">
        <v>2.3199999999999998</v>
      </c>
      <c r="G2280" s="6">
        <v>2.37</v>
      </c>
      <c r="H2280" s="6">
        <v>2.15</v>
      </c>
      <c r="I2280" s="6">
        <v>0.1</v>
      </c>
      <c r="J2280" s="7">
        <v>11.96</v>
      </c>
      <c r="K2280">
        <f t="shared" si="380"/>
        <v>33.549999999999997</v>
      </c>
      <c r="L2280">
        <f t="shared" si="381"/>
        <v>50.37</v>
      </c>
      <c r="M2280">
        <f t="shared" si="382"/>
        <v>2.8999999999999995</v>
      </c>
      <c r="N2280">
        <f t="shared" si="383"/>
        <v>0.59250000000000003</v>
      </c>
      <c r="O2280">
        <f t="shared" si="384"/>
        <v>2.6875</v>
      </c>
      <c r="P2280">
        <f t="shared" si="385"/>
        <v>1.1363636363636365</v>
      </c>
      <c r="Q2280">
        <f t="shared" si="386"/>
        <v>11.074074074074074</v>
      </c>
      <c r="R2280">
        <f t="shared" si="387"/>
        <v>50.37</v>
      </c>
      <c r="S2280" t="str">
        <f t="shared" si="388"/>
        <v>Satisfactory</v>
      </c>
      <c r="T2280" t="str">
        <f t="shared" si="389"/>
        <v>PM10</v>
      </c>
    </row>
    <row r="2281" spans="1:20" x14ac:dyDescent="0.3">
      <c r="A2281" s="2" t="s">
        <v>15</v>
      </c>
      <c r="B2281">
        <v>560026</v>
      </c>
      <c r="C2281" s="5">
        <v>45838</v>
      </c>
      <c r="D2281" s="6">
        <v>23.38</v>
      </c>
      <c r="E2281" s="6">
        <v>58.53</v>
      </c>
      <c r="F2281" s="6">
        <v>2.4</v>
      </c>
      <c r="G2281" s="6">
        <v>2.4300000000000002</v>
      </c>
      <c r="H2281" s="6">
        <v>2.27</v>
      </c>
      <c r="I2281" s="6">
        <v>0.12</v>
      </c>
      <c r="J2281" s="7">
        <v>12.04</v>
      </c>
      <c r="K2281">
        <f t="shared" si="380"/>
        <v>38.966666666666669</v>
      </c>
      <c r="L2281">
        <f t="shared" si="381"/>
        <v>58.53</v>
      </c>
      <c r="M2281">
        <f t="shared" si="382"/>
        <v>3</v>
      </c>
      <c r="N2281">
        <f t="shared" si="383"/>
        <v>0.60750000000000004</v>
      </c>
      <c r="O2281">
        <f t="shared" si="384"/>
        <v>2.8374999999999999</v>
      </c>
      <c r="P2281">
        <f t="shared" si="385"/>
        <v>1.3636363636363635</v>
      </c>
      <c r="Q2281">
        <f t="shared" si="386"/>
        <v>11.148148148148147</v>
      </c>
      <c r="R2281">
        <f t="shared" si="387"/>
        <v>58.53</v>
      </c>
      <c r="S2281" t="str">
        <f t="shared" si="388"/>
        <v>Satisfactory</v>
      </c>
      <c r="T2281" t="str">
        <f t="shared" si="389"/>
        <v>PM10</v>
      </c>
    </row>
    <row r="2282" spans="1:20" x14ac:dyDescent="0.3">
      <c r="A2282" s="2" t="s">
        <v>15</v>
      </c>
      <c r="B2282">
        <v>560026</v>
      </c>
      <c r="C2282" s="5">
        <v>45839</v>
      </c>
      <c r="D2282" s="6">
        <v>17.28</v>
      </c>
      <c r="E2282" s="6">
        <v>43.29</v>
      </c>
      <c r="F2282" s="6">
        <v>2.02</v>
      </c>
      <c r="G2282" s="6">
        <v>2.19</v>
      </c>
      <c r="H2282" s="6">
        <v>2.2799999999999998</v>
      </c>
      <c r="I2282" s="6">
        <v>0.09</v>
      </c>
      <c r="J2282" s="7">
        <v>11.99</v>
      </c>
      <c r="K2282">
        <f t="shared" si="380"/>
        <v>28.8</v>
      </c>
      <c r="L2282">
        <f t="shared" si="381"/>
        <v>43.29</v>
      </c>
      <c r="M2282">
        <f t="shared" si="382"/>
        <v>2.5249999999999999</v>
      </c>
      <c r="N2282">
        <f t="shared" si="383"/>
        <v>0.54749999999999999</v>
      </c>
      <c r="O2282">
        <f t="shared" si="384"/>
        <v>2.8499999999999996</v>
      </c>
      <c r="P2282">
        <f t="shared" si="385"/>
        <v>1.0227272727272727</v>
      </c>
      <c r="Q2282">
        <f t="shared" si="386"/>
        <v>11.101851851851853</v>
      </c>
      <c r="R2282">
        <f t="shared" si="387"/>
        <v>43.29</v>
      </c>
      <c r="S2282" t="str">
        <f t="shared" si="388"/>
        <v>Good</v>
      </c>
      <c r="T2282" t="str">
        <f t="shared" si="389"/>
        <v>PM10</v>
      </c>
    </row>
    <row r="2283" spans="1:20" x14ac:dyDescent="0.3">
      <c r="A2283" s="2" t="s">
        <v>15</v>
      </c>
      <c r="B2283">
        <v>560026</v>
      </c>
      <c r="C2283" s="5">
        <v>45840</v>
      </c>
      <c r="D2283" s="6">
        <v>16.350000000000001</v>
      </c>
      <c r="E2283" s="6">
        <v>41.08</v>
      </c>
      <c r="F2283" s="6">
        <v>1.8</v>
      </c>
      <c r="G2283" s="6">
        <v>2.0499999999999998</v>
      </c>
      <c r="H2283" s="6">
        <v>2.91</v>
      </c>
      <c r="I2283" s="6">
        <v>0.1</v>
      </c>
      <c r="J2283" s="7">
        <v>12.14</v>
      </c>
      <c r="K2283">
        <f t="shared" si="380"/>
        <v>27.250000000000004</v>
      </c>
      <c r="L2283">
        <f t="shared" si="381"/>
        <v>41.08</v>
      </c>
      <c r="M2283">
        <f t="shared" si="382"/>
        <v>2.25</v>
      </c>
      <c r="N2283">
        <f t="shared" si="383"/>
        <v>0.51249999999999996</v>
      </c>
      <c r="O2283">
        <f t="shared" si="384"/>
        <v>3.6375000000000002</v>
      </c>
      <c r="P2283">
        <f t="shared" si="385"/>
        <v>1.1363636363636365</v>
      </c>
      <c r="Q2283">
        <f t="shared" si="386"/>
        <v>11.24074074074074</v>
      </c>
      <c r="R2283">
        <f t="shared" si="387"/>
        <v>41.08</v>
      </c>
      <c r="S2283" t="str">
        <f t="shared" si="388"/>
        <v>Good</v>
      </c>
      <c r="T2283" t="str">
        <f t="shared" si="389"/>
        <v>PM10</v>
      </c>
    </row>
    <row r="2284" spans="1:20" x14ac:dyDescent="0.3">
      <c r="A2284" s="2" t="s">
        <v>15</v>
      </c>
      <c r="B2284">
        <v>560026</v>
      </c>
      <c r="C2284" s="5">
        <v>45841</v>
      </c>
      <c r="D2284" s="6">
        <v>25.52</v>
      </c>
      <c r="E2284" s="6">
        <v>64.03</v>
      </c>
      <c r="F2284" s="6">
        <v>2.0299999999999998</v>
      </c>
      <c r="G2284" s="6">
        <v>2.1800000000000002</v>
      </c>
      <c r="H2284" s="6">
        <v>3.42</v>
      </c>
      <c r="I2284" s="6">
        <v>7.0000000000000007E-2</v>
      </c>
      <c r="J2284" s="7">
        <v>12.09</v>
      </c>
      <c r="K2284">
        <f t="shared" si="380"/>
        <v>42.533333333333331</v>
      </c>
      <c r="L2284">
        <f t="shared" si="381"/>
        <v>64.03</v>
      </c>
      <c r="M2284">
        <f t="shared" si="382"/>
        <v>2.5374999999999996</v>
      </c>
      <c r="N2284">
        <f t="shared" si="383"/>
        <v>0.54500000000000004</v>
      </c>
      <c r="O2284">
        <f t="shared" si="384"/>
        <v>4.2750000000000004</v>
      </c>
      <c r="P2284">
        <f t="shared" si="385"/>
        <v>0.79545454545454553</v>
      </c>
      <c r="Q2284">
        <f t="shared" si="386"/>
        <v>11.194444444444445</v>
      </c>
      <c r="R2284">
        <f t="shared" si="387"/>
        <v>64.03</v>
      </c>
      <c r="S2284" t="str">
        <f t="shared" si="388"/>
        <v>Satisfactory</v>
      </c>
      <c r="T2284" t="str">
        <f t="shared" si="389"/>
        <v>PM10</v>
      </c>
    </row>
    <row r="2285" spans="1:20" x14ac:dyDescent="0.3">
      <c r="A2285" s="2" t="s">
        <v>15</v>
      </c>
      <c r="B2285">
        <v>560026</v>
      </c>
      <c r="C2285" s="5">
        <v>45842</v>
      </c>
      <c r="D2285" s="6">
        <v>19.97</v>
      </c>
      <c r="E2285" s="6">
        <v>49.79</v>
      </c>
      <c r="F2285" s="6">
        <v>1.99</v>
      </c>
      <c r="G2285" s="6">
        <v>2.17</v>
      </c>
      <c r="H2285" s="6">
        <v>2.87</v>
      </c>
      <c r="I2285" s="6">
        <v>0.08</v>
      </c>
      <c r="J2285" s="7">
        <v>12.07</v>
      </c>
      <c r="K2285">
        <f t="shared" si="380"/>
        <v>33.283333333333331</v>
      </c>
      <c r="L2285">
        <f t="shared" si="381"/>
        <v>49.79</v>
      </c>
      <c r="M2285">
        <f t="shared" si="382"/>
        <v>2.4874999999999998</v>
      </c>
      <c r="N2285">
        <f t="shared" si="383"/>
        <v>0.54249999999999998</v>
      </c>
      <c r="O2285">
        <f t="shared" si="384"/>
        <v>3.5874999999999999</v>
      </c>
      <c r="P2285">
        <f t="shared" si="385"/>
        <v>0.90909090909090906</v>
      </c>
      <c r="Q2285">
        <f t="shared" si="386"/>
        <v>11.175925925925926</v>
      </c>
      <c r="R2285">
        <f t="shared" si="387"/>
        <v>49.79</v>
      </c>
      <c r="S2285" t="str">
        <f t="shared" si="388"/>
        <v>Good</v>
      </c>
      <c r="T2285" t="str">
        <f t="shared" si="389"/>
        <v>PM10</v>
      </c>
    </row>
    <row r="2286" spans="1:20" x14ac:dyDescent="0.3">
      <c r="A2286" s="2" t="s">
        <v>15</v>
      </c>
      <c r="B2286">
        <v>560026</v>
      </c>
      <c r="C2286" s="5">
        <v>45843</v>
      </c>
      <c r="D2286" s="6">
        <v>14.49</v>
      </c>
      <c r="E2286" s="6">
        <v>36.07</v>
      </c>
      <c r="F2286" s="6">
        <v>1.92</v>
      </c>
      <c r="G2286" s="6">
        <v>2.13</v>
      </c>
      <c r="H2286" s="6">
        <v>2.41</v>
      </c>
      <c r="I2286" s="6">
        <v>0.05</v>
      </c>
      <c r="J2286" s="7">
        <v>11.95</v>
      </c>
      <c r="K2286">
        <f t="shared" si="380"/>
        <v>24.15</v>
      </c>
      <c r="L2286">
        <f t="shared" si="381"/>
        <v>36.07</v>
      </c>
      <c r="M2286">
        <f t="shared" si="382"/>
        <v>2.4</v>
      </c>
      <c r="N2286">
        <f t="shared" si="383"/>
        <v>0.53249999999999997</v>
      </c>
      <c r="O2286">
        <f t="shared" si="384"/>
        <v>3.0125000000000002</v>
      </c>
      <c r="P2286">
        <f t="shared" si="385"/>
        <v>0.56818181818181823</v>
      </c>
      <c r="Q2286">
        <f t="shared" si="386"/>
        <v>11.064814814814815</v>
      </c>
      <c r="R2286">
        <f t="shared" si="387"/>
        <v>36.07</v>
      </c>
      <c r="S2286" t="str">
        <f t="shared" si="388"/>
        <v>Good</v>
      </c>
      <c r="T2286" t="str">
        <f t="shared" si="389"/>
        <v>PM10</v>
      </c>
    </row>
    <row r="2287" spans="1:20" x14ac:dyDescent="0.3">
      <c r="A2287" s="2" t="s">
        <v>15</v>
      </c>
      <c r="B2287">
        <v>560026</v>
      </c>
      <c r="C2287" s="5">
        <v>45844</v>
      </c>
      <c r="D2287" s="6">
        <v>12.47</v>
      </c>
      <c r="E2287" s="6">
        <v>31.16</v>
      </c>
      <c r="F2287" s="6">
        <v>1.91</v>
      </c>
      <c r="G2287" s="6">
        <v>2.12</v>
      </c>
      <c r="H2287" s="6">
        <v>1.89</v>
      </c>
      <c r="I2287" s="6">
        <v>0.06</v>
      </c>
      <c r="J2287" s="7">
        <v>12.01</v>
      </c>
      <c r="K2287">
        <f t="shared" si="380"/>
        <v>20.783333333333335</v>
      </c>
      <c r="L2287">
        <f t="shared" si="381"/>
        <v>31.16</v>
      </c>
      <c r="M2287">
        <f t="shared" si="382"/>
        <v>2.3875000000000002</v>
      </c>
      <c r="N2287">
        <f t="shared" si="383"/>
        <v>0.53</v>
      </c>
      <c r="O2287">
        <f t="shared" si="384"/>
        <v>2.3624999999999998</v>
      </c>
      <c r="P2287">
        <f t="shared" si="385"/>
        <v>0.68181818181818177</v>
      </c>
      <c r="Q2287">
        <f t="shared" si="386"/>
        <v>11.12037037037037</v>
      </c>
      <c r="R2287">
        <f t="shared" si="387"/>
        <v>31.16</v>
      </c>
      <c r="S2287" t="str">
        <f t="shared" si="388"/>
        <v>Good</v>
      </c>
      <c r="T2287" t="str">
        <f t="shared" si="389"/>
        <v>PM10</v>
      </c>
    </row>
    <row r="2288" spans="1:20" x14ac:dyDescent="0.3">
      <c r="A2288" s="2" t="s">
        <v>15</v>
      </c>
      <c r="B2288">
        <v>560026</v>
      </c>
      <c r="C2288" s="5">
        <v>45845</v>
      </c>
      <c r="D2288" s="6">
        <v>17.64</v>
      </c>
      <c r="E2288" s="6">
        <v>44.12</v>
      </c>
      <c r="F2288" s="6">
        <v>2.11</v>
      </c>
      <c r="G2288" s="6">
        <v>2.23</v>
      </c>
      <c r="H2288" s="6">
        <v>2.0699999999999998</v>
      </c>
      <c r="I2288" s="6">
        <v>0.1</v>
      </c>
      <c r="J2288" s="7">
        <v>12.1</v>
      </c>
      <c r="K2288">
        <f t="shared" si="380"/>
        <v>29.4</v>
      </c>
      <c r="L2288">
        <f t="shared" si="381"/>
        <v>44.12</v>
      </c>
      <c r="M2288">
        <f t="shared" si="382"/>
        <v>2.6375000000000002</v>
      </c>
      <c r="N2288">
        <f t="shared" si="383"/>
        <v>0.5575</v>
      </c>
      <c r="O2288">
        <f t="shared" si="384"/>
        <v>2.5874999999999995</v>
      </c>
      <c r="P2288">
        <f t="shared" si="385"/>
        <v>1.1363636363636365</v>
      </c>
      <c r="Q2288">
        <f t="shared" si="386"/>
        <v>11.203703703703704</v>
      </c>
      <c r="R2288">
        <f t="shared" si="387"/>
        <v>44.12</v>
      </c>
      <c r="S2288" t="str">
        <f t="shared" si="388"/>
        <v>Good</v>
      </c>
      <c r="T2288" t="str">
        <f t="shared" si="389"/>
        <v>PM10</v>
      </c>
    </row>
    <row r="2289" spans="1:20" x14ac:dyDescent="0.3">
      <c r="A2289" s="2" t="s">
        <v>15</v>
      </c>
      <c r="B2289">
        <v>560026</v>
      </c>
      <c r="C2289" s="5">
        <v>45846</v>
      </c>
      <c r="D2289" s="6">
        <v>21.69</v>
      </c>
      <c r="E2289" s="6">
        <v>54.35</v>
      </c>
      <c r="F2289" s="6">
        <v>2.1</v>
      </c>
      <c r="G2289" s="6">
        <v>2.2400000000000002</v>
      </c>
      <c r="H2289" s="6">
        <v>2.36</v>
      </c>
      <c r="I2289" s="6">
        <v>0.08</v>
      </c>
      <c r="J2289" s="7">
        <v>11.96</v>
      </c>
      <c r="K2289">
        <f t="shared" si="380"/>
        <v>36.15</v>
      </c>
      <c r="L2289">
        <f t="shared" si="381"/>
        <v>54.35</v>
      </c>
      <c r="M2289">
        <f t="shared" si="382"/>
        <v>2.625</v>
      </c>
      <c r="N2289">
        <f t="shared" si="383"/>
        <v>0.56000000000000005</v>
      </c>
      <c r="O2289">
        <f t="shared" si="384"/>
        <v>2.95</v>
      </c>
      <c r="P2289">
        <f t="shared" si="385"/>
        <v>0.90909090909090906</v>
      </c>
      <c r="Q2289">
        <f t="shared" si="386"/>
        <v>11.074074074074074</v>
      </c>
      <c r="R2289">
        <f t="shared" si="387"/>
        <v>54.35</v>
      </c>
      <c r="S2289" t="str">
        <f t="shared" si="388"/>
        <v>Satisfactory</v>
      </c>
      <c r="T2289" t="str">
        <f t="shared" si="389"/>
        <v>PM10</v>
      </c>
    </row>
    <row r="2290" spans="1:20" x14ac:dyDescent="0.3">
      <c r="A2290" s="2" t="s">
        <v>15</v>
      </c>
      <c r="B2290">
        <v>560026</v>
      </c>
      <c r="C2290" s="5">
        <v>45847</v>
      </c>
      <c r="D2290" s="6">
        <v>21.13</v>
      </c>
      <c r="E2290" s="6">
        <v>53.01</v>
      </c>
      <c r="F2290" s="6">
        <v>2.0499999999999998</v>
      </c>
      <c r="G2290" s="6">
        <v>2.21</v>
      </c>
      <c r="H2290" s="6">
        <v>2.5499999999999998</v>
      </c>
      <c r="I2290" s="6">
        <v>0.1</v>
      </c>
      <c r="J2290" s="7">
        <v>12.01</v>
      </c>
      <c r="K2290">
        <f t="shared" si="380"/>
        <v>35.216666666666669</v>
      </c>
      <c r="L2290">
        <f t="shared" si="381"/>
        <v>53.01</v>
      </c>
      <c r="M2290">
        <f t="shared" si="382"/>
        <v>2.5624999999999996</v>
      </c>
      <c r="N2290">
        <f t="shared" si="383"/>
        <v>0.55249999999999999</v>
      </c>
      <c r="O2290">
        <f t="shared" si="384"/>
        <v>3.1874999999999996</v>
      </c>
      <c r="P2290">
        <f t="shared" si="385"/>
        <v>1.1363636363636365</v>
      </c>
      <c r="Q2290">
        <f t="shared" si="386"/>
        <v>11.12037037037037</v>
      </c>
      <c r="R2290">
        <f t="shared" si="387"/>
        <v>53.01</v>
      </c>
      <c r="S2290" t="str">
        <f t="shared" si="388"/>
        <v>Satisfactory</v>
      </c>
      <c r="T2290" t="str">
        <f t="shared" si="389"/>
        <v>PM10</v>
      </c>
    </row>
    <row r="2291" spans="1:20" x14ac:dyDescent="0.3">
      <c r="A2291" s="2" t="s">
        <v>15</v>
      </c>
      <c r="B2291">
        <v>560026</v>
      </c>
      <c r="C2291" s="5">
        <v>45848</v>
      </c>
      <c r="D2291" s="6">
        <v>23.09</v>
      </c>
      <c r="E2291" s="6">
        <v>57.95</v>
      </c>
      <c r="F2291" s="6">
        <v>2.44</v>
      </c>
      <c r="G2291" s="6">
        <v>2.44</v>
      </c>
      <c r="H2291" s="6">
        <v>2.89</v>
      </c>
      <c r="I2291" s="6">
        <v>0.13</v>
      </c>
      <c r="J2291" s="7">
        <v>11.99</v>
      </c>
      <c r="K2291">
        <f t="shared" si="380"/>
        <v>38.483333333333334</v>
      </c>
      <c r="L2291">
        <f t="shared" si="381"/>
        <v>57.95</v>
      </c>
      <c r="M2291">
        <f t="shared" si="382"/>
        <v>3.05</v>
      </c>
      <c r="N2291">
        <f t="shared" si="383"/>
        <v>0.61</v>
      </c>
      <c r="O2291">
        <f t="shared" si="384"/>
        <v>3.6124999999999998</v>
      </c>
      <c r="P2291">
        <f t="shared" si="385"/>
        <v>1.4772727272727273</v>
      </c>
      <c r="Q2291">
        <f t="shared" si="386"/>
        <v>11.101851851851853</v>
      </c>
      <c r="R2291">
        <f t="shared" si="387"/>
        <v>57.95</v>
      </c>
      <c r="S2291" t="str">
        <f t="shared" si="388"/>
        <v>Satisfactory</v>
      </c>
      <c r="T2291" t="str">
        <f t="shared" si="389"/>
        <v>PM10</v>
      </c>
    </row>
    <row r="2292" spans="1:20" x14ac:dyDescent="0.3">
      <c r="A2292" s="2" t="s">
        <v>15</v>
      </c>
      <c r="B2292">
        <v>560026</v>
      </c>
      <c r="C2292" s="5">
        <v>45849</v>
      </c>
      <c r="D2292" s="6">
        <v>16.239999999999998</v>
      </c>
      <c r="E2292" s="6">
        <v>40.72</v>
      </c>
      <c r="F2292" s="6">
        <v>2.16</v>
      </c>
      <c r="G2292" s="6">
        <v>2.2799999999999998</v>
      </c>
      <c r="H2292" s="6">
        <v>3.22</v>
      </c>
      <c r="I2292" s="6">
        <v>0.09</v>
      </c>
      <c r="J2292" s="7">
        <v>11.97</v>
      </c>
      <c r="K2292">
        <f t="shared" si="380"/>
        <v>27.066666666666663</v>
      </c>
      <c r="L2292">
        <f t="shared" si="381"/>
        <v>40.72</v>
      </c>
      <c r="M2292">
        <f t="shared" si="382"/>
        <v>2.7</v>
      </c>
      <c r="N2292">
        <f t="shared" si="383"/>
        <v>0.56999999999999995</v>
      </c>
      <c r="O2292">
        <f t="shared" si="384"/>
        <v>4.0250000000000004</v>
      </c>
      <c r="P2292">
        <f t="shared" si="385"/>
        <v>1.0227272727272727</v>
      </c>
      <c r="Q2292">
        <f t="shared" si="386"/>
        <v>11.083333333333334</v>
      </c>
      <c r="R2292">
        <f t="shared" si="387"/>
        <v>40.72</v>
      </c>
      <c r="S2292" t="str">
        <f t="shared" si="388"/>
        <v>Good</v>
      </c>
      <c r="T2292" t="str">
        <f t="shared" si="389"/>
        <v>PM10</v>
      </c>
    </row>
    <row r="2293" spans="1:20" x14ac:dyDescent="0.3">
      <c r="A2293" s="2" t="s">
        <v>15</v>
      </c>
      <c r="B2293">
        <v>560026</v>
      </c>
      <c r="C2293" s="5">
        <v>45850</v>
      </c>
      <c r="D2293" s="6">
        <v>31.76</v>
      </c>
      <c r="E2293" s="6">
        <v>79.37</v>
      </c>
      <c r="F2293" s="6">
        <v>2.25</v>
      </c>
      <c r="G2293" s="6">
        <v>2.3199999999999998</v>
      </c>
      <c r="H2293" s="6">
        <v>4.47</v>
      </c>
      <c r="I2293" s="6">
        <v>0.1</v>
      </c>
      <c r="J2293" s="7">
        <v>12.02</v>
      </c>
      <c r="K2293">
        <f t="shared" si="380"/>
        <v>52.933333333333337</v>
      </c>
      <c r="L2293">
        <f t="shared" si="381"/>
        <v>79.37</v>
      </c>
      <c r="M2293">
        <f t="shared" si="382"/>
        <v>2.8125</v>
      </c>
      <c r="N2293">
        <f t="shared" si="383"/>
        <v>0.57999999999999996</v>
      </c>
      <c r="O2293">
        <f t="shared" si="384"/>
        <v>5.5875000000000004</v>
      </c>
      <c r="P2293">
        <f t="shared" si="385"/>
        <v>1.1363636363636365</v>
      </c>
      <c r="Q2293">
        <f t="shared" si="386"/>
        <v>11.12962962962963</v>
      </c>
      <c r="R2293">
        <f t="shared" si="387"/>
        <v>79.37</v>
      </c>
      <c r="S2293" t="str">
        <f t="shared" si="388"/>
        <v>Satisfactory</v>
      </c>
      <c r="T2293" t="str">
        <f t="shared" si="389"/>
        <v>PM10</v>
      </c>
    </row>
    <row r="2294" spans="1:20" x14ac:dyDescent="0.3">
      <c r="A2294" s="2" t="s">
        <v>15</v>
      </c>
      <c r="B2294">
        <v>560026</v>
      </c>
      <c r="C2294" s="5">
        <v>45851</v>
      </c>
      <c r="D2294" s="6">
        <v>18.100000000000001</v>
      </c>
      <c r="E2294" s="6">
        <v>45.26</v>
      </c>
      <c r="F2294" s="6">
        <v>2.46</v>
      </c>
      <c r="G2294" s="6">
        <v>2.4700000000000002</v>
      </c>
      <c r="H2294" s="6">
        <v>3</v>
      </c>
      <c r="I2294" s="6">
        <v>0.14000000000000001</v>
      </c>
      <c r="J2294" s="7">
        <v>11.86</v>
      </c>
      <c r="K2294">
        <f t="shared" si="380"/>
        <v>30.166666666666671</v>
      </c>
      <c r="L2294">
        <f t="shared" si="381"/>
        <v>45.26</v>
      </c>
      <c r="M2294">
        <f t="shared" si="382"/>
        <v>3.0750000000000002</v>
      </c>
      <c r="N2294">
        <f t="shared" si="383"/>
        <v>0.61750000000000005</v>
      </c>
      <c r="O2294">
        <f t="shared" si="384"/>
        <v>3.75</v>
      </c>
      <c r="P2294">
        <f t="shared" si="385"/>
        <v>1.5909090909090911</v>
      </c>
      <c r="Q2294">
        <f t="shared" si="386"/>
        <v>10.981481481481481</v>
      </c>
      <c r="R2294">
        <f t="shared" si="387"/>
        <v>45.26</v>
      </c>
      <c r="S2294" t="str">
        <f t="shared" si="388"/>
        <v>Good</v>
      </c>
      <c r="T2294" t="str">
        <f t="shared" si="389"/>
        <v>PM10</v>
      </c>
    </row>
    <row r="2295" spans="1:20" x14ac:dyDescent="0.3">
      <c r="A2295" s="2" t="s">
        <v>15</v>
      </c>
      <c r="B2295">
        <v>560026</v>
      </c>
      <c r="C2295" s="5">
        <v>45852</v>
      </c>
      <c r="D2295" s="6">
        <v>16.350000000000001</v>
      </c>
      <c r="E2295" s="6">
        <v>41.01</v>
      </c>
      <c r="F2295" s="6">
        <v>1.88</v>
      </c>
      <c r="G2295" s="6">
        <v>2.1</v>
      </c>
      <c r="H2295" s="6">
        <v>2.6</v>
      </c>
      <c r="I2295" s="6">
        <v>0.05</v>
      </c>
      <c r="J2295" s="7">
        <v>12.15</v>
      </c>
      <c r="K2295">
        <f t="shared" si="380"/>
        <v>27.250000000000004</v>
      </c>
      <c r="L2295">
        <f t="shared" si="381"/>
        <v>41.01</v>
      </c>
      <c r="M2295">
        <f t="shared" si="382"/>
        <v>2.35</v>
      </c>
      <c r="N2295">
        <f t="shared" si="383"/>
        <v>0.52500000000000002</v>
      </c>
      <c r="O2295">
        <f t="shared" si="384"/>
        <v>3.25</v>
      </c>
      <c r="P2295">
        <f t="shared" si="385"/>
        <v>0.56818181818181823</v>
      </c>
      <c r="Q2295">
        <f t="shared" si="386"/>
        <v>11.25</v>
      </c>
      <c r="R2295">
        <f t="shared" si="387"/>
        <v>41.01</v>
      </c>
      <c r="S2295" t="str">
        <f t="shared" si="388"/>
        <v>Good</v>
      </c>
      <c r="T2295" t="str">
        <f t="shared" si="389"/>
        <v>PM10</v>
      </c>
    </row>
    <row r="2296" spans="1:20" x14ac:dyDescent="0.3">
      <c r="A2296" s="2" t="s">
        <v>15</v>
      </c>
      <c r="B2296">
        <v>560026</v>
      </c>
      <c r="C2296" s="5">
        <v>45853</v>
      </c>
      <c r="D2296" s="6">
        <v>15.73</v>
      </c>
      <c r="E2296" s="6">
        <v>39.299999999999997</v>
      </c>
      <c r="F2296" s="6">
        <v>2.75</v>
      </c>
      <c r="G2296" s="6">
        <v>2.64</v>
      </c>
      <c r="H2296" s="6">
        <v>2.76</v>
      </c>
      <c r="I2296" s="6">
        <v>0.43</v>
      </c>
      <c r="J2296" s="7">
        <v>12.1</v>
      </c>
      <c r="K2296">
        <f t="shared" si="380"/>
        <v>26.216666666666665</v>
      </c>
      <c r="L2296">
        <f t="shared" si="381"/>
        <v>39.299999999999997</v>
      </c>
      <c r="M2296">
        <f t="shared" si="382"/>
        <v>3.4375</v>
      </c>
      <c r="N2296">
        <f t="shared" si="383"/>
        <v>0.66</v>
      </c>
      <c r="O2296">
        <f t="shared" si="384"/>
        <v>3.45</v>
      </c>
      <c r="P2296">
        <f t="shared" si="385"/>
        <v>4.8863636363636358</v>
      </c>
      <c r="Q2296">
        <f t="shared" si="386"/>
        <v>11.203703703703704</v>
      </c>
      <c r="R2296">
        <f t="shared" si="387"/>
        <v>39.299999999999997</v>
      </c>
      <c r="S2296" t="str">
        <f t="shared" si="388"/>
        <v>Good</v>
      </c>
      <c r="T2296" t="str">
        <f t="shared" si="389"/>
        <v>PM10</v>
      </c>
    </row>
    <row r="2297" spans="1:20" x14ac:dyDescent="0.3">
      <c r="A2297" s="2" t="s">
        <v>15</v>
      </c>
      <c r="B2297">
        <v>560026</v>
      </c>
      <c r="C2297" s="5">
        <v>45854</v>
      </c>
      <c r="D2297" s="6">
        <v>26.11</v>
      </c>
      <c r="E2297" s="6">
        <v>65.209999999999994</v>
      </c>
      <c r="F2297" s="6">
        <v>1.97</v>
      </c>
      <c r="G2297" s="6">
        <v>2.15</v>
      </c>
      <c r="H2297" s="6">
        <v>3.85</v>
      </c>
      <c r="I2297" s="6">
        <v>0.11</v>
      </c>
      <c r="J2297" s="7">
        <v>12.02</v>
      </c>
      <c r="K2297">
        <f t="shared" si="380"/>
        <v>43.516666666666666</v>
      </c>
      <c r="L2297">
        <f t="shared" si="381"/>
        <v>65.209999999999994</v>
      </c>
      <c r="M2297">
        <f t="shared" si="382"/>
        <v>2.4624999999999999</v>
      </c>
      <c r="N2297">
        <f t="shared" si="383"/>
        <v>0.53749999999999998</v>
      </c>
      <c r="O2297">
        <f t="shared" si="384"/>
        <v>4.8125</v>
      </c>
      <c r="P2297">
        <f t="shared" si="385"/>
        <v>1.25</v>
      </c>
      <c r="Q2297">
        <f t="shared" si="386"/>
        <v>11.12962962962963</v>
      </c>
      <c r="R2297">
        <f t="shared" si="387"/>
        <v>65.209999999999994</v>
      </c>
      <c r="S2297" t="str">
        <f t="shared" si="388"/>
        <v>Satisfactory</v>
      </c>
      <c r="T2297" t="str">
        <f t="shared" si="389"/>
        <v>PM10</v>
      </c>
    </row>
    <row r="2298" spans="1:20" x14ac:dyDescent="0.3">
      <c r="A2298" s="2" t="s">
        <v>15</v>
      </c>
      <c r="B2298">
        <v>560026</v>
      </c>
      <c r="C2298" s="5">
        <v>45855</v>
      </c>
      <c r="D2298" s="6">
        <v>12.95</v>
      </c>
      <c r="E2298" s="6">
        <v>32.479999999999997</v>
      </c>
      <c r="F2298" s="6">
        <v>1.97</v>
      </c>
      <c r="G2298" s="6">
        <v>2.16</v>
      </c>
      <c r="H2298" s="6">
        <v>3.42</v>
      </c>
      <c r="I2298" s="6">
        <v>0.1</v>
      </c>
      <c r="J2298" s="7">
        <v>12.08</v>
      </c>
      <c r="K2298">
        <f t="shared" si="380"/>
        <v>21.583333333333332</v>
      </c>
      <c r="L2298">
        <f t="shared" si="381"/>
        <v>32.479999999999997</v>
      </c>
      <c r="M2298">
        <f t="shared" si="382"/>
        <v>2.4624999999999999</v>
      </c>
      <c r="N2298">
        <f t="shared" si="383"/>
        <v>0.54</v>
      </c>
      <c r="O2298">
        <f t="shared" si="384"/>
        <v>4.2750000000000004</v>
      </c>
      <c r="P2298">
        <f t="shared" si="385"/>
        <v>1.1363636363636365</v>
      </c>
      <c r="Q2298">
        <f t="shared" si="386"/>
        <v>11.185185185185185</v>
      </c>
      <c r="R2298">
        <f t="shared" si="387"/>
        <v>32.479999999999997</v>
      </c>
      <c r="S2298" t="str">
        <f t="shared" si="388"/>
        <v>Good</v>
      </c>
      <c r="T2298" t="str">
        <f t="shared" si="389"/>
        <v>PM10</v>
      </c>
    </row>
    <row r="2299" spans="1:20" x14ac:dyDescent="0.3">
      <c r="A2299" s="2" t="s">
        <v>15</v>
      </c>
      <c r="B2299">
        <v>560026</v>
      </c>
      <c r="C2299" s="5">
        <v>45856</v>
      </c>
      <c r="D2299" s="6">
        <v>17.54</v>
      </c>
      <c r="E2299" s="6">
        <v>43.78</v>
      </c>
      <c r="F2299" s="6">
        <v>2.16</v>
      </c>
      <c r="G2299" s="6">
        <v>2.2799999999999998</v>
      </c>
      <c r="H2299" s="6">
        <v>3.84</v>
      </c>
      <c r="I2299" s="6">
        <v>0.12</v>
      </c>
      <c r="J2299" s="7">
        <v>12.11</v>
      </c>
      <c r="K2299">
        <f t="shared" si="380"/>
        <v>29.233333333333334</v>
      </c>
      <c r="L2299">
        <f t="shared" si="381"/>
        <v>43.78</v>
      </c>
      <c r="M2299">
        <f t="shared" si="382"/>
        <v>2.7</v>
      </c>
      <c r="N2299">
        <f t="shared" si="383"/>
        <v>0.56999999999999995</v>
      </c>
      <c r="O2299">
        <f t="shared" si="384"/>
        <v>4.8</v>
      </c>
      <c r="P2299">
        <f t="shared" si="385"/>
        <v>1.3636363636363635</v>
      </c>
      <c r="Q2299">
        <f t="shared" si="386"/>
        <v>11.212962962962962</v>
      </c>
      <c r="R2299">
        <f t="shared" si="387"/>
        <v>43.78</v>
      </c>
      <c r="S2299" t="str">
        <f t="shared" si="388"/>
        <v>Good</v>
      </c>
      <c r="T2299" t="str">
        <f t="shared" si="389"/>
        <v>PM10</v>
      </c>
    </row>
    <row r="2300" spans="1:20" x14ac:dyDescent="0.3">
      <c r="A2300" s="2" t="s">
        <v>15</v>
      </c>
      <c r="B2300">
        <v>560026</v>
      </c>
      <c r="C2300" s="5">
        <v>45857</v>
      </c>
      <c r="D2300" s="6">
        <v>22.14</v>
      </c>
      <c r="E2300" s="6">
        <v>55.48</v>
      </c>
      <c r="F2300" s="6">
        <v>2.19</v>
      </c>
      <c r="G2300" s="6">
        <v>2.29</v>
      </c>
      <c r="H2300" s="6">
        <v>3.74</v>
      </c>
      <c r="I2300" s="6">
        <v>0.09</v>
      </c>
      <c r="J2300" s="7">
        <v>12.13</v>
      </c>
      <c r="K2300">
        <f t="shared" si="380"/>
        <v>36.9</v>
      </c>
      <c r="L2300">
        <f t="shared" si="381"/>
        <v>55.48</v>
      </c>
      <c r="M2300">
        <f t="shared" si="382"/>
        <v>2.7374999999999998</v>
      </c>
      <c r="N2300">
        <f t="shared" si="383"/>
        <v>0.57250000000000001</v>
      </c>
      <c r="O2300">
        <f t="shared" si="384"/>
        <v>4.6749999999999998</v>
      </c>
      <c r="P2300">
        <f t="shared" si="385"/>
        <v>1.0227272727272727</v>
      </c>
      <c r="Q2300">
        <f t="shared" si="386"/>
        <v>11.231481481481483</v>
      </c>
      <c r="R2300">
        <f t="shared" si="387"/>
        <v>55.48</v>
      </c>
      <c r="S2300" t="str">
        <f t="shared" si="388"/>
        <v>Satisfactory</v>
      </c>
      <c r="T2300" t="str">
        <f t="shared" si="389"/>
        <v>PM10</v>
      </c>
    </row>
    <row r="2301" spans="1:20" x14ac:dyDescent="0.3">
      <c r="A2301" s="2" t="s">
        <v>15</v>
      </c>
      <c r="B2301">
        <v>560026</v>
      </c>
      <c r="C2301" s="5">
        <v>45858</v>
      </c>
      <c r="D2301" s="6">
        <v>17.39</v>
      </c>
      <c r="E2301" s="6">
        <v>43.33</v>
      </c>
      <c r="F2301" s="6">
        <v>1.91</v>
      </c>
      <c r="G2301" s="6">
        <v>1.98</v>
      </c>
      <c r="H2301" s="6">
        <v>2.91</v>
      </c>
      <c r="I2301" s="6">
        <v>0.05</v>
      </c>
      <c r="J2301" s="7">
        <v>12.14</v>
      </c>
      <c r="K2301">
        <f t="shared" si="380"/>
        <v>28.983333333333334</v>
      </c>
      <c r="L2301">
        <f t="shared" si="381"/>
        <v>43.33</v>
      </c>
      <c r="M2301">
        <f t="shared" si="382"/>
        <v>2.3875000000000002</v>
      </c>
      <c r="N2301">
        <f t="shared" si="383"/>
        <v>0.495</v>
      </c>
      <c r="O2301">
        <f t="shared" si="384"/>
        <v>3.6375000000000002</v>
      </c>
      <c r="P2301">
        <f t="shared" si="385"/>
        <v>0.56818181818181823</v>
      </c>
      <c r="Q2301">
        <f t="shared" si="386"/>
        <v>11.24074074074074</v>
      </c>
      <c r="R2301">
        <f t="shared" si="387"/>
        <v>43.33</v>
      </c>
      <c r="S2301" t="str">
        <f t="shared" si="388"/>
        <v>Good</v>
      </c>
      <c r="T2301" t="str">
        <f t="shared" si="389"/>
        <v>PM10</v>
      </c>
    </row>
    <row r="2302" spans="1:20" x14ac:dyDescent="0.3">
      <c r="A2302" s="2" t="s">
        <v>15</v>
      </c>
      <c r="B2302">
        <v>560026</v>
      </c>
      <c r="C2302" s="5">
        <v>45859</v>
      </c>
      <c r="D2302" s="6">
        <v>10.31</v>
      </c>
      <c r="E2302" s="6">
        <v>25.79</v>
      </c>
      <c r="F2302" s="6">
        <v>1.98</v>
      </c>
      <c r="G2302" s="6">
        <v>2.16</v>
      </c>
      <c r="H2302" s="6">
        <v>2.97</v>
      </c>
      <c r="I2302" s="6">
        <v>0.06</v>
      </c>
      <c r="J2302" s="7">
        <v>12.12</v>
      </c>
      <c r="K2302">
        <f t="shared" si="380"/>
        <v>17.183333333333334</v>
      </c>
      <c r="L2302">
        <f t="shared" si="381"/>
        <v>25.79</v>
      </c>
      <c r="M2302">
        <f t="shared" si="382"/>
        <v>2.4750000000000001</v>
      </c>
      <c r="N2302">
        <f t="shared" si="383"/>
        <v>0.54</v>
      </c>
      <c r="O2302">
        <f t="shared" si="384"/>
        <v>3.7124999999999999</v>
      </c>
      <c r="P2302">
        <f t="shared" si="385"/>
        <v>0.68181818181818177</v>
      </c>
      <c r="Q2302">
        <f t="shared" si="386"/>
        <v>11.222222222222221</v>
      </c>
      <c r="R2302">
        <f t="shared" si="387"/>
        <v>25.79</v>
      </c>
      <c r="S2302" t="str">
        <f t="shared" si="388"/>
        <v>Good</v>
      </c>
      <c r="T2302" t="str">
        <f t="shared" si="389"/>
        <v>PM10</v>
      </c>
    </row>
    <row r="2303" spans="1:20" x14ac:dyDescent="0.3">
      <c r="A2303" s="2" t="s">
        <v>15</v>
      </c>
      <c r="B2303">
        <v>560026</v>
      </c>
      <c r="C2303" s="5">
        <v>45860</v>
      </c>
      <c r="D2303" s="6">
        <v>14.09</v>
      </c>
      <c r="E2303" s="6">
        <v>35.11</v>
      </c>
      <c r="F2303" s="6">
        <v>1.96</v>
      </c>
      <c r="G2303" s="6">
        <v>2.15</v>
      </c>
      <c r="H2303" s="6">
        <v>2.95</v>
      </c>
      <c r="I2303" s="6">
        <v>0.06</v>
      </c>
      <c r="J2303" s="7">
        <v>12.08</v>
      </c>
      <c r="K2303">
        <f t="shared" ref="K2303:K2348" si="390">IF(ISTEXT(D2303),0,IF(D2303&lt;=30,D2303*50/30,IF(AND(D2303&gt;30,D2303&lt;=60),50+(D2303-30)*50/30,IF(AND(D2303&gt;60,D2303&lt;=90),100+(D2303-60)*100/30,IF(AND(D2303&gt;90,D2303&lt;=120),200+(D2303-90)*(100/30),IF(AND(D2303&gt;120,D2303&lt;=250),300+(D2303-120)*(100/130),IF(D2303&gt;250,400+(D2303-250)*(100/130))))))))</f>
        <v>23.483333333333334</v>
      </c>
      <c r="L2303">
        <f t="shared" ref="L2303:L2348" si="391">IF(ISTEXT(E2303),0,IF(E2303&lt;=50,E2303,IF(AND(E2303&gt;50,E2303&lt;=100),E2303,IF(AND(E2303&gt;100,E2303&lt;=250),100+(E2303-100)*100/150,IF(AND(E2303&gt;250,E2303&lt;=350),200+(E2303-250),IF(AND(E2303&gt;350,E2303&lt;=430),300+(E2303-350)*(100/80),IF(E2303&gt;430,400+(E2303-430)*(100/80))))))))</f>
        <v>35.11</v>
      </c>
      <c r="M2303">
        <f t="shared" ref="M2303:M2348" si="392">IF(ISTEXT(F2303),0,IF(F2303&lt;=40,F2303*50/40,IF(AND(F2303&gt;40,F2303&lt;=80),50+(F2303-40)*50/40,IF(AND(F2303&gt;80,F2303&lt;=180),100+(F2303-80)*100/100,IF(AND(F2303&gt;180,F2303&lt;=280),200+(F2303-180)*(100/100),IF(AND(F2303&gt;280,F2303&lt;=400),300+(F2303-280)*(100/120),IF(F2303&gt;400,400+(F2303-400)*(100/120))))))))</f>
        <v>2.4500000000000002</v>
      </c>
      <c r="N2303">
        <f t="shared" ref="N2303:N2348" si="393">IF(ISTEXT(G2303),0,IF(G2303&lt;=200,G2303*50/200,IF(AND(G2303&gt;200,G2303&lt;=400),50+(G2303-200)*50/200,IF(AND(G2303&gt;400,G2303&lt;=800),100+(G2303-400)*100/400,IF(AND(G2303&gt;800,G2303&lt;=1200),200+(G2303-800)*(100/400),IF(AND(G2303&gt;1200,G2303&lt;=1800),300+(G2303-1200)*(100/600),IF(G2303&gt;1800,400+(G2303-1800)*(100/600))))))))</f>
        <v>0.53749999999999998</v>
      </c>
      <c r="O2303">
        <f t="shared" ref="O2303:O2348" si="394">IF(ISTEXT(H2303),0,IF(H2303&lt;=40,H2303*50/40,IF(AND(H2303&gt;40,H2303&lt;=80),50+(H2303-40)*50/40,IF(AND(H2303&gt;80,H2303&lt;=380),100+(H2303-80)*100/300,IF(AND(H2303&gt;380,H2303&lt;=800),200+(H2303-380)*(100/420),IF(AND(H2303&gt;800,H2303&lt;=1600),300+(H2303-800)*(100/800),IF(H2303&gt;1600,400+(H2303-1600)*(100/800))))))))</f>
        <v>3.6875</v>
      </c>
      <c r="P2303">
        <f t="shared" ref="P2303:P2348" si="395">IF(I2303&lt;=4.4,(50-0)/(4.4-0)*(I2303-0)+0,
IF(I2303&lt;=9.4,(100-51)/(9.4-4.5)*(I2303-4.5)+51,
IF(I2303&lt;=12.4,(150-101)/(12.4-9.5)*(I2303-9.5)+101,
IF(I2303&lt;=15.4,(200-151)/(15.4-12.5)*(I2303-12.5)+151,
IF(I2303&lt;=30.4,(300-201)/(30.4-15.5)*(I2303-15.5)+201,
(500-301)/(50.4-30.5)*(I2303-30.5)+301)))))</f>
        <v>0.68181818181818177</v>
      </c>
      <c r="Q2303">
        <f t="shared" ref="Q2303:Q2348" si="396">IF(J2303&lt;=54,(50-0)/(54-0)*(J2303-0)+0,
IF(J2303&lt;=70,(100-51)/(70-55)*(J2303-55)+51,
IF(J2303&lt;=85,(150-101)/(85-71)*(J2303-71)+101,
IF(J2303&lt;=105,(200-151)/(105-86)*(J2303-86)+151,
IF(J2303&lt;=200,(300-201)/(200-106)*(J2303-106)+201,
(500-301)/(300-201)*(J2303-201)+301)))))</f>
        <v>11.185185185185185</v>
      </c>
      <c r="R2303">
        <f t="shared" ref="R2303:R2348" si="397">MAX(K2303:Q2303)</f>
        <v>35.11</v>
      </c>
      <c r="S2303" t="str">
        <f t="shared" ref="S2303:S2348" si="398">IF(R2303&lt;=50,"Good",
IF(R2303&lt;=100,"Satisfactory",
IF(R2303&lt;=200,"Moderate",
IF(R2303&lt;=300,"Poor",
IF(R2303&lt;=400,"Very Poor",
"Severe")))))</f>
        <v>Good</v>
      </c>
      <c r="T2303" t="str">
        <f t="shared" ref="T2303:T2348" si="399">IF(MAX(K2303:Q2303)=K2303,"PM2.5",
IF(MAX(K2303:Q2303)=L2303,"PM10",
IF(MAX(K2303:Q2303)=M2303,"NO2",
IF(MAX(K2303:Q2303)=N2303,"NH3",
IF(MAX(K2303:Q2303)=O2303,"SO2",
IF(MAX(K2303:Q2303)=P2303,"CO",
IF(MAX(K2303:Q2303)=Q2303,"OZONE","")))))))</f>
        <v>PM10</v>
      </c>
    </row>
    <row r="2304" spans="1:20" x14ac:dyDescent="0.3">
      <c r="A2304" s="2" t="s">
        <v>15</v>
      </c>
      <c r="B2304">
        <v>560026</v>
      </c>
      <c r="C2304" s="5">
        <v>45861</v>
      </c>
      <c r="D2304" s="6">
        <v>18.149999999999999</v>
      </c>
      <c r="E2304" s="6">
        <v>45.5</v>
      </c>
      <c r="F2304" s="6">
        <v>2.02</v>
      </c>
      <c r="G2304" s="6">
        <v>2.1800000000000002</v>
      </c>
      <c r="H2304" s="6">
        <v>2.68</v>
      </c>
      <c r="I2304" s="6">
        <v>0.06</v>
      </c>
      <c r="J2304" s="7">
        <v>11.93</v>
      </c>
      <c r="K2304">
        <f t="shared" si="390"/>
        <v>30.249999999999996</v>
      </c>
      <c r="L2304">
        <f t="shared" si="391"/>
        <v>45.5</v>
      </c>
      <c r="M2304">
        <f t="shared" si="392"/>
        <v>2.5249999999999999</v>
      </c>
      <c r="N2304">
        <f t="shared" si="393"/>
        <v>0.54500000000000004</v>
      </c>
      <c r="O2304">
        <f t="shared" si="394"/>
        <v>3.35</v>
      </c>
      <c r="P2304">
        <f t="shared" si="395"/>
        <v>0.68181818181818177</v>
      </c>
      <c r="Q2304">
        <f t="shared" si="396"/>
        <v>11.046296296296296</v>
      </c>
      <c r="R2304">
        <f t="shared" si="397"/>
        <v>45.5</v>
      </c>
      <c r="S2304" t="str">
        <f t="shared" si="398"/>
        <v>Good</v>
      </c>
      <c r="T2304" t="str">
        <f t="shared" si="399"/>
        <v>PM10</v>
      </c>
    </row>
    <row r="2305" spans="1:20" x14ac:dyDescent="0.3">
      <c r="A2305" s="2" t="s">
        <v>15</v>
      </c>
      <c r="B2305">
        <v>560026</v>
      </c>
      <c r="C2305" s="5">
        <v>45862</v>
      </c>
      <c r="D2305" s="6">
        <v>12.85</v>
      </c>
      <c r="E2305" s="6">
        <v>32.369999999999997</v>
      </c>
      <c r="F2305" s="6">
        <v>2.14</v>
      </c>
      <c r="G2305" s="6">
        <v>2.2400000000000002</v>
      </c>
      <c r="H2305" s="6">
        <v>2.54</v>
      </c>
      <c r="I2305" s="6">
        <v>0.15</v>
      </c>
      <c r="J2305" s="7">
        <v>12.06</v>
      </c>
      <c r="K2305">
        <f t="shared" si="390"/>
        <v>21.416666666666668</v>
      </c>
      <c r="L2305">
        <f t="shared" si="391"/>
        <v>32.369999999999997</v>
      </c>
      <c r="M2305">
        <f t="shared" si="392"/>
        <v>2.6749999999999998</v>
      </c>
      <c r="N2305">
        <f t="shared" si="393"/>
        <v>0.56000000000000005</v>
      </c>
      <c r="O2305">
        <f t="shared" si="394"/>
        <v>3.1749999999999998</v>
      </c>
      <c r="P2305">
        <f t="shared" si="395"/>
        <v>1.7045454545454544</v>
      </c>
      <c r="Q2305">
        <f t="shared" si="396"/>
        <v>11.166666666666668</v>
      </c>
      <c r="R2305">
        <f t="shared" si="397"/>
        <v>32.369999999999997</v>
      </c>
      <c r="S2305" t="str">
        <f t="shared" si="398"/>
        <v>Good</v>
      </c>
      <c r="T2305" t="str">
        <f t="shared" si="399"/>
        <v>PM10</v>
      </c>
    </row>
    <row r="2306" spans="1:20" x14ac:dyDescent="0.3">
      <c r="A2306" s="2" t="s">
        <v>15</v>
      </c>
      <c r="B2306">
        <v>560026</v>
      </c>
      <c r="C2306" s="5">
        <v>45863</v>
      </c>
      <c r="D2306" s="6">
        <v>12.3</v>
      </c>
      <c r="E2306" s="6">
        <v>30.65</v>
      </c>
      <c r="F2306" s="6">
        <v>1.88</v>
      </c>
      <c r="G2306" s="6">
        <v>2.1</v>
      </c>
      <c r="H2306" s="6">
        <v>2.13</v>
      </c>
      <c r="I2306" s="6">
        <v>0.11</v>
      </c>
      <c r="J2306" s="7">
        <v>12.03</v>
      </c>
      <c r="K2306">
        <f t="shared" si="390"/>
        <v>20.5</v>
      </c>
      <c r="L2306">
        <f t="shared" si="391"/>
        <v>30.65</v>
      </c>
      <c r="M2306">
        <f t="shared" si="392"/>
        <v>2.35</v>
      </c>
      <c r="N2306">
        <f t="shared" si="393"/>
        <v>0.52500000000000002</v>
      </c>
      <c r="O2306">
        <f t="shared" si="394"/>
        <v>2.6625000000000001</v>
      </c>
      <c r="P2306">
        <f t="shared" si="395"/>
        <v>1.25</v>
      </c>
      <c r="Q2306">
        <f t="shared" si="396"/>
        <v>11.138888888888888</v>
      </c>
      <c r="R2306">
        <f t="shared" si="397"/>
        <v>30.65</v>
      </c>
      <c r="S2306" t="str">
        <f t="shared" si="398"/>
        <v>Good</v>
      </c>
      <c r="T2306" t="str">
        <f t="shared" si="399"/>
        <v>PM10</v>
      </c>
    </row>
    <row r="2307" spans="1:20" x14ac:dyDescent="0.3">
      <c r="A2307" s="2" t="s">
        <v>15</v>
      </c>
      <c r="B2307">
        <v>560026</v>
      </c>
      <c r="C2307" s="5">
        <v>45864</v>
      </c>
      <c r="D2307" s="6">
        <v>16.48</v>
      </c>
      <c r="E2307" s="6">
        <v>41.25</v>
      </c>
      <c r="F2307" s="6">
        <v>1.89</v>
      </c>
      <c r="G2307" s="6">
        <v>1.97</v>
      </c>
      <c r="H2307" s="6">
        <v>2.48</v>
      </c>
      <c r="I2307" s="6">
        <v>0.08</v>
      </c>
      <c r="J2307" s="7">
        <v>12.04</v>
      </c>
      <c r="K2307">
        <f t="shared" si="390"/>
        <v>27.466666666666665</v>
      </c>
      <c r="L2307">
        <f t="shared" si="391"/>
        <v>41.25</v>
      </c>
      <c r="M2307">
        <f t="shared" si="392"/>
        <v>2.3624999999999998</v>
      </c>
      <c r="N2307">
        <f t="shared" si="393"/>
        <v>0.49249999999999999</v>
      </c>
      <c r="O2307">
        <f t="shared" si="394"/>
        <v>3.1</v>
      </c>
      <c r="P2307">
        <f t="shared" si="395"/>
        <v>0.90909090909090906</v>
      </c>
      <c r="Q2307">
        <f t="shared" si="396"/>
        <v>11.148148148148147</v>
      </c>
      <c r="R2307">
        <f t="shared" si="397"/>
        <v>41.25</v>
      </c>
      <c r="S2307" t="str">
        <f t="shared" si="398"/>
        <v>Good</v>
      </c>
      <c r="T2307" t="str">
        <f t="shared" si="399"/>
        <v>PM10</v>
      </c>
    </row>
    <row r="2308" spans="1:20" x14ac:dyDescent="0.3">
      <c r="A2308" s="2" t="s">
        <v>15</v>
      </c>
      <c r="B2308">
        <v>560026</v>
      </c>
      <c r="C2308" s="5">
        <v>45865</v>
      </c>
      <c r="D2308" s="6">
        <v>19.63</v>
      </c>
      <c r="E2308" s="6">
        <v>49.12</v>
      </c>
      <c r="F2308" s="6">
        <v>1.95</v>
      </c>
      <c r="G2308" s="6">
        <v>2.14</v>
      </c>
      <c r="H2308" s="6">
        <v>2.73</v>
      </c>
      <c r="I2308" s="6">
        <v>0.08</v>
      </c>
      <c r="J2308" s="7">
        <v>12.03</v>
      </c>
      <c r="K2308">
        <f t="shared" si="390"/>
        <v>32.716666666666669</v>
      </c>
      <c r="L2308">
        <f t="shared" si="391"/>
        <v>49.12</v>
      </c>
      <c r="M2308">
        <f t="shared" si="392"/>
        <v>2.4375</v>
      </c>
      <c r="N2308">
        <f t="shared" si="393"/>
        <v>0.53500000000000003</v>
      </c>
      <c r="O2308">
        <f t="shared" si="394"/>
        <v>3.4125000000000001</v>
      </c>
      <c r="P2308">
        <f t="shared" si="395"/>
        <v>0.90909090909090906</v>
      </c>
      <c r="Q2308">
        <f t="shared" si="396"/>
        <v>11.138888888888888</v>
      </c>
      <c r="R2308">
        <f t="shared" si="397"/>
        <v>49.12</v>
      </c>
      <c r="S2308" t="str">
        <f t="shared" si="398"/>
        <v>Good</v>
      </c>
      <c r="T2308" t="str">
        <f t="shared" si="399"/>
        <v>PM10</v>
      </c>
    </row>
    <row r="2309" spans="1:20" x14ac:dyDescent="0.3">
      <c r="A2309" s="2" t="s">
        <v>15</v>
      </c>
      <c r="B2309">
        <v>560026</v>
      </c>
      <c r="C2309" s="5">
        <v>45866</v>
      </c>
      <c r="D2309" s="6">
        <v>12.96</v>
      </c>
      <c r="E2309" s="6">
        <v>32.28</v>
      </c>
      <c r="F2309" s="6">
        <v>1.85</v>
      </c>
      <c r="G2309" s="6">
        <v>2.08</v>
      </c>
      <c r="H2309" s="6">
        <v>2.59</v>
      </c>
      <c r="I2309" s="6">
        <v>0.08</v>
      </c>
      <c r="J2309" s="7">
        <v>12.14</v>
      </c>
      <c r="K2309">
        <f t="shared" si="390"/>
        <v>21.6</v>
      </c>
      <c r="L2309">
        <f t="shared" si="391"/>
        <v>32.28</v>
      </c>
      <c r="M2309">
        <f t="shared" si="392"/>
        <v>2.3125</v>
      </c>
      <c r="N2309">
        <f t="shared" si="393"/>
        <v>0.52</v>
      </c>
      <c r="O2309">
        <f t="shared" si="394"/>
        <v>3.2374999999999998</v>
      </c>
      <c r="P2309">
        <f t="shared" si="395"/>
        <v>0.90909090909090906</v>
      </c>
      <c r="Q2309">
        <f t="shared" si="396"/>
        <v>11.24074074074074</v>
      </c>
      <c r="R2309">
        <f t="shared" si="397"/>
        <v>32.28</v>
      </c>
      <c r="S2309" t="str">
        <f t="shared" si="398"/>
        <v>Good</v>
      </c>
      <c r="T2309" t="str">
        <f t="shared" si="399"/>
        <v>PM10</v>
      </c>
    </row>
    <row r="2310" spans="1:20" x14ac:dyDescent="0.3">
      <c r="A2310" s="2" t="s">
        <v>15</v>
      </c>
      <c r="B2310">
        <v>560026</v>
      </c>
      <c r="C2310" s="5">
        <v>45867</v>
      </c>
      <c r="D2310" s="6">
        <v>12.9</v>
      </c>
      <c r="E2310" s="6">
        <v>32.17</v>
      </c>
      <c r="F2310" s="6">
        <v>1.99</v>
      </c>
      <c r="G2310" s="6">
        <v>2.17</v>
      </c>
      <c r="H2310" s="6">
        <v>3.19</v>
      </c>
      <c r="I2310" s="6">
        <v>0.06</v>
      </c>
      <c r="J2310" s="7">
        <v>11.85</v>
      </c>
      <c r="K2310">
        <f t="shared" si="390"/>
        <v>21.5</v>
      </c>
      <c r="L2310">
        <f t="shared" si="391"/>
        <v>32.17</v>
      </c>
      <c r="M2310">
        <f t="shared" si="392"/>
        <v>2.4874999999999998</v>
      </c>
      <c r="N2310">
        <f t="shared" si="393"/>
        <v>0.54249999999999998</v>
      </c>
      <c r="O2310">
        <f t="shared" si="394"/>
        <v>3.9874999999999998</v>
      </c>
      <c r="P2310">
        <f t="shared" si="395"/>
        <v>0.68181818181818177</v>
      </c>
      <c r="Q2310">
        <f t="shared" si="396"/>
        <v>10.972222222222221</v>
      </c>
      <c r="R2310">
        <f t="shared" si="397"/>
        <v>32.17</v>
      </c>
      <c r="S2310" t="str">
        <f t="shared" si="398"/>
        <v>Good</v>
      </c>
      <c r="T2310" t="str">
        <f t="shared" si="399"/>
        <v>PM10</v>
      </c>
    </row>
    <row r="2311" spans="1:20" x14ac:dyDescent="0.3">
      <c r="A2311" s="2" t="s">
        <v>15</v>
      </c>
      <c r="B2311">
        <v>560026</v>
      </c>
      <c r="C2311" s="5">
        <v>45868</v>
      </c>
      <c r="D2311" s="6">
        <v>17.829999999999998</v>
      </c>
      <c r="E2311" s="6">
        <v>44.55</v>
      </c>
      <c r="F2311" s="6">
        <v>1.91</v>
      </c>
      <c r="G2311" s="6">
        <v>2.12</v>
      </c>
      <c r="H2311" s="6">
        <v>3.14</v>
      </c>
      <c r="I2311" s="6">
        <v>0.06</v>
      </c>
      <c r="J2311" s="7">
        <v>12.24</v>
      </c>
      <c r="K2311">
        <f t="shared" si="390"/>
        <v>29.716666666666661</v>
      </c>
      <c r="L2311">
        <f t="shared" si="391"/>
        <v>44.55</v>
      </c>
      <c r="M2311">
        <f t="shared" si="392"/>
        <v>2.3875000000000002</v>
      </c>
      <c r="N2311">
        <f t="shared" si="393"/>
        <v>0.53</v>
      </c>
      <c r="O2311">
        <f t="shared" si="394"/>
        <v>3.9249999999999998</v>
      </c>
      <c r="P2311">
        <f t="shared" si="395"/>
        <v>0.68181818181818177</v>
      </c>
      <c r="Q2311">
        <f t="shared" si="396"/>
        <v>11.333333333333334</v>
      </c>
      <c r="R2311">
        <f t="shared" si="397"/>
        <v>44.55</v>
      </c>
      <c r="S2311" t="str">
        <f t="shared" si="398"/>
        <v>Good</v>
      </c>
      <c r="T2311" t="str">
        <f t="shared" si="399"/>
        <v>PM10</v>
      </c>
    </row>
    <row r="2312" spans="1:20" x14ac:dyDescent="0.3">
      <c r="A2312" s="2" t="s">
        <v>15</v>
      </c>
      <c r="B2312">
        <v>560026</v>
      </c>
      <c r="C2312" s="5">
        <v>45869</v>
      </c>
      <c r="D2312" s="6">
        <v>21.49</v>
      </c>
      <c r="E2312" s="6">
        <v>53.74</v>
      </c>
      <c r="F2312" s="6">
        <v>1.98</v>
      </c>
      <c r="G2312" s="6">
        <v>2.16</v>
      </c>
      <c r="H2312" s="6">
        <v>4.0599999999999996</v>
      </c>
      <c r="I2312" s="6">
        <v>7.0000000000000007E-2</v>
      </c>
      <c r="J2312" s="7">
        <v>12.17</v>
      </c>
      <c r="K2312">
        <f t="shared" si="390"/>
        <v>35.81666666666667</v>
      </c>
      <c r="L2312">
        <f t="shared" si="391"/>
        <v>53.74</v>
      </c>
      <c r="M2312">
        <f t="shared" si="392"/>
        <v>2.4750000000000001</v>
      </c>
      <c r="N2312">
        <f t="shared" si="393"/>
        <v>0.54</v>
      </c>
      <c r="O2312">
        <f t="shared" si="394"/>
        <v>5.0749999999999993</v>
      </c>
      <c r="P2312">
        <f t="shared" si="395"/>
        <v>0.79545454545454553</v>
      </c>
      <c r="Q2312">
        <f t="shared" si="396"/>
        <v>11.268518518518519</v>
      </c>
      <c r="R2312">
        <f t="shared" si="397"/>
        <v>53.74</v>
      </c>
      <c r="S2312" t="str">
        <f t="shared" si="398"/>
        <v>Satisfactory</v>
      </c>
      <c r="T2312" t="str">
        <f t="shared" si="399"/>
        <v>PM10</v>
      </c>
    </row>
    <row r="2313" spans="1:20" x14ac:dyDescent="0.3">
      <c r="A2313" s="2" t="s">
        <v>15</v>
      </c>
      <c r="B2313">
        <v>560026</v>
      </c>
      <c r="C2313" s="5">
        <v>45870</v>
      </c>
      <c r="D2313" s="6">
        <v>24.88</v>
      </c>
      <c r="E2313" s="6">
        <v>62.27</v>
      </c>
      <c r="F2313" s="6">
        <v>2.06</v>
      </c>
      <c r="G2313" s="6">
        <v>2.21</v>
      </c>
      <c r="H2313" s="6">
        <v>4.78</v>
      </c>
      <c r="I2313" s="6">
        <v>0.08</v>
      </c>
      <c r="J2313" s="7">
        <v>11.97</v>
      </c>
      <c r="K2313">
        <f t="shared" si="390"/>
        <v>41.466666666666669</v>
      </c>
      <c r="L2313">
        <f t="shared" si="391"/>
        <v>62.27</v>
      </c>
      <c r="M2313">
        <f t="shared" si="392"/>
        <v>2.5750000000000002</v>
      </c>
      <c r="N2313">
        <f t="shared" si="393"/>
        <v>0.55249999999999999</v>
      </c>
      <c r="O2313">
        <f t="shared" si="394"/>
        <v>5.9749999999999996</v>
      </c>
      <c r="P2313">
        <f t="shared" si="395"/>
        <v>0.90909090909090906</v>
      </c>
      <c r="Q2313">
        <f t="shared" si="396"/>
        <v>11.083333333333334</v>
      </c>
      <c r="R2313">
        <f t="shared" si="397"/>
        <v>62.27</v>
      </c>
      <c r="S2313" t="str">
        <f t="shared" si="398"/>
        <v>Satisfactory</v>
      </c>
      <c r="T2313" t="str">
        <f t="shared" si="399"/>
        <v>PM10</v>
      </c>
    </row>
    <row r="2314" spans="1:20" x14ac:dyDescent="0.3">
      <c r="A2314" s="2" t="s">
        <v>15</v>
      </c>
      <c r="B2314">
        <v>560026</v>
      </c>
      <c r="C2314" s="5">
        <v>45871</v>
      </c>
      <c r="D2314" s="6">
        <v>28.22</v>
      </c>
      <c r="E2314" s="6">
        <v>70.61</v>
      </c>
      <c r="F2314" s="6">
        <v>1.98</v>
      </c>
      <c r="G2314" s="6">
        <v>2.16</v>
      </c>
      <c r="H2314" s="6">
        <v>4.5</v>
      </c>
      <c r="I2314" s="6">
        <v>7.0000000000000007E-2</v>
      </c>
      <c r="J2314" s="7">
        <v>12.08</v>
      </c>
      <c r="K2314">
        <f t="shared" si="390"/>
        <v>47.033333333333331</v>
      </c>
      <c r="L2314">
        <f t="shared" si="391"/>
        <v>70.61</v>
      </c>
      <c r="M2314">
        <f t="shared" si="392"/>
        <v>2.4750000000000001</v>
      </c>
      <c r="N2314">
        <f t="shared" si="393"/>
        <v>0.54</v>
      </c>
      <c r="O2314">
        <f t="shared" si="394"/>
        <v>5.625</v>
      </c>
      <c r="P2314">
        <f t="shared" si="395"/>
        <v>0.79545454545454553</v>
      </c>
      <c r="Q2314">
        <f t="shared" si="396"/>
        <v>11.185185185185185</v>
      </c>
      <c r="R2314">
        <f t="shared" si="397"/>
        <v>70.61</v>
      </c>
      <c r="S2314" t="str">
        <f t="shared" si="398"/>
        <v>Satisfactory</v>
      </c>
      <c r="T2314" t="str">
        <f t="shared" si="399"/>
        <v>PM10</v>
      </c>
    </row>
    <row r="2315" spans="1:20" x14ac:dyDescent="0.3">
      <c r="A2315" s="2" t="s">
        <v>15</v>
      </c>
      <c r="B2315">
        <v>560026</v>
      </c>
      <c r="C2315" s="5">
        <v>45872</v>
      </c>
      <c r="D2315" s="6">
        <v>15.07</v>
      </c>
      <c r="E2315" s="6">
        <v>37.92</v>
      </c>
      <c r="F2315" s="6">
        <v>1.97</v>
      </c>
      <c r="G2315" s="6">
        <v>2.16</v>
      </c>
      <c r="H2315" s="6">
        <v>3.34</v>
      </c>
      <c r="I2315" s="6">
        <v>0.1</v>
      </c>
      <c r="J2315" s="7">
        <v>12.04</v>
      </c>
      <c r="K2315">
        <f t="shared" si="390"/>
        <v>25.116666666666667</v>
      </c>
      <c r="L2315">
        <f t="shared" si="391"/>
        <v>37.92</v>
      </c>
      <c r="M2315">
        <f t="shared" si="392"/>
        <v>2.4624999999999999</v>
      </c>
      <c r="N2315">
        <f t="shared" si="393"/>
        <v>0.54</v>
      </c>
      <c r="O2315">
        <f t="shared" si="394"/>
        <v>4.1749999999999998</v>
      </c>
      <c r="P2315">
        <f t="shared" si="395"/>
        <v>1.1363636363636365</v>
      </c>
      <c r="Q2315">
        <f t="shared" si="396"/>
        <v>11.148148148148147</v>
      </c>
      <c r="R2315">
        <f t="shared" si="397"/>
        <v>37.92</v>
      </c>
      <c r="S2315" t="str">
        <f t="shared" si="398"/>
        <v>Good</v>
      </c>
      <c r="T2315" t="str">
        <f t="shared" si="399"/>
        <v>PM10</v>
      </c>
    </row>
    <row r="2316" spans="1:20" x14ac:dyDescent="0.3">
      <c r="A2316" s="2" t="s">
        <v>15</v>
      </c>
      <c r="B2316">
        <v>560026</v>
      </c>
      <c r="C2316" s="5">
        <v>45873</v>
      </c>
      <c r="D2316" s="6">
        <v>15.94</v>
      </c>
      <c r="E2316" s="6">
        <v>38.03</v>
      </c>
      <c r="F2316" s="6">
        <v>2.7</v>
      </c>
      <c r="G2316" s="6">
        <v>2.61</v>
      </c>
      <c r="H2316" s="6">
        <v>5.46</v>
      </c>
      <c r="I2316" s="6">
        <v>0.17</v>
      </c>
      <c r="J2316" s="7">
        <v>12.14</v>
      </c>
      <c r="K2316">
        <f t="shared" si="390"/>
        <v>26.566666666666666</v>
      </c>
      <c r="L2316">
        <f t="shared" si="391"/>
        <v>38.03</v>
      </c>
      <c r="M2316">
        <f t="shared" si="392"/>
        <v>3.375</v>
      </c>
      <c r="N2316">
        <f t="shared" si="393"/>
        <v>0.65249999999999997</v>
      </c>
      <c r="O2316">
        <f t="shared" si="394"/>
        <v>6.8250000000000002</v>
      </c>
      <c r="P2316">
        <f t="shared" si="395"/>
        <v>1.9318181818181819</v>
      </c>
      <c r="Q2316">
        <f t="shared" si="396"/>
        <v>11.24074074074074</v>
      </c>
      <c r="R2316">
        <f t="shared" si="397"/>
        <v>38.03</v>
      </c>
      <c r="S2316" t="str">
        <f t="shared" si="398"/>
        <v>Good</v>
      </c>
      <c r="T2316" t="str">
        <f t="shared" si="399"/>
        <v>PM10</v>
      </c>
    </row>
    <row r="2317" spans="1:20" x14ac:dyDescent="0.3">
      <c r="A2317" s="2" t="s">
        <v>15</v>
      </c>
      <c r="B2317">
        <v>560026</v>
      </c>
      <c r="C2317" s="5">
        <v>45874</v>
      </c>
      <c r="D2317" s="6">
        <v>16.72</v>
      </c>
      <c r="E2317" s="6">
        <v>41.47</v>
      </c>
      <c r="F2317" s="6">
        <v>2.54</v>
      </c>
      <c r="G2317" s="6">
        <v>2.5099999999999998</v>
      </c>
      <c r="H2317" s="6">
        <v>6.53</v>
      </c>
      <c r="I2317" s="6">
        <v>0.26</v>
      </c>
      <c r="J2317" s="7">
        <v>11.95</v>
      </c>
      <c r="K2317">
        <f t="shared" si="390"/>
        <v>27.866666666666667</v>
      </c>
      <c r="L2317">
        <f t="shared" si="391"/>
        <v>41.47</v>
      </c>
      <c r="M2317">
        <f t="shared" si="392"/>
        <v>3.1749999999999998</v>
      </c>
      <c r="N2317">
        <f t="shared" si="393"/>
        <v>0.62749999999999995</v>
      </c>
      <c r="O2317">
        <f t="shared" si="394"/>
        <v>8.1624999999999996</v>
      </c>
      <c r="P2317">
        <f t="shared" si="395"/>
        <v>2.9545454545454546</v>
      </c>
      <c r="Q2317">
        <f t="shared" si="396"/>
        <v>11.064814814814815</v>
      </c>
      <c r="R2317">
        <f t="shared" si="397"/>
        <v>41.47</v>
      </c>
      <c r="S2317" t="str">
        <f t="shared" si="398"/>
        <v>Good</v>
      </c>
      <c r="T2317" t="str">
        <f t="shared" si="399"/>
        <v>PM10</v>
      </c>
    </row>
    <row r="2318" spans="1:20" x14ac:dyDescent="0.3">
      <c r="A2318" s="2" t="s">
        <v>15</v>
      </c>
      <c r="B2318">
        <v>560026</v>
      </c>
      <c r="C2318" s="5">
        <v>45875</v>
      </c>
      <c r="D2318" s="6">
        <v>15.76</v>
      </c>
      <c r="E2318" s="6">
        <v>39.619999999999997</v>
      </c>
      <c r="F2318" s="6">
        <v>3.45</v>
      </c>
      <c r="G2318" s="6">
        <v>3.07</v>
      </c>
      <c r="H2318" s="6">
        <v>4.4000000000000004</v>
      </c>
      <c r="I2318" s="6">
        <v>0.41</v>
      </c>
      <c r="J2318" s="7">
        <v>1.98</v>
      </c>
      <c r="K2318">
        <f t="shared" si="390"/>
        <v>26.266666666666666</v>
      </c>
      <c r="L2318">
        <f t="shared" si="391"/>
        <v>39.619999999999997</v>
      </c>
      <c r="M2318">
        <f t="shared" si="392"/>
        <v>4.3125</v>
      </c>
      <c r="N2318">
        <f t="shared" si="393"/>
        <v>0.76749999999999996</v>
      </c>
      <c r="O2318">
        <f t="shared" si="394"/>
        <v>5.5000000000000009</v>
      </c>
      <c r="P2318">
        <f t="shared" si="395"/>
        <v>4.6590909090909083</v>
      </c>
      <c r="Q2318">
        <f t="shared" si="396"/>
        <v>1.8333333333333333</v>
      </c>
      <c r="R2318">
        <f t="shared" si="397"/>
        <v>39.619999999999997</v>
      </c>
      <c r="S2318" t="str">
        <f t="shared" si="398"/>
        <v>Good</v>
      </c>
      <c r="T2318" t="str">
        <f t="shared" si="399"/>
        <v>PM10</v>
      </c>
    </row>
    <row r="2319" spans="1:20" x14ac:dyDescent="0.3">
      <c r="A2319" s="2" t="s">
        <v>15</v>
      </c>
      <c r="B2319">
        <v>560026</v>
      </c>
      <c r="C2319" s="5">
        <v>45876</v>
      </c>
      <c r="D2319" s="6">
        <v>17.95</v>
      </c>
      <c r="E2319" s="6">
        <v>44.95</v>
      </c>
      <c r="F2319" s="6">
        <v>4.5599999999999996</v>
      </c>
      <c r="G2319" s="6">
        <v>3.76</v>
      </c>
      <c r="H2319" s="6">
        <v>4.75</v>
      </c>
      <c r="I2319" s="6">
        <v>0.57999999999999996</v>
      </c>
      <c r="J2319" s="7">
        <v>3.42</v>
      </c>
      <c r="K2319">
        <f t="shared" si="390"/>
        <v>29.916666666666668</v>
      </c>
      <c r="L2319">
        <f t="shared" si="391"/>
        <v>44.95</v>
      </c>
      <c r="M2319">
        <f t="shared" si="392"/>
        <v>5.6999999999999993</v>
      </c>
      <c r="N2319">
        <f t="shared" si="393"/>
        <v>0.94</v>
      </c>
      <c r="O2319">
        <f t="shared" si="394"/>
        <v>5.9375</v>
      </c>
      <c r="P2319">
        <f t="shared" si="395"/>
        <v>6.5909090909090899</v>
      </c>
      <c r="Q2319">
        <f t="shared" si="396"/>
        <v>3.1666666666666665</v>
      </c>
      <c r="R2319">
        <f t="shared" si="397"/>
        <v>44.95</v>
      </c>
      <c r="S2319" t="str">
        <f t="shared" si="398"/>
        <v>Good</v>
      </c>
      <c r="T2319" t="str">
        <f t="shared" si="399"/>
        <v>PM10</v>
      </c>
    </row>
    <row r="2320" spans="1:20" x14ac:dyDescent="0.3">
      <c r="A2320" s="2" t="s">
        <v>15</v>
      </c>
      <c r="B2320">
        <v>560026</v>
      </c>
      <c r="C2320" s="5">
        <v>45877</v>
      </c>
      <c r="D2320" s="6">
        <v>20.36</v>
      </c>
      <c r="E2320" s="6">
        <v>50.75</v>
      </c>
      <c r="F2320" s="6">
        <v>4.6399999999999997</v>
      </c>
      <c r="G2320" s="6">
        <v>3.82</v>
      </c>
      <c r="H2320" s="6">
        <v>4.38</v>
      </c>
      <c r="I2320" s="6">
        <v>0.56000000000000005</v>
      </c>
      <c r="J2320" s="7">
        <v>1.17</v>
      </c>
      <c r="K2320">
        <f t="shared" si="390"/>
        <v>33.93333333333333</v>
      </c>
      <c r="L2320">
        <f t="shared" si="391"/>
        <v>50.75</v>
      </c>
      <c r="M2320">
        <f t="shared" si="392"/>
        <v>5.7999999999999989</v>
      </c>
      <c r="N2320">
        <f t="shared" si="393"/>
        <v>0.95499999999999996</v>
      </c>
      <c r="O2320">
        <f t="shared" si="394"/>
        <v>5.4749999999999996</v>
      </c>
      <c r="P2320">
        <f t="shared" si="395"/>
        <v>6.3636363636363642</v>
      </c>
      <c r="Q2320">
        <f t="shared" si="396"/>
        <v>1.0833333333333333</v>
      </c>
      <c r="R2320">
        <f t="shared" si="397"/>
        <v>50.75</v>
      </c>
      <c r="S2320" t="str">
        <f t="shared" si="398"/>
        <v>Satisfactory</v>
      </c>
      <c r="T2320" t="str">
        <f t="shared" si="399"/>
        <v>PM10</v>
      </c>
    </row>
    <row r="2321" spans="1:20" x14ac:dyDescent="0.3">
      <c r="A2321" s="2" t="s">
        <v>15</v>
      </c>
      <c r="B2321">
        <v>560026</v>
      </c>
      <c r="C2321" s="5">
        <v>45878</v>
      </c>
      <c r="D2321" s="6">
        <v>13.74</v>
      </c>
      <c r="E2321" s="6">
        <v>34.409999999999997</v>
      </c>
      <c r="F2321" s="6">
        <v>4.8600000000000003</v>
      </c>
      <c r="G2321" s="6">
        <v>3.96</v>
      </c>
      <c r="H2321" s="6">
        <v>4.3499999999999996</v>
      </c>
      <c r="I2321" s="6">
        <v>0.61</v>
      </c>
      <c r="J2321" s="7">
        <v>2.17</v>
      </c>
      <c r="K2321">
        <f t="shared" si="390"/>
        <v>22.9</v>
      </c>
      <c r="L2321">
        <f t="shared" si="391"/>
        <v>34.409999999999997</v>
      </c>
      <c r="M2321">
        <f t="shared" si="392"/>
        <v>6.0750000000000011</v>
      </c>
      <c r="N2321">
        <f t="shared" si="393"/>
        <v>0.99</v>
      </c>
      <c r="O2321">
        <f t="shared" si="394"/>
        <v>5.4374999999999991</v>
      </c>
      <c r="P2321">
        <f t="shared" si="395"/>
        <v>6.9318181818181817</v>
      </c>
      <c r="Q2321">
        <f t="shared" si="396"/>
        <v>2.0092592592592591</v>
      </c>
      <c r="R2321">
        <f t="shared" si="397"/>
        <v>34.409999999999997</v>
      </c>
      <c r="S2321" t="str">
        <f t="shared" si="398"/>
        <v>Good</v>
      </c>
      <c r="T2321" t="str">
        <f t="shared" si="399"/>
        <v>PM10</v>
      </c>
    </row>
    <row r="2322" spans="1:20" x14ac:dyDescent="0.3">
      <c r="A2322" s="2" t="s">
        <v>15</v>
      </c>
      <c r="B2322">
        <v>560026</v>
      </c>
      <c r="C2322" s="5">
        <v>45879</v>
      </c>
      <c r="D2322" s="6">
        <v>7.84</v>
      </c>
      <c r="E2322" s="6">
        <v>19.5</v>
      </c>
      <c r="F2322" s="6">
        <v>5.0199999999999996</v>
      </c>
      <c r="G2322" s="6">
        <v>4.05</v>
      </c>
      <c r="H2322" s="6">
        <v>3.84</v>
      </c>
      <c r="I2322" s="6">
        <v>0.63</v>
      </c>
      <c r="J2322" s="7">
        <v>0.5</v>
      </c>
      <c r="K2322">
        <f t="shared" si="390"/>
        <v>13.066666666666666</v>
      </c>
      <c r="L2322">
        <f t="shared" si="391"/>
        <v>19.5</v>
      </c>
      <c r="M2322">
        <f t="shared" si="392"/>
        <v>6.2749999999999995</v>
      </c>
      <c r="N2322">
        <f t="shared" si="393"/>
        <v>1.0125</v>
      </c>
      <c r="O2322">
        <f t="shared" si="394"/>
        <v>4.8</v>
      </c>
      <c r="P2322">
        <f t="shared" si="395"/>
        <v>7.1590909090909092</v>
      </c>
      <c r="Q2322">
        <f t="shared" si="396"/>
        <v>0.46296296296296297</v>
      </c>
      <c r="R2322">
        <f t="shared" si="397"/>
        <v>19.5</v>
      </c>
      <c r="S2322" t="str">
        <f t="shared" si="398"/>
        <v>Good</v>
      </c>
      <c r="T2322" t="str">
        <f t="shared" si="399"/>
        <v>PM10</v>
      </c>
    </row>
    <row r="2323" spans="1:20" x14ac:dyDescent="0.3">
      <c r="A2323" s="2" t="s">
        <v>15</v>
      </c>
      <c r="B2323">
        <v>560026</v>
      </c>
      <c r="C2323" s="5">
        <v>45880</v>
      </c>
      <c r="D2323" s="6">
        <v>15.9</v>
      </c>
      <c r="E2323" s="6">
        <v>40</v>
      </c>
      <c r="F2323" s="6">
        <v>4.99</v>
      </c>
      <c r="G2323" s="6">
        <v>4.04</v>
      </c>
      <c r="H2323" s="6">
        <v>3.72</v>
      </c>
      <c r="I2323" s="6">
        <v>0.63</v>
      </c>
      <c r="J2323" s="7">
        <v>18.3</v>
      </c>
      <c r="K2323">
        <f t="shared" si="390"/>
        <v>26.5</v>
      </c>
      <c r="L2323">
        <f t="shared" si="391"/>
        <v>40</v>
      </c>
      <c r="M2323">
        <f t="shared" si="392"/>
        <v>6.2374999999999998</v>
      </c>
      <c r="N2323">
        <f t="shared" si="393"/>
        <v>1.01</v>
      </c>
      <c r="O2323">
        <f t="shared" si="394"/>
        <v>4.6500000000000004</v>
      </c>
      <c r="P2323">
        <f t="shared" si="395"/>
        <v>7.1590909090909092</v>
      </c>
      <c r="Q2323">
        <f t="shared" si="396"/>
        <v>16.944444444444446</v>
      </c>
      <c r="R2323">
        <f t="shared" si="397"/>
        <v>40</v>
      </c>
      <c r="S2323" t="str">
        <f t="shared" si="398"/>
        <v>Good</v>
      </c>
      <c r="T2323" t="str">
        <f t="shared" si="399"/>
        <v>PM10</v>
      </c>
    </row>
    <row r="2324" spans="1:20" x14ac:dyDescent="0.3">
      <c r="A2324" s="2" t="s">
        <v>15</v>
      </c>
      <c r="B2324">
        <v>560026</v>
      </c>
      <c r="C2324" s="5">
        <v>45881</v>
      </c>
      <c r="D2324" s="6">
        <v>17.3</v>
      </c>
      <c r="E2324" s="6">
        <v>43.32</v>
      </c>
      <c r="F2324" s="6">
        <v>5.88</v>
      </c>
      <c r="G2324" s="6">
        <v>4.58</v>
      </c>
      <c r="H2324" s="6">
        <v>4.01</v>
      </c>
      <c r="I2324" s="6">
        <v>0.83</v>
      </c>
      <c r="J2324" s="7">
        <v>11.56</v>
      </c>
      <c r="K2324">
        <f t="shared" si="390"/>
        <v>28.833333333333332</v>
      </c>
      <c r="L2324">
        <f t="shared" si="391"/>
        <v>43.32</v>
      </c>
      <c r="M2324">
        <f t="shared" si="392"/>
        <v>7.35</v>
      </c>
      <c r="N2324">
        <f t="shared" si="393"/>
        <v>1.145</v>
      </c>
      <c r="O2324">
        <f t="shared" si="394"/>
        <v>5.0125000000000002</v>
      </c>
      <c r="P2324">
        <f t="shared" si="395"/>
        <v>9.4318181818181817</v>
      </c>
      <c r="Q2324">
        <f t="shared" si="396"/>
        <v>10.703703703703704</v>
      </c>
      <c r="R2324">
        <f t="shared" si="397"/>
        <v>43.32</v>
      </c>
      <c r="S2324" t="str">
        <f t="shared" si="398"/>
        <v>Good</v>
      </c>
      <c r="T2324" t="str">
        <f t="shared" si="399"/>
        <v>PM10</v>
      </c>
    </row>
    <row r="2325" spans="1:20" x14ac:dyDescent="0.3">
      <c r="A2325" s="2" t="s">
        <v>15</v>
      </c>
      <c r="B2325">
        <v>560026</v>
      </c>
      <c r="C2325" s="5">
        <v>45882</v>
      </c>
      <c r="D2325" s="6">
        <v>9.07</v>
      </c>
      <c r="E2325" s="6">
        <v>22.57</v>
      </c>
      <c r="F2325" s="6">
        <v>5.15</v>
      </c>
      <c r="G2325" s="6">
        <v>4.13</v>
      </c>
      <c r="H2325" s="6">
        <v>4.05</v>
      </c>
      <c r="I2325" s="6">
        <v>0.66</v>
      </c>
      <c r="J2325" s="7">
        <v>5.35</v>
      </c>
      <c r="K2325">
        <f t="shared" si="390"/>
        <v>15.116666666666667</v>
      </c>
      <c r="L2325">
        <f t="shared" si="391"/>
        <v>22.57</v>
      </c>
      <c r="M2325">
        <f t="shared" si="392"/>
        <v>6.4375</v>
      </c>
      <c r="N2325">
        <f t="shared" si="393"/>
        <v>1.0325</v>
      </c>
      <c r="O2325">
        <f t="shared" si="394"/>
        <v>5.0625</v>
      </c>
      <c r="P2325">
        <f t="shared" si="395"/>
        <v>7.5</v>
      </c>
      <c r="Q2325">
        <f t="shared" si="396"/>
        <v>4.9537037037037033</v>
      </c>
      <c r="R2325">
        <f t="shared" si="397"/>
        <v>22.57</v>
      </c>
      <c r="S2325" t="str">
        <f t="shared" si="398"/>
        <v>Good</v>
      </c>
      <c r="T2325" t="str">
        <f t="shared" si="399"/>
        <v>PM10</v>
      </c>
    </row>
    <row r="2326" spans="1:20" x14ac:dyDescent="0.3">
      <c r="A2326" s="2" t="s">
        <v>15</v>
      </c>
      <c r="B2326">
        <v>560026</v>
      </c>
      <c r="C2326" s="5">
        <v>45883</v>
      </c>
      <c r="D2326" s="6">
        <v>11.41</v>
      </c>
      <c r="E2326" s="6">
        <v>28.41</v>
      </c>
      <c r="F2326" s="6">
        <v>4.59</v>
      </c>
      <c r="G2326" s="6">
        <v>3.78</v>
      </c>
      <c r="H2326" s="6">
        <v>3.57</v>
      </c>
      <c r="I2326" s="6">
        <v>0.54</v>
      </c>
      <c r="J2326" s="7">
        <v>9.8000000000000007</v>
      </c>
      <c r="K2326">
        <f t="shared" si="390"/>
        <v>19.016666666666666</v>
      </c>
      <c r="L2326">
        <f t="shared" si="391"/>
        <v>28.41</v>
      </c>
      <c r="M2326">
        <f t="shared" si="392"/>
        <v>5.7374999999999998</v>
      </c>
      <c r="N2326">
        <f t="shared" si="393"/>
        <v>0.94499999999999995</v>
      </c>
      <c r="O2326">
        <f t="shared" si="394"/>
        <v>4.4625000000000004</v>
      </c>
      <c r="P2326">
        <f t="shared" si="395"/>
        <v>6.1363636363636367</v>
      </c>
      <c r="Q2326">
        <f t="shared" si="396"/>
        <v>9.0740740740740744</v>
      </c>
      <c r="R2326">
        <f t="shared" si="397"/>
        <v>28.41</v>
      </c>
      <c r="S2326" t="str">
        <f t="shared" si="398"/>
        <v>Good</v>
      </c>
      <c r="T2326" t="str">
        <f t="shared" si="399"/>
        <v>PM10</v>
      </c>
    </row>
    <row r="2327" spans="1:20" x14ac:dyDescent="0.3">
      <c r="A2327" s="2" t="s">
        <v>15</v>
      </c>
      <c r="B2327">
        <v>560026</v>
      </c>
      <c r="C2327" s="5">
        <v>45884</v>
      </c>
      <c r="D2327" s="6">
        <v>13.94</v>
      </c>
      <c r="E2327" s="6">
        <v>34.799999999999997</v>
      </c>
      <c r="F2327" s="6">
        <v>4.7</v>
      </c>
      <c r="G2327" s="6">
        <v>3.85</v>
      </c>
      <c r="H2327" s="6">
        <v>2.89</v>
      </c>
      <c r="I2327" s="6">
        <v>0.56999999999999995</v>
      </c>
      <c r="J2327" s="7">
        <v>12.27</v>
      </c>
      <c r="K2327">
        <f t="shared" si="390"/>
        <v>23.233333333333334</v>
      </c>
      <c r="L2327">
        <f t="shared" si="391"/>
        <v>34.799999999999997</v>
      </c>
      <c r="M2327">
        <f t="shared" si="392"/>
        <v>5.875</v>
      </c>
      <c r="N2327">
        <f t="shared" si="393"/>
        <v>0.96250000000000002</v>
      </c>
      <c r="O2327">
        <f t="shared" si="394"/>
        <v>3.6124999999999998</v>
      </c>
      <c r="P2327">
        <f t="shared" si="395"/>
        <v>6.4772727272727266</v>
      </c>
      <c r="Q2327">
        <f t="shared" si="396"/>
        <v>11.361111111111111</v>
      </c>
      <c r="R2327">
        <f t="shared" si="397"/>
        <v>34.799999999999997</v>
      </c>
      <c r="S2327" t="str">
        <f t="shared" si="398"/>
        <v>Good</v>
      </c>
      <c r="T2327" t="str">
        <f t="shared" si="399"/>
        <v>PM10</v>
      </c>
    </row>
    <row r="2328" spans="1:20" x14ac:dyDescent="0.3">
      <c r="A2328" s="2" t="s">
        <v>15</v>
      </c>
      <c r="B2328">
        <v>560026</v>
      </c>
      <c r="C2328" s="5">
        <v>45885</v>
      </c>
      <c r="D2328" s="6">
        <v>14.63</v>
      </c>
      <c r="E2328" s="6">
        <v>36.799999999999997</v>
      </c>
      <c r="F2328" s="6">
        <v>4.8</v>
      </c>
      <c r="G2328" s="6">
        <v>3.92</v>
      </c>
      <c r="H2328" s="6">
        <v>2.85</v>
      </c>
      <c r="I2328" s="6">
        <v>0.57999999999999996</v>
      </c>
      <c r="J2328" s="7">
        <v>11.07</v>
      </c>
      <c r="K2328">
        <f t="shared" si="390"/>
        <v>24.383333333333333</v>
      </c>
      <c r="L2328">
        <f t="shared" si="391"/>
        <v>36.799999999999997</v>
      </c>
      <c r="M2328">
        <f t="shared" si="392"/>
        <v>6</v>
      </c>
      <c r="N2328">
        <f t="shared" si="393"/>
        <v>0.98</v>
      </c>
      <c r="O2328">
        <f t="shared" si="394"/>
        <v>3.5625</v>
      </c>
      <c r="P2328">
        <f t="shared" si="395"/>
        <v>6.5909090909090899</v>
      </c>
      <c r="Q2328">
        <f t="shared" si="396"/>
        <v>10.25</v>
      </c>
      <c r="R2328">
        <f t="shared" si="397"/>
        <v>36.799999999999997</v>
      </c>
      <c r="S2328" t="str">
        <f t="shared" si="398"/>
        <v>Good</v>
      </c>
      <c r="T2328" t="str">
        <f t="shared" si="399"/>
        <v>PM10</v>
      </c>
    </row>
    <row r="2329" spans="1:20" x14ac:dyDescent="0.3">
      <c r="A2329" s="2" t="s">
        <v>15</v>
      </c>
      <c r="B2329">
        <v>560026</v>
      </c>
      <c r="C2329" s="5">
        <v>45886</v>
      </c>
      <c r="D2329" s="6">
        <v>9.61</v>
      </c>
      <c r="E2329" s="6">
        <v>24.01</v>
      </c>
      <c r="F2329" s="6">
        <v>4.3099999999999996</v>
      </c>
      <c r="G2329" s="6">
        <v>3.61</v>
      </c>
      <c r="H2329" s="6">
        <v>2.33</v>
      </c>
      <c r="I2329" s="6">
        <v>0.5</v>
      </c>
      <c r="J2329" s="7">
        <v>7.94</v>
      </c>
      <c r="K2329">
        <f t="shared" si="390"/>
        <v>16.016666666666666</v>
      </c>
      <c r="L2329">
        <f t="shared" si="391"/>
        <v>24.01</v>
      </c>
      <c r="M2329">
        <f t="shared" si="392"/>
        <v>5.3874999999999993</v>
      </c>
      <c r="N2329">
        <f t="shared" si="393"/>
        <v>0.90249999999999997</v>
      </c>
      <c r="O2329">
        <f t="shared" si="394"/>
        <v>2.9125000000000001</v>
      </c>
      <c r="P2329">
        <f t="shared" si="395"/>
        <v>5.6818181818181817</v>
      </c>
      <c r="Q2329">
        <f t="shared" si="396"/>
        <v>7.3518518518518521</v>
      </c>
      <c r="R2329">
        <f t="shared" si="397"/>
        <v>24.01</v>
      </c>
      <c r="S2329" t="str">
        <f t="shared" si="398"/>
        <v>Good</v>
      </c>
      <c r="T2329" t="str">
        <f t="shared" si="399"/>
        <v>PM10</v>
      </c>
    </row>
    <row r="2330" spans="1:20" x14ac:dyDescent="0.3">
      <c r="A2330" s="2" t="s">
        <v>15</v>
      </c>
      <c r="B2330">
        <v>560026</v>
      </c>
      <c r="C2330" s="5">
        <v>45887</v>
      </c>
      <c r="D2330" s="6">
        <v>8.59</v>
      </c>
      <c r="E2330" s="6">
        <v>21.16</v>
      </c>
      <c r="F2330" s="6">
        <v>4.6500000000000004</v>
      </c>
      <c r="G2330" s="6">
        <v>3.82</v>
      </c>
      <c r="H2330" s="6">
        <v>2.99</v>
      </c>
      <c r="I2330" s="6">
        <v>0.56000000000000005</v>
      </c>
      <c r="J2330" s="7">
        <v>7.56</v>
      </c>
      <c r="K2330">
        <f t="shared" si="390"/>
        <v>14.316666666666666</v>
      </c>
      <c r="L2330">
        <f t="shared" si="391"/>
        <v>21.16</v>
      </c>
      <c r="M2330">
        <f t="shared" si="392"/>
        <v>5.8125000000000009</v>
      </c>
      <c r="N2330">
        <f t="shared" si="393"/>
        <v>0.95499999999999996</v>
      </c>
      <c r="O2330">
        <f t="shared" si="394"/>
        <v>3.7374999999999998</v>
      </c>
      <c r="P2330">
        <f t="shared" si="395"/>
        <v>6.3636363636363642</v>
      </c>
      <c r="Q2330">
        <f t="shared" si="396"/>
        <v>7</v>
      </c>
      <c r="R2330">
        <f t="shared" si="397"/>
        <v>21.16</v>
      </c>
      <c r="S2330" t="str">
        <f t="shared" si="398"/>
        <v>Good</v>
      </c>
      <c r="T2330" t="str">
        <f t="shared" si="399"/>
        <v>PM10</v>
      </c>
    </row>
    <row r="2331" spans="1:20" x14ac:dyDescent="0.3">
      <c r="A2331" s="2" t="s">
        <v>15</v>
      </c>
      <c r="B2331">
        <v>560026</v>
      </c>
      <c r="C2331" s="5">
        <v>45888</v>
      </c>
      <c r="D2331" s="6">
        <v>14.98</v>
      </c>
      <c r="E2331" s="6">
        <v>37.700000000000003</v>
      </c>
      <c r="F2331" s="6">
        <v>4.6100000000000003</v>
      </c>
      <c r="G2331" s="6">
        <v>3.79</v>
      </c>
      <c r="H2331" s="6">
        <v>2.65</v>
      </c>
      <c r="I2331" s="6">
        <v>0.55000000000000004</v>
      </c>
      <c r="J2331" s="7">
        <v>9.1</v>
      </c>
      <c r="K2331">
        <f t="shared" si="390"/>
        <v>24.966666666666665</v>
      </c>
      <c r="L2331">
        <f t="shared" si="391"/>
        <v>37.700000000000003</v>
      </c>
      <c r="M2331">
        <f t="shared" si="392"/>
        <v>5.7625000000000011</v>
      </c>
      <c r="N2331">
        <f t="shared" si="393"/>
        <v>0.94750000000000001</v>
      </c>
      <c r="O2331">
        <f t="shared" si="394"/>
        <v>3.3125</v>
      </c>
      <c r="P2331">
        <f t="shared" si="395"/>
        <v>6.25</v>
      </c>
      <c r="Q2331">
        <f t="shared" si="396"/>
        <v>8.4259259259259256</v>
      </c>
      <c r="R2331">
        <f t="shared" si="397"/>
        <v>37.700000000000003</v>
      </c>
      <c r="S2331" t="str">
        <f t="shared" si="398"/>
        <v>Good</v>
      </c>
      <c r="T2331" t="str">
        <f t="shared" si="399"/>
        <v>PM10</v>
      </c>
    </row>
    <row r="2332" spans="1:20" x14ac:dyDescent="0.3">
      <c r="A2332" s="2" t="s">
        <v>15</v>
      </c>
      <c r="B2332">
        <v>560026</v>
      </c>
      <c r="C2332" s="5">
        <v>45889</v>
      </c>
      <c r="D2332" s="6">
        <v>29.75</v>
      </c>
      <c r="E2332" s="6">
        <v>74.569999999999993</v>
      </c>
      <c r="F2332" s="6">
        <v>5.18</v>
      </c>
      <c r="G2332" s="6">
        <v>4.1500000000000004</v>
      </c>
      <c r="H2332" s="6">
        <v>3.59</v>
      </c>
      <c r="I2332" s="6">
        <v>0.67</v>
      </c>
      <c r="J2332" s="7">
        <v>13.65</v>
      </c>
      <c r="K2332">
        <f t="shared" si="390"/>
        <v>49.583333333333336</v>
      </c>
      <c r="L2332">
        <f t="shared" si="391"/>
        <v>74.569999999999993</v>
      </c>
      <c r="M2332">
        <f t="shared" si="392"/>
        <v>6.4749999999999996</v>
      </c>
      <c r="N2332">
        <f t="shared" si="393"/>
        <v>1.0375000000000001</v>
      </c>
      <c r="O2332">
        <f t="shared" si="394"/>
        <v>4.4874999999999998</v>
      </c>
      <c r="P2332">
        <f t="shared" si="395"/>
        <v>7.6136363636363642</v>
      </c>
      <c r="Q2332">
        <f t="shared" si="396"/>
        <v>12.638888888888889</v>
      </c>
      <c r="R2332">
        <f t="shared" si="397"/>
        <v>74.569999999999993</v>
      </c>
      <c r="S2332" t="str">
        <f t="shared" si="398"/>
        <v>Satisfactory</v>
      </c>
      <c r="T2332" t="str">
        <f t="shared" si="399"/>
        <v>PM10</v>
      </c>
    </row>
    <row r="2333" spans="1:20" x14ac:dyDescent="0.3">
      <c r="A2333" s="2" t="s">
        <v>15</v>
      </c>
      <c r="B2333">
        <v>560026</v>
      </c>
      <c r="C2333" s="5">
        <v>45890</v>
      </c>
      <c r="D2333" s="6">
        <v>24.73</v>
      </c>
      <c r="E2333" s="6">
        <v>62.02</v>
      </c>
      <c r="F2333" s="6">
        <v>5.81</v>
      </c>
      <c r="G2333" s="6">
        <v>4.38</v>
      </c>
      <c r="H2333" s="6">
        <v>4.75</v>
      </c>
      <c r="I2333" s="6">
        <v>0.84</v>
      </c>
      <c r="J2333" s="7">
        <v>18.28</v>
      </c>
      <c r="K2333">
        <f t="shared" si="390"/>
        <v>41.216666666666669</v>
      </c>
      <c r="L2333">
        <f t="shared" si="391"/>
        <v>62.02</v>
      </c>
      <c r="M2333">
        <f t="shared" si="392"/>
        <v>7.2625000000000002</v>
      </c>
      <c r="N2333">
        <f t="shared" si="393"/>
        <v>1.095</v>
      </c>
      <c r="O2333">
        <f t="shared" si="394"/>
        <v>5.9375</v>
      </c>
      <c r="P2333">
        <f t="shared" si="395"/>
        <v>9.545454545454545</v>
      </c>
      <c r="Q2333">
        <f t="shared" si="396"/>
        <v>16.925925925925927</v>
      </c>
      <c r="R2333">
        <f t="shared" si="397"/>
        <v>62.02</v>
      </c>
      <c r="S2333" t="str">
        <f t="shared" si="398"/>
        <v>Satisfactory</v>
      </c>
      <c r="T2333" t="str">
        <f t="shared" si="399"/>
        <v>PM10</v>
      </c>
    </row>
    <row r="2334" spans="1:20" x14ac:dyDescent="0.3">
      <c r="A2334" s="2" t="s">
        <v>15</v>
      </c>
      <c r="B2334">
        <v>560026</v>
      </c>
      <c r="C2334" s="5">
        <v>45891</v>
      </c>
      <c r="D2334" s="6">
        <v>23.86</v>
      </c>
      <c r="E2334" s="6">
        <v>59.48</v>
      </c>
      <c r="F2334" s="6">
        <v>6</v>
      </c>
      <c r="G2334" s="6">
        <v>4.6500000000000004</v>
      </c>
      <c r="H2334" s="6">
        <v>5.16</v>
      </c>
      <c r="I2334" s="6">
        <v>0.83</v>
      </c>
      <c r="J2334" s="7">
        <v>18.38</v>
      </c>
      <c r="K2334">
        <f t="shared" si="390"/>
        <v>39.766666666666666</v>
      </c>
      <c r="L2334">
        <f t="shared" si="391"/>
        <v>59.48</v>
      </c>
      <c r="M2334">
        <f t="shared" si="392"/>
        <v>7.5</v>
      </c>
      <c r="N2334">
        <f t="shared" si="393"/>
        <v>1.1625000000000001</v>
      </c>
      <c r="O2334">
        <f t="shared" si="394"/>
        <v>6.45</v>
      </c>
      <c r="P2334">
        <f t="shared" si="395"/>
        <v>9.4318181818181817</v>
      </c>
      <c r="Q2334">
        <f t="shared" si="396"/>
        <v>17.018518518518519</v>
      </c>
      <c r="R2334">
        <f t="shared" si="397"/>
        <v>59.48</v>
      </c>
      <c r="S2334" t="str">
        <f t="shared" si="398"/>
        <v>Satisfactory</v>
      </c>
      <c r="T2334" t="str">
        <f t="shared" si="399"/>
        <v>PM10</v>
      </c>
    </row>
    <row r="2335" spans="1:20" x14ac:dyDescent="0.3">
      <c r="A2335" s="2" t="s">
        <v>15</v>
      </c>
      <c r="B2335">
        <v>560026</v>
      </c>
      <c r="C2335" s="5">
        <v>45892</v>
      </c>
      <c r="D2335" s="6">
        <v>22.26</v>
      </c>
      <c r="E2335" s="6">
        <v>55.73</v>
      </c>
      <c r="F2335" s="6">
        <v>4.93</v>
      </c>
      <c r="G2335" s="6">
        <v>3.99</v>
      </c>
      <c r="H2335" s="6">
        <v>4.16</v>
      </c>
      <c r="I2335" s="6">
        <v>0.61</v>
      </c>
      <c r="J2335" s="7">
        <v>16.77</v>
      </c>
      <c r="K2335">
        <f t="shared" si="390"/>
        <v>37.1</v>
      </c>
      <c r="L2335">
        <f t="shared" si="391"/>
        <v>55.73</v>
      </c>
      <c r="M2335">
        <f t="shared" si="392"/>
        <v>6.1624999999999996</v>
      </c>
      <c r="N2335">
        <f t="shared" si="393"/>
        <v>0.99750000000000005</v>
      </c>
      <c r="O2335">
        <f t="shared" si="394"/>
        <v>5.2</v>
      </c>
      <c r="P2335">
        <f t="shared" si="395"/>
        <v>6.9318181818181817</v>
      </c>
      <c r="Q2335">
        <f t="shared" si="396"/>
        <v>15.527777777777777</v>
      </c>
      <c r="R2335">
        <f t="shared" si="397"/>
        <v>55.73</v>
      </c>
      <c r="S2335" t="str">
        <f t="shared" si="398"/>
        <v>Satisfactory</v>
      </c>
      <c r="T2335" t="str">
        <f t="shared" si="399"/>
        <v>PM10</v>
      </c>
    </row>
    <row r="2336" spans="1:20" x14ac:dyDescent="0.3">
      <c r="A2336" s="2" t="s">
        <v>15</v>
      </c>
      <c r="B2336">
        <v>560026</v>
      </c>
      <c r="C2336" s="5">
        <v>45893</v>
      </c>
      <c r="D2336" s="6">
        <v>21.71</v>
      </c>
      <c r="E2336" s="6">
        <v>54.17</v>
      </c>
      <c r="F2336" s="6">
        <v>5.26</v>
      </c>
      <c r="G2336" s="6">
        <v>4.2</v>
      </c>
      <c r="H2336" s="6">
        <v>3.56</v>
      </c>
      <c r="I2336" s="6">
        <v>0.68</v>
      </c>
      <c r="J2336" s="7">
        <v>18.350000000000001</v>
      </c>
      <c r="K2336">
        <f t="shared" si="390"/>
        <v>36.18333333333333</v>
      </c>
      <c r="L2336">
        <f t="shared" si="391"/>
        <v>54.17</v>
      </c>
      <c r="M2336">
        <f t="shared" si="392"/>
        <v>6.5750000000000002</v>
      </c>
      <c r="N2336">
        <f t="shared" si="393"/>
        <v>1.05</v>
      </c>
      <c r="O2336">
        <f t="shared" si="394"/>
        <v>4.45</v>
      </c>
      <c r="P2336">
        <f t="shared" si="395"/>
        <v>7.7272727272727275</v>
      </c>
      <c r="Q2336">
        <f t="shared" si="396"/>
        <v>16.99074074074074</v>
      </c>
      <c r="R2336">
        <f t="shared" si="397"/>
        <v>54.17</v>
      </c>
      <c r="S2336" t="str">
        <f t="shared" si="398"/>
        <v>Satisfactory</v>
      </c>
      <c r="T2336" t="str">
        <f t="shared" si="399"/>
        <v>PM10</v>
      </c>
    </row>
    <row r="2337" spans="1:20" x14ac:dyDescent="0.3">
      <c r="A2337" s="2" t="s">
        <v>15</v>
      </c>
      <c r="B2337">
        <v>560026</v>
      </c>
      <c r="C2337" s="5">
        <v>45894</v>
      </c>
      <c r="D2337" s="6">
        <v>19.53</v>
      </c>
      <c r="E2337" s="6">
        <v>48.63</v>
      </c>
      <c r="F2337" s="6">
        <v>6.11</v>
      </c>
      <c r="G2337" s="6">
        <v>4.7300000000000004</v>
      </c>
      <c r="H2337" s="6">
        <v>5.03</v>
      </c>
      <c r="I2337" s="6">
        <v>0.85</v>
      </c>
      <c r="J2337" s="7">
        <v>18.89</v>
      </c>
      <c r="K2337">
        <f t="shared" si="390"/>
        <v>32.549999999999997</v>
      </c>
      <c r="L2337">
        <f t="shared" si="391"/>
        <v>48.63</v>
      </c>
      <c r="M2337">
        <f t="shared" si="392"/>
        <v>7.6375000000000002</v>
      </c>
      <c r="N2337">
        <f t="shared" si="393"/>
        <v>1.1825000000000001</v>
      </c>
      <c r="O2337">
        <f t="shared" si="394"/>
        <v>6.2874999999999996</v>
      </c>
      <c r="P2337">
        <f t="shared" si="395"/>
        <v>9.6590909090909083</v>
      </c>
      <c r="Q2337">
        <f t="shared" si="396"/>
        <v>17.49074074074074</v>
      </c>
      <c r="R2337">
        <f t="shared" si="397"/>
        <v>48.63</v>
      </c>
      <c r="S2337" t="str">
        <f t="shared" si="398"/>
        <v>Good</v>
      </c>
      <c r="T2337" t="str">
        <f t="shared" si="399"/>
        <v>PM10</v>
      </c>
    </row>
    <row r="2338" spans="1:20" x14ac:dyDescent="0.3">
      <c r="A2338" s="2" t="s">
        <v>15</v>
      </c>
      <c r="B2338">
        <v>560026</v>
      </c>
      <c r="C2338" s="5">
        <v>45895</v>
      </c>
      <c r="D2338" s="6">
        <v>23.17</v>
      </c>
      <c r="E2338" s="6">
        <v>57.88</v>
      </c>
      <c r="F2338" s="6">
        <v>5.5</v>
      </c>
      <c r="G2338" s="6">
        <v>4.34</v>
      </c>
      <c r="H2338" s="6">
        <v>5.17</v>
      </c>
      <c r="I2338" s="6">
        <v>0.74</v>
      </c>
      <c r="J2338" s="7">
        <v>14.16</v>
      </c>
      <c r="K2338">
        <f t="shared" si="390"/>
        <v>38.616666666666667</v>
      </c>
      <c r="L2338">
        <f t="shared" si="391"/>
        <v>57.88</v>
      </c>
      <c r="M2338">
        <f t="shared" si="392"/>
        <v>6.875</v>
      </c>
      <c r="N2338">
        <f t="shared" si="393"/>
        <v>1.085</v>
      </c>
      <c r="O2338">
        <f t="shared" si="394"/>
        <v>6.4625000000000004</v>
      </c>
      <c r="P2338">
        <f t="shared" si="395"/>
        <v>8.4090909090909083</v>
      </c>
      <c r="Q2338">
        <f t="shared" si="396"/>
        <v>13.111111111111111</v>
      </c>
      <c r="R2338">
        <f t="shared" si="397"/>
        <v>57.88</v>
      </c>
      <c r="S2338" t="str">
        <f t="shared" si="398"/>
        <v>Satisfactory</v>
      </c>
      <c r="T2338" t="str">
        <f t="shared" si="399"/>
        <v>PM10</v>
      </c>
    </row>
    <row r="2339" spans="1:20" x14ac:dyDescent="0.3">
      <c r="A2339" s="2" t="s">
        <v>15</v>
      </c>
      <c r="B2339">
        <v>560026</v>
      </c>
      <c r="C2339" s="5">
        <v>45896</v>
      </c>
      <c r="D2339" s="6">
        <v>8.23</v>
      </c>
      <c r="E2339" s="6">
        <v>20.47</v>
      </c>
      <c r="F2339" s="6">
        <v>4.53</v>
      </c>
      <c r="G2339" s="6">
        <v>3.75</v>
      </c>
      <c r="H2339" s="6">
        <v>3.57</v>
      </c>
      <c r="I2339" s="6">
        <v>0.54</v>
      </c>
      <c r="J2339" s="7">
        <v>10.9</v>
      </c>
      <c r="K2339">
        <f t="shared" si="390"/>
        <v>13.716666666666667</v>
      </c>
      <c r="L2339">
        <f t="shared" si="391"/>
        <v>20.47</v>
      </c>
      <c r="M2339">
        <f t="shared" si="392"/>
        <v>5.6624999999999996</v>
      </c>
      <c r="N2339">
        <f t="shared" si="393"/>
        <v>0.9375</v>
      </c>
      <c r="O2339">
        <f t="shared" si="394"/>
        <v>4.4625000000000004</v>
      </c>
      <c r="P2339">
        <f t="shared" si="395"/>
        <v>6.1363636363636367</v>
      </c>
      <c r="Q2339">
        <f t="shared" si="396"/>
        <v>10.092592592592593</v>
      </c>
      <c r="R2339">
        <f t="shared" si="397"/>
        <v>20.47</v>
      </c>
      <c r="S2339" t="str">
        <f t="shared" si="398"/>
        <v>Good</v>
      </c>
      <c r="T2339" t="str">
        <f t="shared" si="399"/>
        <v>PM10</v>
      </c>
    </row>
    <row r="2340" spans="1:20" x14ac:dyDescent="0.3">
      <c r="A2340" s="2" t="s">
        <v>15</v>
      </c>
      <c r="B2340">
        <v>560026</v>
      </c>
      <c r="C2340" s="5">
        <v>45897</v>
      </c>
      <c r="D2340" s="6">
        <v>8.77</v>
      </c>
      <c r="E2340" s="6">
        <v>21.95</v>
      </c>
      <c r="F2340" s="6">
        <v>4.74</v>
      </c>
      <c r="G2340" s="6">
        <v>3.87</v>
      </c>
      <c r="H2340" s="6">
        <v>3.21</v>
      </c>
      <c r="I2340" s="6">
        <v>0.56999999999999995</v>
      </c>
      <c r="J2340" s="7">
        <v>12.18</v>
      </c>
      <c r="K2340">
        <f t="shared" si="390"/>
        <v>14.616666666666667</v>
      </c>
      <c r="L2340">
        <f t="shared" si="391"/>
        <v>21.95</v>
      </c>
      <c r="M2340">
        <f t="shared" si="392"/>
        <v>5.9249999999999998</v>
      </c>
      <c r="N2340">
        <f t="shared" si="393"/>
        <v>0.96750000000000003</v>
      </c>
      <c r="O2340">
        <f t="shared" si="394"/>
        <v>4.0125000000000002</v>
      </c>
      <c r="P2340">
        <f t="shared" si="395"/>
        <v>6.4772727272727266</v>
      </c>
      <c r="Q2340">
        <f t="shared" si="396"/>
        <v>11.277777777777777</v>
      </c>
      <c r="R2340">
        <f t="shared" si="397"/>
        <v>21.95</v>
      </c>
      <c r="S2340" t="str">
        <f t="shared" si="398"/>
        <v>Good</v>
      </c>
      <c r="T2340" t="str">
        <f t="shared" si="399"/>
        <v>PM10</v>
      </c>
    </row>
    <row r="2341" spans="1:20" x14ac:dyDescent="0.3">
      <c r="A2341" s="2" t="s">
        <v>15</v>
      </c>
      <c r="B2341">
        <v>560026</v>
      </c>
      <c r="C2341" s="5">
        <v>45898</v>
      </c>
      <c r="D2341" s="6">
        <v>13.77</v>
      </c>
      <c r="E2341" s="6">
        <v>34.58</v>
      </c>
      <c r="F2341" s="6">
        <v>4.76</v>
      </c>
      <c r="G2341" s="6">
        <v>3.89</v>
      </c>
      <c r="H2341" s="6">
        <v>2.81</v>
      </c>
      <c r="I2341" s="6">
        <v>0.57999999999999996</v>
      </c>
      <c r="J2341" s="7">
        <v>14.47</v>
      </c>
      <c r="K2341">
        <f t="shared" si="390"/>
        <v>22.95</v>
      </c>
      <c r="L2341">
        <f t="shared" si="391"/>
        <v>34.58</v>
      </c>
      <c r="M2341">
        <f t="shared" si="392"/>
        <v>5.95</v>
      </c>
      <c r="N2341">
        <f t="shared" si="393"/>
        <v>0.97250000000000003</v>
      </c>
      <c r="O2341">
        <f t="shared" si="394"/>
        <v>3.5125000000000002</v>
      </c>
      <c r="P2341">
        <f t="shared" si="395"/>
        <v>6.5909090909090899</v>
      </c>
      <c r="Q2341">
        <f t="shared" si="396"/>
        <v>13.398148148148149</v>
      </c>
      <c r="R2341">
        <f t="shared" si="397"/>
        <v>34.58</v>
      </c>
      <c r="S2341" t="str">
        <f t="shared" si="398"/>
        <v>Good</v>
      </c>
      <c r="T2341" t="str">
        <f t="shared" si="399"/>
        <v>PM10</v>
      </c>
    </row>
    <row r="2342" spans="1:20" x14ac:dyDescent="0.3">
      <c r="A2342" s="2" t="s">
        <v>15</v>
      </c>
      <c r="B2342">
        <v>560026</v>
      </c>
      <c r="C2342" s="5">
        <v>45899</v>
      </c>
      <c r="D2342" s="6">
        <v>29.5</v>
      </c>
      <c r="E2342" s="6">
        <v>73.790000000000006</v>
      </c>
      <c r="F2342" s="6">
        <v>5.0999999999999996</v>
      </c>
      <c r="G2342" s="6">
        <v>4.0999999999999996</v>
      </c>
      <c r="H2342" s="6">
        <v>3.51</v>
      </c>
      <c r="I2342" s="6">
        <v>0.66</v>
      </c>
      <c r="J2342" s="7">
        <v>16.57</v>
      </c>
      <c r="K2342">
        <f t="shared" si="390"/>
        <v>49.166666666666664</v>
      </c>
      <c r="L2342">
        <f t="shared" si="391"/>
        <v>73.790000000000006</v>
      </c>
      <c r="M2342">
        <f t="shared" si="392"/>
        <v>6.3749999999999991</v>
      </c>
      <c r="N2342">
        <f t="shared" si="393"/>
        <v>1.0249999999999999</v>
      </c>
      <c r="O2342">
        <f t="shared" si="394"/>
        <v>4.3875000000000002</v>
      </c>
      <c r="P2342">
        <f t="shared" si="395"/>
        <v>7.5</v>
      </c>
      <c r="Q2342">
        <f t="shared" si="396"/>
        <v>15.342592592592593</v>
      </c>
      <c r="R2342">
        <f t="shared" si="397"/>
        <v>73.790000000000006</v>
      </c>
      <c r="S2342" t="str">
        <f t="shared" si="398"/>
        <v>Satisfactory</v>
      </c>
      <c r="T2342" t="str">
        <f t="shared" si="399"/>
        <v>PM10</v>
      </c>
    </row>
    <row r="2343" spans="1:20" x14ac:dyDescent="0.3">
      <c r="A2343" s="2" t="s">
        <v>15</v>
      </c>
      <c r="B2343">
        <v>560026</v>
      </c>
      <c r="C2343" s="5">
        <v>45900</v>
      </c>
      <c r="D2343" s="6">
        <v>20.420000000000002</v>
      </c>
      <c r="E2343" s="6">
        <v>51.14</v>
      </c>
      <c r="F2343" s="6">
        <v>5.27</v>
      </c>
      <c r="G2343" s="6">
        <v>4.2</v>
      </c>
      <c r="H2343" s="6">
        <v>3.35</v>
      </c>
      <c r="I2343" s="6">
        <v>0.69</v>
      </c>
      <c r="J2343" s="7">
        <v>13.95</v>
      </c>
      <c r="K2343">
        <f t="shared" si="390"/>
        <v>34.033333333333339</v>
      </c>
      <c r="L2343">
        <f t="shared" si="391"/>
        <v>51.14</v>
      </c>
      <c r="M2343">
        <f t="shared" si="392"/>
        <v>6.5875000000000004</v>
      </c>
      <c r="N2343">
        <f t="shared" si="393"/>
        <v>1.05</v>
      </c>
      <c r="O2343">
        <f t="shared" si="394"/>
        <v>4.1875</v>
      </c>
      <c r="P2343">
        <f t="shared" si="395"/>
        <v>7.8409090909090899</v>
      </c>
      <c r="Q2343">
        <f t="shared" si="396"/>
        <v>12.916666666666666</v>
      </c>
      <c r="R2343">
        <f t="shared" si="397"/>
        <v>51.14</v>
      </c>
      <c r="S2343" t="str">
        <f t="shared" si="398"/>
        <v>Satisfactory</v>
      </c>
      <c r="T2343" t="str">
        <f t="shared" si="399"/>
        <v>PM10</v>
      </c>
    </row>
    <row r="2344" spans="1:20" x14ac:dyDescent="0.3">
      <c r="A2344" s="2" t="s">
        <v>15</v>
      </c>
      <c r="B2344">
        <v>560026</v>
      </c>
      <c r="C2344" s="5">
        <v>45901</v>
      </c>
      <c r="D2344" s="6">
        <v>28.549836070000001</v>
      </c>
      <c r="E2344" s="6">
        <v>71.200897960000006</v>
      </c>
      <c r="F2344" s="6">
        <v>4.7</v>
      </c>
      <c r="G2344" s="6">
        <v>3.85</v>
      </c>
      <c r="H2344" s="6">
        <v>3.51</v>
      </c>
      <c r="I2344" s="6">
        <v>0.56999999999999995</v>
      </c>
      <c r="J2344" s="7">
        <v>12.77</v>
      </c>
      <c r="K2344">
        <f t="shared" si="390"/>
        <v>47.583060116666665</v>
      </c>
      <c r="L2344">
        <f t="shared" si="391"/>
        <v>71.200897960000006</v>
      </c>
      <c r="M2344">
        <f t="shared" si="392"/>
        <v>5.875</v>
      </c>
      <c r="N2344">
        <f t="shared" si="393"/>
        <v>0.96250000000000002</v>
      </c>
      <c r="O2344">
        <f t="shared" si="394"/>
        <v>4.3875000000000002</v>
      </c>
      <c r="P2344">
        <f t="shared" si="395"/>
        <v>6.4772727272727266</v>
      </c>
      <c r="Q2344">
        <f t="shared" si="396"/>
        <v>11.824074074074074</v>
      </c>
      <c r="R2344">
        <f t="shared" si="397"/>
        <v>71.200897960000006</v>
      </c>
      <c r="S2344" t="str">
        <f t="shared" si="398"/>
        <v>Satisfactory</v>
      </c>
      <c r="T2344" t="str">
        <f t="shared" si="399"/>
        <v>PM10</v>
      </c>
    </row>
    <row r="2345" spans="1:20" x14ac:dyDescent="0.3">
      <c r="A2345" s="2" t="s">
        <v>15</v>
      </c>
      <c r="B2345">
        <v>560026</v>
      </c>
      <c r="C2345" s="5">
        <v>45902</v>
      </c>
      <c r="D2345" s="6">
        <v>11.69</v>
      </c>
      <c r="E2345" s="6">
        <v>28.85</v>
      </c>
      <c r="F2345" s="6">
        <v>4.62</v>
      </c>
      <c r="G2345" s="6">
        <v>3.8</v>
      </c>
      <c r="H2345" s="6">
        <v>3.98</v>
      </c>
      <c r="I2345" s="6">
        <v>0.55000000000000004</v>
      </c>
      <c r="J2345" s="7">
        <v>14.05</v>
      </c>
      <c r="K2345">
        <f t="shared" si="390"/>
        <v>19.483333333333334</v>
      </c>
      <c r="L2345">
        <f t="shared" si="391"/>
        <v>28.85</v>
      </c>
      <c r="M2345">
        <f t="shared" si="392"/>
        <v>5.7750000000000004</v>
      </c>
      <c r="N2345">
        <f t="shared" si="393"/>
        <v>0.95</v>
      </c>
      <c r="O2345">
        <f t="shared" si="394"/>
        <v>4.9749999999999996</v>
      </c>
      <c r="P2345">
        <f t="shared" si="395"/>
        <v>6.25</v>
      </c>
      <c r="Q2345">
        <f t="shared" si="396"/>
        <v>13.00925925925926</v>
      </c>
      <c r="R2345">
        <f t="shared" si="397"/>
        <v>28.85</v>
      </c>
      <c r="S2345" t="str">
        <f t="shared" si="398"/>
        <v>Good</v>
      </c>
      <c r="T2345" t="str">
        <f t="shared" si="399"/>
        <v>PM10</v>
      </c>
    </row>
    <row r="2346" spans="1:20" x14ac:dyDescent="0.3">
      <c r="A2346" s="2" t="s">
        <v>15</v>
      </c>
      <c r="B2346">
        <v>560026</v>
      </c>
      <c r="C2346" s="5">
        <v>45903</v>
      </c>
      <c r="D2346" s="6">
        <v>15.19</v>
      </c>
      <c r="E2346" s="6">
        <v>37.89</v>
      </c>
      <c r="F2346" s="6">
        <v>5.12</v>
      </c>
      <c r="G2346" s="6">
        <v>4.1100000000000003</v>
      </c>
      <c r="H2346" s="6">
        <v>4.24</v>
      </c>
      <c r="I2346" s="6">
        <v>0.65</v>
      </c>
      <c r="J2346" s="7">
        <v>10.23</v>
      </c>
      <c r="K2346">
        <f t="shared" si="390"/>
        <v>25.316666666666666</v>
      </c>
      <c r="L2346">
        <f t="shared" si="391"/>
        <v>37.89</v>
      </c>
      <c r="M2346">
        <f t="shared" si="392"/>
        <v>6.4</v>
      </c>
      <c r="N2346">
        <f t="shared" si="393"/>
        <v>1.0275000000000001</v>
      </c>
      <c r="O2346">
        <f t="shared" si="394"/>
        <v>5.3</v>
      </c>
      <c r="P2346">
        <f t="shared" si="395"/>
        <v>7.3863636363636367</v>
      </c>
      <c r="Q2346">
        <f t="shared" si="396"/>
        <v>9.4722222222222232</v>
      </c>
      <c r="R2346">
        <f t="shared" si="397"/>
        <v>37.89</v>
      </c>
      <c r="S2346" t="str">
        <f t="shared" si="398"/>
        <v>Good</v>
      </c>
      <c r="T2346" t="str">
        <f t="shared" si="399"/>
        <v>PM10</v>
      </c>
    </row>
    <row r="2347" spans="1:20" x14ac:dyDescent="0.3">
      <c r="A2347" s="2" t="s">
        <v>15</v>
      </c>
      <c r="B2347">
        <v>560026</v>
      </c>
      <c r="C2347" s="5">
        <v>45904</v>
      </c>
      <c r="D2347" s="6">
        <v>12.51</v>
      </c>
      <c r="E2347" s="6">
        <v>31.26</v>
      </c>
      <c r="F2347" s="6">
        <v>4.82</v>
      </c>
      <c r="G2347" s="6">
        <v>3.93</v>
      </c>
      <c r="H2347" s="6">
        <v>3.95</v>
      </c>
      <c r="I2347" s="6">
        <v>0.59</v>
      </c>
      <c r="J2347" s="7">
        <v>12.69</v>
      </c>
      <c r="K2347">
        <f t="shared" si="390"/>
        <v>20.85</v>
      </c>
      <c r="L2347">
        <f t="shared" si="391"/>
        <v>31.26</v>
      </c>
      <c r="M2347">
        <f t="shared" si="392"/>
        <v>6.0250000000000004</v>
      </c>
      <c r="N2347">
        <f t="shared" si="393"/>
        <v>0.98250000000000004</v>
      </c>
      <c r="O2347">
        <f t="shared" si="394"/>
        <v>4.9375</v>
      </c>
      <c r="P2347">
        <f t="shared" si="395"/>
        <v>6.7045454545454541</v>
      </c>
      <c r="Q2347">
        <f t="shared" si="396"/>
        <v>11.75</v>
      </c>
      <c r="R2347">
        <f t="shared" si="397"/>
        <v>31.26</v>
      </c>
      <c r="S2347" t="str">
        <f t="shared" si="398"/>
        <v>Good</v>
      </c>
      <c r="T2347" t="str">
        <f t="shared" si="399"/>
        <v>PM10</v>
      </c>
    </row>
    <row r="2348" spans="1:20" x14ac:dyDescent="0.3">
      <c r="A2348" s="2" t="s">
        <v>15</v>
      </c>
      <c r="B2348">
        <v>560026</v>
      </c>
      <c r="C2348" s="5">
        <v>45905</v>
      </c>
      <c r="D2348" s="8">
        <v>28.16</v>
      </c>
      <c r="E2348" s="8">
        <v>70.180000000000007</v>
      </c>
      <c r="F2348" s="8">
        <v>4.7699999999999996</v>
      </c>
      <c r="G2348" s="8">
        <v>3.89</v>
      </c>
      <c r="H2348" s="8">
        <v>3.33</v>
      </c>
      <c r="I2348" s="8">
        <v>0.59</v>
      </c>
      <c r="J2348" s="9">
        <v>15.83</v>
      </c>
      <c r="K2348">
        <f t="shared" si="390"/>
        <v>46.93333333333333</v>
      </c>
      <c r="L2348">
        <f t="shared" si="391"/>
        <v>70.180000000000007</v>
      </c>
      <c r="M2348">
        <f t="shared" si="392"/>
        <v>5.9624999999999995</v>
      </c>
      <c r="N2348">
        <f t="shared" si="393"/>
        <v>0.97250000000000003</v>
      </c>
      <c r="O2348">
        <f t="shared" si="394"/>
        <v>4.1624999999999996</v>
      </c>
      <c r="P2348">
        <f t="shared" si="395"/>
        <v>6.7045454545454541</v>
      </c>
      <c r="Q2348">
        <f t="shared" si="396"/>
        <v>14.657407407407408</v>
      </c>
      <c r="R2348">
        <f t="shared" si="397"/>
        <v>70.180000000000007</v>
      </c>
      <c r="S2348" t="str">
        <f t="shared" si="398"/>
        <v>Satisfactory</v>
      </c>
      <c r="T2348" t="str">
        <f t="shared" si="399"/>
        <v>PM10</v>
      </c>
    </row>
  </sheetData>
  <autoFilter ref="A1:V1734" xr:uid="{00000000-0001-0000-0000-000000000000}">
    <sortState xmlns:xlrd2="http://schemas.microsoft.com/office/spreadsheetml/2017/richdata2" ref="A2:V1734">
      <sortCondition ref="C1:C17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Viggu</dc:creator>
  <cp:lastModifiedBy>KAMALAPURAM VIGNESWARA REDDY-[BL.EN.U4CSE22030]</cp:lastModifiedBy>
  <dcterms:created xsi:type="dcterms:W3CDTF">2015-06-05T18:17:20Z</dcterms:created>
  <dcterms:modified xsi:type="dcterms:W3CDTF">2025-09-05T15:06:04Z</dcterms:modified>
</cp:coreProperties>
</file>